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2b09ccea150404/Documents/"/>
    </mc:Choice>
  </mc:AlternateContent>
  <xr:revisionPtr revIDLastSave="352" documentId="8_{E07E2602-261C-4443-A530-6A805337DD52}" xr6:coauthVersionLast="47" xr6:coauthVersionMax="47" xr10:uidLastSave="{2C2C9ADF-3333-4588-952F-D0E9F14A59BA}"/>
  <bookViews>
    <workbookView xWindow="-108" yWindow="-108" windowWidth="23256" windowHeight="12456" xr2:uid="{4484302A-3EE8-4243-9D46-6DB982B4945A}"/>
  </bookViews>
  <sheets>
    <sheet name="fashion_boutique_dataset " sheetId="1" r:id="rId1"/>
    <sheet name="Added Columns and discriptions" sheetId="2" r:id="rId2"/>
    <sheet name="Sheet1" sheetId="3" r:id="rId3"/>
    <sheet name="Sheet2" sheetId="4" r:id="rId4"/>
    <sheet name="Sheet3" sheetId="5" r:id="rId5"/>
  </sheets>
  <calcPr calcId="191029"/>
  <pivotCaches>
    <pivotCache cacheId="0" r:id="rId6"/>
  </pivotCaches>
  <extLst>
    <ext xmlns:x15="http://schemas.microsoft.com/office/spreadsheetml/2010/11/main" uri="{FCE2AD5D-F65C-4FA6-A056-5C36A1767C68}">
      <x15:dataModel>
        <x15:modelTables>
          <x15:modelTable id="Table1_1_3f931398-ade4-4b76-bc16-c503554e8aa1" name="Table1_1" connection="Query - Table1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6" i="1"/>
  <c r="U7" i="1"/>
  <c r="U8" i="1"/>
  <c r="U9" i="1"/>
  <c r="U10" i="1"/>
  <c r="U11" i="1"/>
  <c r="U1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I2" i="1"/>
  <c r="I3" i="1"/>
  <c r="I4" i="1"/>
  <c r="L4" i="1" s="1"/>
  <c r="I5" i="1"/>
  <c r="I6" i="1"/>
  <c r="I7" i="1"/>
  <c r="I8" i="1"/>
  <c r="L8" i="1" s="1"/>
  <c r="I9" i="1"/>
  <c r="L9" i="1" s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L26" i="1" s="1"/>
  <c r="I27" i="1"/>
  <c r="I28" i="1"/>
  <c r="I29" i="1"/>
  <c r="K29" i="1" s="1"/>
  <c r="I30" i="1"/>
  <c r="K30" i="1" s="1"/>
  <c r="I31" i="1"/>
  <c r="I32" i="1"/>
  <c r="I33" i="1"/>
  <c r="I34" i="1"/>
  <c r="I35" i="1"/>
  <c r="I36" i="1"/>
  <c r="I37" i="1"/>
  <c r="I38" i="1"/>
  <c r="I39" i="1"/>
  <c r="I40" i="1"/>
  <c r="L40" i="1" s="1"/>
  <c r="I41" i="1"/>
  <c r="L41" i="1" s="1"/>
  <c r="I42" i="1"/>
  <c r="I43" i="1"/>
  <c r="I44" i="1"/>
  <c r="I45" i="1"/>
  <c r="I46" i="1"/>
  <c r="I47" i="1"/>
  <c r="I48" i="1"/>
  <c r="I49" i="1"/>
  <c r="I50" i="1"/>
  <c r="I51" i="1"/>
  <c r="L51" i="1" s="1"/>
  <c r="I52" i="1"/>
  <c r="L52" i="1" s="1"/>
  <c r="I53" i="1"/>
  <c r="L53" i="1" s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K66" i="1" s="1"/>
  <c r="I67" i="1"/>
  <c r="I68" i="1"/>
  <c r="I69" i="1"/>
  <c r="I70" i="1"/>
  <c r="I71" i="1"/>
  <c r="I72" i="1"/>
  <c r="L72" i="1" s="1"/>
  <c r="I73" i="1"/>
  <c r="I74" i="1"/>
  <c r="I75" i="1"/>
  <c r="I76" i="1"/>
  <c r="L76" i="1" s="1"/>
  <c r="I77" i="1"/>
  <c r="L77" i="1" s="1"/>
  <c r="I78" i="1"/>
  <c r="K78" i="1" s="1"/>
  <c r="I79" i="1"/>
  <c r="I80" i="1"/>
  <c r="I81" i="1"/>
  <c r="I82" i="1"/>
  <c r="I83" i="1"/>
  <c r="I84" i="1"/>
  <c r="I85" i="1"/>
  <c r="I86" i="1"/>
  <c r="I87" i="1"/>
  <c r="I88" i="1"/>
  <c r="I89" i="1"/>
  <c r="K89" i="1" s="1"/>
  <c r="I90" i="1"/>
  <c r="I91" i="1"/>
  <c r="I92" i="1"/>
  <c r="I93" i="1"/>
  <c r="I94" i="1"/>
  <c r="I95" i="1"/>
  <c r="I96" i="1"/>
  <c r="I97" i="1"/>
  <c r="I98" i="1"/>
  <c r="I99" i="1"/>
  <c r="I100" i="1"/>
  <c r="L100" i="1" s="1"/>
  <c r="I101" i="1"/>
  <c r="L101" i="1" s="1"/>
  <c r="I102" i="1"/>
  <c r="I103" i="1"/>
  <c r="I104" i="1"/>
  <c r="I105" i="1"/>
  <c r="I106" i="1"/>
  <c r="I107" i="1"/>
  <c r="L107" i="1" s="1"/>
  <c r="I108" i="1"/>
  <c r="I109" i="1"/>
  <c r="I110" i="1"/>
  <c r="L110" i="1" s="1"/>
  <c r="I111" i="1"/>
  <c r="L111" i="1" s="1"/>
  <c r="I112" i="1"/>
  <c r="L112" i="1" s="1"/>
  <c r="I113" i="1"/>
  <c r="I114" i="1"/>
  <c r="I115" i="1"/>
  <c r="K115" i="1" s="1"/>
  <c r="I116" i="1"/>
  <c r="K116" i="1" s="1"/>
  <c r="I117" i="1"/>
  <c r="I118" i="1"/>
  <c r="I119" i="1"/>
  <c r="I120" i="1"/>
  <c r="I121" i="1"/>
  <c r="I122" i="1"/>
  <c r="L122" i="1" s="1"/>
  <c r="I123" i="1"/>
  <c r="L123" i="1" s="1"/>
  <c r="I124" i="1"/>
  <c r="I125" i="1"/>
  <c r="K125" i="1" s="1"/>
  <c r="I126" i="1"/>
  <c r="K126" i="1" s="1"/>
  <c r="I127" i="1"/>
  <c r="I128" i="1"/>
  <c r="I129" i="1"/>
  <c r="I130" i="1"/>
  <c r="I131" i="1"/>
  <c r="I132" i="1"/>
  <c r="I133" i="1"/>
  <c r="I134" i="1"/>
  <c r="I135" i="1"/>
  <c r="I136" i="1"/>
  <c r="L136" i="1" s="1"/>
  <c r="I137" i="1"/>
  <c r="L137" i="1" s="1"/>
  <c r="I138" i="1"/>
  <c r="I139" i="1"/>
  <c r="I140" i="1"/>
  <c r="I141" i="1"/>
  <c r="I142" i="1"/>
  <c r="I143" i="1"/>
  <c r="I144" i="1"/>
  <c r="I145" i="1"/>
  <c r="I146" i="1"/>
  <c r="I147" i="1"/>
  <c r="I148" i="1"/>
  <c r="I149" i="1"/>
  <c r="L149" i="1" s="1"/>
  <c r="I150" i="1"/>
  <c r="K150" i="1" s="1"/>
  <c r="I151" i="1"/>
  <c r="I152" i="1"/>
  <c r="I153" i="1"/>
  <c r="L153" i="1" s="1"/>
  <c r="I154" i="1"/>
  <c r="L154" i="1" s="1"/>
  <c r="I155" i="1"/>
  <c r="I156" i="1"/>
  <c r="I157" i="1"/>
  <c r="L157" i="1" s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L172" i="1" s="1"/>
  <c r="I173" i="1"/>
  <c r="K173" i="1" s="1"/>
  <c r="I174" i="1"/>
  <c r="K174" i="1" s="1"/>
  <c r="I175" i="1"/>
  <c r="I176" i="1"/>
  <c r="I177" i="1"/>
  <c r="L177" i="1" s="1"/>
  <c r="I178" i="1"/>
  <c r="I179" i="1"/>
  <c r="I180" i="1"/>
  <c r="I181" i="1"/>
  <c r="I182" i="1"/>
  <c r="I183" i="1"/>
  <c r="I184" i="1"/>
  <c r="L184" i="1" s="1"/>
  <c r="I185" i="1"/>
  <c r="L185" i="1" s="1"/>
  <c r="I186" i="1"/>
  <c r="I187" i="1"/>
  <c r="I188" i="1"/>
  <c r="K188" i="1" s="1"/>
  <c r="I189" i="1"/>
  <c r="I190" i="1"/>
  <c r="I191" i="1"/>
  <c r="I192" i="1"/>
  <c r="I193" i="1"/>
  <c r="I194" i="1"/>
  <c r="I195" i="1"/>
  <c r="I196" i="1"/>
  <c r="L196" i="1" s="1"/>
  <c r="I197" i="1"/>
  <c r="L197" i="1" s="1"/>
  <c r="I198" i="1"/>
  <c r="I199" i="1"/>
  <c r="I200" i="1"/>
  <c r="I201" i="1"/>
  <c r="I202" i="1"/>
  <c r="I203" i="1"/>
  <c r="I204" i="1"/>
  <c r="I205" i="1"/>
  <c r="I206" i="1"/>
  <c r="I207" i="1"/>
  <c r="I208" i="1"/>
  <c r="I209" i="1"/>
  <c r="K209" i="1" s="1"/>
  <c r="I210" i="1"/>
  <c r="I211" i="1"/>
  <c r="I212" i="1"/>
  <c r="I213" i="1"/>
  <c r="I214" i="1"/>
  <c r="I215" i="1"/>
  <c r="I216" i="1"/>
  <c r="L216" i="1" s="1"/>
  <c r="I217" i="1"/>
  <c r="L217" i="1" s="1"/>
  <c r="I218" i="1"/>
  <c r="I219" i="1"/>
  <c r="I220" i="1"/>
  <c r="L220" i="1" s="1"/>
  <c r="I221" i="1"/>
  <c r="L221" i="1" s="1"/>
  <c r="I222" i="1"/>
  <c r="I223" i="1"/>
  <c r="I224" i="1"/>
  <c r="I225" i="1"/>
  <c r="I226" i="1"/>
  <c r="I227" i="1"/>
  <c r="I228" i="1"/>
  <c r="L228" i="1" s="1"/>
  <c r="I229" i="1"/>
  <c r="I230" i="1"/>
  <c r="I231" i="1"/>
  <c r="I232" i="1"/>
  <c r="I233" i="1"/>
  <c r="K233" i="1" s="1"/>
  <c r="I234" i="1"/>
  <c r="I235" i="1"/>
  <c r="I236" i="1"/>
  <c r="I237" i="1"/>
  <c r="I238" i="1"/>
  <c r="I239" i="1"/>
  <c r="I240" i="1"/>
  <c r="I241" i="1"/>
  <c r="I242" i="1"/>
  <c r="I243" i="1"/>
  <c r="I244" i="1"/>
  <c r="L244" i="1" s="1"/>
  <c r="I245" i="1"/>
  <c r="L245" i="1" s="1"/>
  <c r="I246" i="1"/>
  <c r="K246" i="1" s="1"/>
  <c r="I247" i="1"/>
  <c r="I248" i="1"/>
  <c r="I249" i="1"/>
  <c r="I250" i="1"/>
  <c r="L250" i="1" s="1"/>
  <c r="I251" i="1"/>
  <c r="L251" i="1" s="1"/>
  <c r="I252" i="1"/>
  <c r="I253" i="1"/>
  <c r="I254" i="1"/>
  <c r="I255" i="1"/>
  <c r="I256" i="1"/>
  <c r="L256" i="1" s="1"/>
  <c r="I257" i="1"/>
  <c r="L257" i="1" s="1"/>
  <c r="I258" i="1"/>
  <c r="I259" i="1"/>
  <c r="I260" i="1"/>
  <c r="L260" i="1" s="1"/>
  <c r="I261" i="1"/>
  <c r="L261" i="1" s="1"/>
  <c r="I262" i="1"/>
  <c r="I263" i="1"/>
  <c r="I264" i="1"/>
  <c r="I265" i="1"/>
  <c r="I266" i="1"/>
  <c r="I267" i="1"/>
  <c r="I268" i="1"/>
  <c r="I269" i="1"/>
  <c r="L269" i="1" s="1"/>
  <c r="I270" i="1"/>
  <c r="K270" i="1" s="1"/>
  <c r="I271" i="1"/>
  <c r="I272" i="1"/>
  <c r="I273" i="1"/>
  <c r="L273" i="1" s="1"/>
  <c r="I274" i="1"/>
  <c r="L274" i="1" s="1"/>
  <c r="I275" i="1"/>
  <c r="I276" i="1"/>
  <c r="I277" i="1"/>
  <c r="I278" i="1"/>
  <c r="I279" i="1"/>
  <c r="K279" i="1" s="1"/>
  <c r="I280" i="1"/>
  <c r="I281" i="1"/>
  <c r="K281" i="1" s="1"/>
  <c r="I282" i="1"/>
  <c r="I283" i="1"/>
  <c r="I284" i="1"/>
  <c r="I285" i="1"/>
  <c r="I286" i="1"/>
  <c r="L286" i="1" s="1"/>
  <c r="I287" i="1"/>
  <c r="I288" i="1"/>
  <c r="I289" i="1"/>
  <c r="I290" i="1"/>
  <c r="I291" i="1"/>
  <c r="I292" i="1"/>
  <c r="L292" i="1" s="1"/>
  <c r="I293" i="1"/>
  <c r="L293" i="1" s="1"/>
  <c r="I294" i="1"/>
  <c r="I295" i="1"/>
  <c r="I296" i="1"/>
  <c r="K296" i="1" s="1"/>
  <c r="I297" i="1"/>
  <c r="K297" i="1" s="1"/>
  <c r="I298" i="1"/>
  <c r="K298" i="1" s="1"/>
  <c r="I299" i="1"/>
  <c r="I300" i="1"/>
  <c r="I301" i="1"/>
  <c r="I302" i="1"/>
  <c r="I303" i="1"/>
  <c r="I304" i="1"/>
  <c r="I305" i="1"/>
  <c r="L305" i="1" s="1"/>
  <c r="I306" i="1"/>
  <c r="I307" i="1"/>
  <c r="I308" i="1"/>
  <c r="L308" i="1" s="1"/>
  <c r="I309" i="1"/>
  <c r="I310" i="1"/>
  <c r="K310" i="1" s="1"/>
  <c r="I311" i="1"/>
  <c r="I312" i="1"/>
  <c r="I313" i="1"/>
  <c r="I314" i="1"/>
  <c r="L314" i="1" s="1"/>
  <c r="I315" i="1"/>
  <c r="L315" i="1" s="1"/>
  <c r="I316" i="1"/>
  <c r="L316" i="1" s="1"/>
  <c r="I317" i="1"/>
  <c r="L317" i="1" s="1"/>
  <c r="I318" i="1"/>
  <c r="I319" i="1"/>
  <c r="I320" i="1"/>
  <c r="I321" i="1"/>
  <c r="I322" i="1"/>
  <c r="I323" i="1"/>
  <c r="I324" i="1"/>
  <c r="I325" i="1"/>
  <c r="I326" i="1"/>
  <c r="I327" i="1"/>
  <c r="I328" i="1"/>
  <c r="L328" i="1" s="1"/>
  <c r="I329" i="1"/>
  <c r="L329" i="1" s="1"/>
  <c r="I330" i="1"/>
  <c r="I331" i="1"/>
  <c r="I332" i="1"/>
  <c r="I333" i="1"/>
  <c r="I334" i="1"/>
  <c r="I335" i="1"/>
  <c r="I336" i="1"/>
  <c r="I337" i="1"/>
  <c r="I338" i="1"/>
  <c r="I339" i="1"/>
  <c r="I340" i="1"/>
  <c r="I341" i="1"/>
  <c r="L341" i="1" s="1"/>
  <c r="I342" i="1"/>
  <c r="I343" i="1"/>
  <c r="I344" i="1"/>
  <c r="I345" i="1"/>
  <c r="I346" i="1"/>
  <c r="L346" i="1" s="1"/>
  <c r="I347" i="1"/>
  <c r="L347" i="1" s="1"/>
  <c r="I348" i="1"/>
  <c r="I349" i="1"/>
  <c r="L349" i="1" s="1"/>
  <c r="I350" i="1"/>
  <c r="I351" i="1"/>
  <c r="L351" i="1" s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L364" i="1" s="1"/>
  <c r="I365" i="1"/>
  <c r="L365" i="1" s="1"/>
  <c r="I366" i="1"/>
  <c r="I367" i="1"/>
  <c r="I368" i="1"/>
  <c r="I369" i="1"/>
  <c r="I370" i="1"/>
  <c r="I371" i="1"/>
  <c r="I372" i="1"/>
  <c r="L372" i="1" s="1"/>
  <c r="I373" i="1"/>
  <c r="I374" i="1"/>
  <c r="I375" i="1"/>
  <c r="K375" i="1" s="1"/>
  <c r="I376" i="1"/>
  <c r="I377" i="1"/>
  <c r="L377" i="1" s="1"/>
  <c r="I378" i="1"/>
  <c r="I379" i="1"/>
  <c r="I380" i="1"/>
  <c r="I381" i="1"/>
  <c r="I382" i="1"/>
  <c r="I383" i="1"/>
  <c r="I384" i="1"/>
  <c r="I385" i="1"/>
  <c r="I386" i="1"/>
  <c r="I387" i="1"/>
  <c r="I388" i="1"/>
  <c r="L388" i="1" s="1"/>
  <c r="I389" i="1"/>
  <c r="L389" i="1" s="1"/>
  <c r="I390" i="1"/>
  <c r="I391" i="1"/>
  <c r="I392" i="1"/>
  <c r="I393" i="1"/>
  <c r="I394" i="1"/>
  <c r="I395" i="1"/>
  <c r="I396" i="1"/>
  <c r="I397" i="1"/>
  <c r="I398" i="1"/>
  <c r="I399" i="1"/>
  <c r="K399" i="1" s="1"/>
  <c r="I400" i="1"/>
  <c r="L400" i="1" s="1"/>
  <c r="I401" i="1"/>
  <c r="L401" i="1" s="1"/>
  <c r="I402" i="1"/>
  <c r="I403" i="1"/>
  <c r="K403" i="1" s="1"/>
  <c r="I404" i="1"/>
  <c r="L404" i="1" s="1"/>
  <c r="I405" i="1"/>
  <c r="I406" i="1"/>
  <c r="I407" i="1"/>
  <c r="I408" i="1"/>
  <c r="I409" i="1"/>
  <c r="L409" i="1" s="1"/>
  <c r="I410" i="1"/>
  <c r="I411" i="1"/>
  <c r="I412" i="1"/>
  <c r="I413" i="1"/>
  <c r="L413" i="1" s="1"/>
  <c r="I414" i="1"/>
  <c r="K414" i="1" s="1"/>
  <c r="I415" i="1"/>
  <c r="I416" i="1"/>
  <c r="I417" i="1"/>
  <c r="I418" i="1"/>
  <c r="I419" i="1"/>
  <c r="I420" i="1"/>
  <c r="I421" i="1"/>
  <c r="I422" i="1"/>
  <c r="I423" i="1"/>
  <c r="I424" i="1"/>
  <c r="I425" i="1"/>
  <c r="I426" i="1"/>
  <c r="L426" i="1" s="1"/>
  <c r="I427" i="1"/>
  <c r="I428" i="1"/>
  <c r="I429" i="1"/>
  <c r="I430" i="1"/>
  <c r="I431" i="1"/>
  <c r="I432" i="1"/>
  <c r="I433" i="1"/>
  <c r="I434" i="1"/>
  <c r="I435" i="1"/>
  <c r="L435" i="1" s="1"/>
  <c r="I436" i="1"/>
  <c r="I437" i="1"/>
  <c r="I438" i="1"/>
  <c r="I439" i="1"/>
  <c r="I440" i="1"/>
  <c r="I441" i="1"/>
  <c r="L441" i="1" s="1"/>
  <c r="I442" i="1"/>
  <c r="L442" i="1" s="1"/>
  <c r="I443" i="1"/>
  <c r="I444" i="1"/>
  <c r="I445" i="1"/>
  <c r="I446" i="1"/>
  <c r="I447" i="1"/>
  <c r="I448" i="1"/>
  <c r="K448" i="1" s="1"/>
  <c r="I449" i="1"/>
  <c r="I450" i="1"/>
  <c r="I451" i="1"/>
  <c r="I452" i="1"/>
  <c r="I453" i="1"/>
  <c r="I454" i="1"/>
  <c r="I455" i="1"/>
  <c r="K455" i="1" s="1"/>
  <c r="I456" i="1"/>
  <c r="I457" i="1"/>
  <c r="I458" i="1"/>
  <c r="I459" i="1"/>
  <c r="I460" i="1"/>
  <c r="L460" i="1" s="1"/>
  <c r="I461" i="1"/>
  <c r="L461" i="1" s="1"/>
  <c r="I462" i="1"/>
  <c r="I463" i="1"/>
  <c r="I464" i="1"/>
  <c r="I465" i="1"/>
  <c r="I466" i="1"/>
  <c r="I467" i="1"/>
  <c r="I468" i="1"/>
  <c r="I469" i="1"/>
  <c r="I470" i="1"/>
  <c r="I471" i="1"/>
  <c r="I472" i="1"/>
  <c r="L472" i="1" s="1"/>
  <c r="I473" i="1"/>
  <c r="K473" i="1" s="1"/>
  <c r="I474" i="1"/>
  <c r="L474" i="1" s="1"/>
  <c r="I475" i="1"/>
  <c r="I476" i="1"/>
  <c r="I477" i="1"/>
  <c r="I478" i="1"/>
  <c r="I479" i="1"/>
  <c r="I480" i="1"/>
  <c r="I481" i="1"/>
  <c r="I482" i="1"/>
  <c r="I483" i="1"/>
  <c r="I484" i="1"/>
  <c r="L484" i="1" s="1"/>
  <c r="I485" i="1"/>
  <c r="L485" i="1" s="1"/>
  <c r="I486" i="1"/>
  <c r="L486" i="1" s="1"/>
  <c r="I487" i="1"/>
  <c r="I488" i="1"/>
  <c r="L488" i="1" s="1"/>
  <c r="I489" i="1"/>
  <c r="I490" i="1"/>
  <c r="I491" i="1"/>
  <c r="I492" i="1"/>
  <c r="I493" i="1"/>
  <c r="L493" i="1" s="1"/>
  <c r="I494" i="1"/>
  <c r="I495" i="1"/>
  <c r="L495" i="1" s="1"/>
  <c r="I496" i="1"/>
  <c r="L496" i="1" s="1"/>
  <c r="I497" i="1"/>
  <c r="L497" i="1" s="1"/>
  <c r="I498" i="1"/>
  <c r="L498" i="1" s="1"/>
  <c r="I499" i="1"/>
  <c r="I500" i="1"/>
  <c r="I501" i="1"/>
  <c r="I502" i="1"/>
  <c r="I503" i="1"/>
  <c r="I504" i="1"/>
  <c r="I505" i="1"/>
  <c r="I506" i="1"/>
  <c r="I507" i="1"/>
  <c r="I508" i="1"/>
  <c r="L508" i="1" s="1"/>
  <c r="I509" i="1"/>
  <c r="L509" i="1" s="1"/>
  <c r="I510" i="1"/>
  <c r="L510" i="1" s="1"/>
  <c r="I511" i="1"/>
  <c r="I512" i="1"/>
  <c r="I513" i="1"/>
  <c r="I514" i="1"/>
  <c r="L514" i="1" s="1"/>
  <c r="I515" i="1"/>
  <c r="I516" i="1"/>
  <c r="I517" i="1"/>
  <c r="I518" i="1"/>
  <c r="I519" i="1"/>
  <c r="I520" i="1"/>
  <c r="K520" i="1" s="1"/>
  <c r="I521" i="1"/>
  <c r="L521" i="1" s="1"/>
  <c r="I522" i="1"/>
  <c r="L522" i="1" s="1"/>
  <c r="I523" i="1"/>
  <c r="I524" i="1"/>
  <c r="I525" i="1"/>
  <c r="L525" i="1" s="1"/>
  <c r="I526" i="1"/>
  <c r="L526" i="1" s="1"/>
  <c r="I527" i="1"/>
  <c r="I528" i="1"/>
  <c r="I529" i="1"/>
  <c r="I530" i="1"/>
  <c r="I531" i="1"/>
  <c r="I532" i="1"/>
  <c r="L532" i="1" s="1"/>
  <c r="I533" i="1"/>
  <c r="L533" i="1" s="1"/>
  <c r="I534" i="1"/>
  <c r="L534" i="1" s="1"/>
  <c r="I535" i="1"/>
  <c r="I536" i="1"/>
  <c r="I537" i="1"/>
  <c r="I538" i="1"/>
  <c r="I539" i="1"/>
  <c r="I540" i="1"/>
  <c r="I541" i="1"/>
  <c r="I542" i="1"/>
  <c r="I543" i="1"/>
  <c r="I544" i="1"/>
  <c r="L544" i="1" s="1"/>
  <c r="I545" i="1"/>
  <c r="L545" i="1" s="1"/>
  <c r="I546" i="1"/>
  <c r="K546" i="1" s="1"/>
  <c r="I547" i="1"/>
  <c r="I548" i="1"/>
  <c r="I549" i="1"/>
  <c r="L549" i="1" s="1"/>
  <c r="I550" i="1"/>
  <c r="L550" i="1" s="1"/>
  <c r="I551" i="1"/>
  <c r="I552" i="1"/>
  <c r="I553" i="1"/>
  <c r="I554" i="1"/>
  <c r="I555" i="1"/>
  <c r="I556" i="1"/>
  <c r="I557" i="1"/>
  <c r="K557" i="1" s="1"/>
  <c r="I558" i="1"/>
  <c r="L558" i="1" s="1"/>
  <c r="I559" i="1"/>
  <c r="I560" i="1"/>
  <c r="I561" i="1"/>
  <c r="I562" i="1"/>
  <c r="I563" i="1"/>
  <c r="I564" i="1"/>
  <c r="I565" i="1"/>
  <c r="L565" i="1" s="1"/>
  <c r="I566" i="1"/>
  <c r="L566" i="1" s="1"/>
  <c r="I567" i="1"/>
  <c r="I568" i="1"/>
  <c r="I569" i="1"/>
  <c r="I570" i="1"/>
  <c r="L570" i="1" s="1"/>
  <c r="I571" i="1"/>
  <c r="K571" i="1" s="1"/>
  <c r="I572" i="1"/>
  <c r="I573" i="1"/>
  <c r="I574" i="1"/>
  <c r="L574" i="1" s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K587" i="1" s="1"/>
  <c r="I588" i="1"/>
  <c r="I589" i="1"/>
  <c r="I590" i="1"/>
  <c r="I591" i="1"/>
  <c r="I592" i="1"/>
  <c r="L592" i="1" s="1"/>
  <c r="I593" i="1"/>
  <c r="I594" i="1"/>
  <c r="I595" i="1"/>
  <c r="I596" i="1"/>
  <c r="I597" i="1"/>
  <c r="L597" i="1" s="1"/>
  <c r="I598" i="1"/>
  <c r="L598" i="1" s="1"/>
  <c r="I599" i="1"/>
  <c r="I600" i="1"/>
  <c r="L600" i="1" s="1"/>
  <c r="I601" i="1"/>
  <c r="I602" i="1"/>
  <c r="L602" i="1" s="1"/>
  <c r="I603" i="1"/>
  <c r="I604" i="1"/>
  <c r="L604" i="1" s="1"/>
  <c r="I605" i="1"/>
  <c r="L605" i="1" s="1"/>
  <c r="I606" i="1"/>
  <c r="I607" i="1"/>
  <c r="I608" i="1"/>
  <c r="I609" i="1"/>
  <c r="I610" i="1"/>
  <c r="L610" i="1" s="1"/>
  <c r="I611" i="1"/>
  <c r="I612" i="1"/>
  <c r="I613" i="1"/>
  <c r="I614" i="1"/>
  <c r="I615" i="1"/>
  <c r="I616" i="1"/>
  <c r="L616" i="1" s="1"/>
  <c r="I617" i="1"/>
  <c r="L617" i="1" s="1"/>
  <c r="I618" i="1"/>
  <c r="L618" i="1" s="1"/>
  <c r="I619" i="1"/>
  <c r="I620" i="1"/>
  <c r="I621" i="1"/>
  <c r="I622" i="1"/>
  <c r="I623" i="1"/>
  <c r="I624" i="1"/>
  <c r="I625" i="1"/>
  <c r="I626" i="1"/>
  <c r="I627" i="1"/>
  <c r="I628" i="1"/>
  <c r="L628" i="1" s="1"/>
  <c r="I629" i="1"/>
  <c r="L629" i="1" s="1"/>
  <c r="I630" i="1"/>
  <c r="K630" i="1" s="1"/>
  <c r="I631" i="1"/>
  <c r="I632" i="1"/>
  <c r="I633" i="1"/>
  <c r="I634" i="1"/>
  <c r="I635" i="1"/>
  <c r="I636" i="1"/>
  <c r="I637" i="1"/>
  <c r="I638" i="1"/>
  <c r="I639" i="1"/>
  <c r="I640" i="1"/>
  <c r="L640" i="1" s="1"/>
  <c r="I641" i="1"/>
  <c r="L641" i="1" s="1"/>
  <c r="I642" i="1"/>
  <c r="K642" i="1" s="1"/>
  <c r="I643" i="1"/>
  <c r="K643" i="1" s="1"/>
  <c r="I644" i="1"/>
  <c r="K644" i="1" s="1"/>
  <c r="I645" i="1"/>
  <c r="I646" i="1"/>
  <c r="I647" i="1"/>
  <c r="L647" i="1" s="1"/>
  <c r="I648" i="1"/>
  <c r="L648" i="1" s="1"/>
  <c r="I649" i="1"/>
  <c r="I650" i="1"/>
  <c r="I651" i="1"/>
  <c r="I652" i="1"/>
  <c r="L652" i="1" s="1"/>
  <c r="I653" i="1"/>
  <c r="L653" i="1" s="1"/>
  <c r="I654" i="1"/>
  <c r="L654" i="1" s="1"/>
  <c r="I655" i="1"/>
  <c r="I656" i="1"/>
  <c r="I657" i="1"/>
  <c r="I658" i="1"/>
  <c r="I659" i="1"/>
  <c r="I660" i="1"/>
  <c r="K660" i="1" s="1"/>
  <c r="I661" i="1"/>
  <c r="I662" i="1"/>
  <c r="I663" i="1"/>
  <c r="I664" i="1"/>
  <c r="L664" i="1" s="1"/>
  <c r="I665" i="1"/>
  <c r="L665" i="1" s="1"/>
  <c r="I666" i="1"/>
  <c r="L666" i="1" s="1"/>
  <c r="I667" i="1"/>
  <c r="L667" i="1" s="1"/>
  <c r="I668" i="1"/>
  <c r="I669" i="1"/>
  <c r="I670" i="1"/>
  <c r="I671" i="1"/>
  <c r="I672" i="1"/>
  <c r="I673" i="1"/>
  <c r="I674" i="1"/>
  <c r="I675" i="1"/>
  <c r="L675" i="1" s="1"/>
  <c r="I676" i="1"/>
  <c r="L676" i="1" s="1"/>
  <c r="I677" i="1"/>
  <c r="L677" i="1" s="1"/>
  <c r="I678" i="1"/>
  <c r="L678" i="1" s="1"/>
  <c r="I679" i="1"/>
  <c r="I680" i="1"/>
  <c r="I681" i="1"/>
  <c r="I682" i="1"/>
  <c r="I683" i="1"/>
  <c r="I684" i="1"/>
  <c r="I685" i="1"/>
  <c r="I686" i="1"/>
  <c r="I687" i="1"/>
  <c r="I688" i="1"/>
  <c r="L688" i="1" s="1"/>
  <c r="I689" i="1"/>
  <c r="L689" i="1" s="1"/>
  <c r="I690" i="1"/>
  <c r="L690" i="1" s="1"/>
  <c r="I691" i="1"/>
  <c r="I692" i="1"/>
  <c r="I693" i="1"/>
  <c r="I694" i="1"/>
  <c r="I695" i="1"/>
  <c r="I696" i="1"/>
  <c r="L696" i="1" s="1"/>
  <c r="I697" i="1"/>
  <c r="I698" i="1"/>
  <c r="L698" i="1" s="1"/>
  <c r="I699" i="1"/>
  <c r="L699" i="1" s="1"/>
  <c r="I700" i="1"/>
  <c r="L700" i="1" s="1"/>
  <c r="I701" i="1"/>
  <c r="K701" i="1" s="1"/>
  <c r="I702" i="1"/>
  <c r="L702" i="1" s="1"/>
  <c r="I703" i="1"/>
  <c r="I704" i="1"/>
  <c r="K704" i="1" s="1"/>
  <c r="I705" i="1"/>
  <c r="I706" i="1"/>
  <c r="I707" i="1"/>
  <c r="L707" i="1" s="1"/>
  <c r="I708" i="1"/>
  <c r="I709" i="1"/>
  <c r="I710" i="1"/>
  <c r="I711" i="1"/>
  <c r="I712" i="1"/>
  <c r="L712" i="1" s="1"/>
  <c r="I713" i="1"/>
  <c r="K713" i="1" s="1"/>
  <c r="I714" i="1"/>
  <c r="L714" i="1" s="1"/>
  <c r="I715" i="1"/>
  <c r="I716" i="1"/>
  <c r="I717" i="1"/>
  <c r="I718" i="1"/>
  <c r="I719" i="1"/>
  <c r="I720" i="1"/>
  <c r="I721" i="1"/>
  <c r="I722" i="1"/>
  <c r="I723" i="1"/>
  <c r="I724" i="1"/>
  <c r="L724" i="1" s="1"/>
  <c r="I725" i="1"/>
  <c r="L725" i="1" s="1"/>
  <c r="I726" i="1"/>
  <c r="L726" i="1" s="1"/>
  <c r="I727" i="1"/>
  <c r="I728" i="1"/>
  <c r="I729" i="1"/>
  <c r="I730" i="1"/>
  <c r="I731" i="1"/>
  <c r="I732" i="1"/>
  <c r="I733" i="1"/>
  <c r="I734" i="1"/>
  <c r="I735" i="1"/>
  <c r="I736" i="1"/>
  <c r="L736" i="1" s="1"/>
  <c r="I737" i="1"/>
  <c r="L737" i="1" s="1"/>
  <c r="I738" i="1"/>
  <c r="L738" i="1" s="1"/>
  <c r="I739" i="1"/>
  <c r="L739" i="1" s="1"/>
  <c r="I740" i="1"/>
  <c r="I741" i="1"/>
  <c r="I742" i="1"/>
  <c r="I743" i="1"/>
  <c r="L743" i="1" s="1"/>
  <c r="I744" i="1"/>
  <c r="L744" i="1" s="1"/>
  <c r="I745" i="1"/>
  <c r="I746" i="1"/>
  <c r="I747" i="1"/>
  <c r="I748" i="1"/>
  <c r="L748" i="1" s="1"/>
  <c r="I749" i="1"/>
  <c r="L749" i="1" s="1"/>
  <c r="I750" i="1"/>
  <c r="L750" i="1" s="1"/>
  <c r="I751" i="1"/>
  <c r="I752" i="1"/>
  <c r="I753" i="1"/>
  <c r="I754" i="1"/>
  <c r="I755" i="1"/>
  <c r="I756" i="1"/>
  <c r="I757" i="1"/>
  <c r="I758" i="1"/>
  <c r="I759" i="1"/>
  <c r="I760" i="1"/>
  <c r="L760" i="1" s="1"/>
  <c r="I761" i="1"/>
  <c r="L761" i="1" s="1"/>
  <c r="I762" i="1"/>
  <c r="L762" i="1" s="1"/>
  <c r="I763" i="1"/>
  <c r="L763" i="1" s="1"/>
  <c r="I764" i="1"/>
  <c r="I765" i="1"/>
  <c r="I766" i="1"/>
  <c r="I767" i="1"/>
  <c r="I768" i="1"/>
  <c r="I769" i="1"/>
  <c r="I770" i="1"/>
  <c r="I771" i="1"/>
  <c r="L771" i="1" s="1"/>
  <c r="I772" i="1"/>
  <c r="L772" i="1" s="1"/>
  <c r="I773" i="1"/>
  <c r="L773" i="1" s="1"/>
  <c r="I774" i="1"/>
  <c r="L774" i="1" s="1"/>
  <c r="I775" i="1"/>
  <c r="I776" i="1"/>
  <c r="I777" i="1"/>
  <c r="I778" i="1"/>
  <c r="I779" i="1"/>
  <c r="I780" i="1"/>
  <c r="I781" i="1"/>
  <c r="I782" i="1"/>
  <c r="I783" i="1"/>
  <c r="I784" i="1"/>
  <c r="L784" i="1" s="1"/>
  <c r="I785" i="1"/>
  <c r="L785" i="1" s="1"/>
  <c r="I786" i="1"/>
  <c r="L786" i="1" s="1"/>
  <c r="I787" i="1"/>
  <c r="I788" i="1"/>
  <c r="I789" i="1"/>
  <c r="I790" i="1"/>
  <c r="I791" i="1"/>
  <c r="L791" i="1" s="1"/>
  <c r="I792" i="1"/>
  <c r="L792" i="1" s="1"/>
  <c r="I793" i="1"/>
  <c r="K793" i="1" s="1"/>
  <c r="I794" i="1"/>
  <c r="L794" i="1" s="1"/>
  <c r="I795" i="1"/>
  <c r="I796" i="1"/>
  <c r="L796" i="1" s="1"/>
  <c r="I797" i="1"/>
  <c r="L797" i="1" s="1"/>
  <c r="I798" i="1"/>
  <c r="L798" i="1" s="1"/>
  <c r="I799" i="1"/>
  <c r="I800" i="1"/>
  <c r="I801" i="1"/>
  <c r="I802" i="1"/>
  <c r="I803" i="1"/>
  <c r="I804" i="1"/>
  <c r="I805" i="1"/>
  <c r="I806" i="1"/>
  <c r="L806" i="1" s="1"/>
  <c r="I807" i="1"/>
  <c r="L807" i="1" s="1"/>
  <c r="I808" i="1"/>
  <c r="L808" i="1" s="1"/>
  <c r="I809" i="1"/>
  <c r="L809" i="1" s="1"/>
  <c r="I810" i="1"/>
  <c r="L810" i="1" s="1"/>
  <c r="I811" i="1"/>
  <c r="I812" i="1"/>
  <c r="I813" i="1"/>
  <c r="I814" i="1"/>
  <c r="I815" i="1"/>
  <c r="I816" i="1"/>
  <c r="I817" i="1"/>
  <c r="I818" i="1"/>
  <c r="I819" i="1"/>
  <c r="L819" i="1" s="1"/>
  <c r="I820" i="1"/>
  <c r="L820" i="1" s="1"/>
  <c r="I821" i="1"/>
  <c r="L821" i="1" s="1"/>
  <c r="I822" i="1"/>
  <c r="L822" i="1" s="1"/>
  <c r="I823" i="1"/>
  <c r="I824" i="1"/>
  <c r="I825" i="1"/>
  <c r="I826" i="1"/>
  <c r="I827" i="1"/>
  <c r="I828" i="1"/>
  <c r="L828" i="1" s="1"/>
  <c r="I829" i="1"/>
  <c r="L829" i="1" s="1"/>
  <c r="I830" i="1"/>
  <c r="I831" i="1"/>
  <c r="I832" i="1"/>
  <c r="L832" i="1" s="1"/>
  <c r="I833" i="1"/>
  <c r="L833" i="1" s="1"/>
  <c r="I834" i="1"/>
  <c r="L834" i="1" s="1"/>
  <c r="I835" i="1"/>
  <c r="I836" i="1"/>
  <c r="I837" i="1"/>
  <c r="I838" i="1"/>
  <c r="I839" i="1"/>
  <c r="I840" i="1"/>
  <c r="I841" i="1"/>
  <c r="I842" i="1"/>
  <c r="I843" i="1"/>
  <c r="I844" i="1"/>
  <c r="L844" i="1" s="1"/>
  <c r="I845" i="1"/>
  <c r="L845" i="1" s="1"/>
  <c r="I846" i="1"/>
  <c r="L846" i="1" s="1"/>
  <c r="I847" i="1"/>
  <c r="I848" i="1"/>
  <c r="I849" i="1"/>
  <c r="I850" i="1"/>
  <c r="I851" i="1"/>
  <c r="I852" i="1"/>
  <c r="I853" i="1"/>
  <c r="L853" i="1" s="1"/>
  <c r="I854" i="1"/>
  <c r="L854" i="1" s="1"/>
  <c r="I855" i="1"/>
  <c r="I856" i="1"/>
  <c r="L856" i="1" s="1"/>
  <c r="I857" i="1"/>
  <c r="L857" i="1" s="1"/>
  <c r="I858" i="1"/>
  <c r="L858" i="1" s="1"/>
  <c r="I859" i="1"/>
  <c r="I860" i="1"/>
  <c r="I861" i="1"/>
  <c r="I862" i="1"/>
  <c r="I863" i="1"/>
  <c r="I864" i="1"/>
  <c r="I865" i="1"/>
  <c r="I866" i="1"/>
  <c r="I867" i="1"/>
  <c r="I868" i="1"/>
  <c r="L868" i="1" s="1"/>
  <c r="I869" i="1"/>
  <c r="L869" i="1" s="1"/>
  <c r="I870" i="1"/>
  <c r="L870" i="1" s="1"/>
  <c r="I871" i="1"/>
  <c r="I872" i="1"/>
  <c r="I873" i="1"/>
  <c r="I874" i="1"/>
  <c r="I875" i="1"/>
  <c r="L875" i="1" s="1"/>
  <c r="I876" i="1"/>
  <c r="L876" i="1" s="1"/>
  <c r="I877" i="1"/>
  <c r="L877" i="1" s="1"/>
  <c r="I878" i="1"/>
  <c r="I879" i="1"/>
  <c r="I880" i="1"/>
  <c r="K880" i="1" s="1"/>
  <c r="I881" i="1"/>
  <c r="L881" i="1" s="1"/>
  <c r="I882" i="1"/>
  <c r="L882" i="1" s="1"/>
  <c r="I883" i="1"/>
  <c r="L883" i="1" s="1"/>
  <c r="I884" i="1"/>
  <c r="I885" i="1"/>
  <c r="I886" i="1"/>
  <c r="I887" i="1"/>
  <c r="L887" i="1" s="1"/>
  <c r="I888" i="1"/>
  <c r="I889" i="1"/>
  <c r="I890" i="1"/>
  <c r="I891" i="1"/>
  <c r="I892" i="1"/>
  <c r="K892" i="1" s="1"/>
  <c r="I893" i="1"/>
  <c r="L893" i="1" s="1"/>
  <c r="I894" i="1"/>
  <c r="L894" i="1" s="1"/>
  <c r="I895" i="1"/>
  <c r="I896" i="1"/>
  <c r="I897" i="1"/>
  <c r="I898" i="1"/>
  <c r="I899" i="1"/>
  <c r="I900" i="1"/>
  <c r="I901" i="1"/>
  <c r="I902" i="1"/>
  <c r="I903" i="1"/>
  <c r="L903" i="1" s="1"/>
  <c r="I904" i="1"/>
  <c r="K904" i="1" s="1"/>
  <c r="I905" i="1"/>
  <c r="L905" i="1" s="1"/>
  <c r="I906" i="1"/>
  <c r="L906" i="1" s="1"/>
  <c r="I907" i="1"/>
  <c r="L907" i="1" s="1"/>
  <c r="I908" i="1"/>
  <c r="I909" i="1"/>
  <c r="I910" i="1"/>
  <c r="I911" i="1"/>
  <c r="I912" i="1"/>
  <c r="I913" i="1"/>
  <c r="I914" i="1"/>
  <c r="I915" i="1"/>
  <c r="I916" i="1"/>
  <c r="L916" i="1" s="1"/>
  <c r="I917" i="1"/>
  <c r="L917" i="1" s="1"/>
  <c r="I918" i="1"/>
  <c r="L918" i="1" s="1"/>
  <c r="I919" i="1"/>
  <c r="K919" i="1" s="1"/>
  <c r="I920" i="1"/>
  <c r="I921" i="1"/>
  <c r="I922" i="1"/>
  <c r="I923" i="1"/>
  <c r="I924" i="1"/>
  <c r="I925" i="1"/>
  <c r="I926" i="1"/>
  <c r="I927" i="1"/>
  <c r="I928" i="1"/>
  <c r="L928" i="1" s="1"/>
  <c r="I929" i="1"/>
  <c r="L929" i="1" s="1"/>
  <c r="I930" i="1"/>
  <c r="L930" i="1" s="1"/>
  <c r="I931" i="1"/>
  <c r="L931" i="1" s="1"/>
  <c r="I932" i="1"/>
  <c r="I933" i="1"/>
  <c r="I934" i="1"/>
  <c r="I935" i="1"/>
  <c r="L935" i="1" s="1"/>
  <c r="I936" i="1"/>
  <c r="I937" i="1"/>
  <c r="I938" i="1"/>
  <c r="I939" i="1"/>
  <c r="I940" i="1"/>
  <c r="L940" i="1" s="1"/>
  <c r="I941" i="1"/>
  <c r="L941" i="1" s="1"/>
  <c r="I942" i="1"/>
  <c r="L942" i="1" s="1"/>
  <c r="I943" i="1"/>
  <c r="I944" i="1"/>
  <c r="I945" i="1"/>
  <c r="I946" i="1"/>
  <c r="I947" i="1"/>
  <c r="L947" i="1" s="1"/>
  <c r="I948" i="1"/>
  <c r="L948" i="1" s="1"/>
  <c r="I949" i="1"/>
  <c r="L949" i="1" s="1"/>
  <c r="I950" i="1"/>
  <c r="I951" i="1"/>
  <c r="I952" i="1"/>
  <c r="L952" i="1" s="1"/>
  <c r="I953" i="1"/>
  <c r="L953" i="1" s="1"/>
  <c r="I954" i="1"/>
  <c r="L954" i="1" s="1"/>
  <c r="I955" i="1"/>
  <c r="I956" i="1"/>
  <c r="K956" i="1" s="1"/>
  <c r="I957" i="1"/>
  <c r="I958" i="1"/>
  <c r="K958" i="1" s="1"/>
  <c r="I959" i="1"/>
  <c r="I960" i="1"/>
  <c r="I961" i="1"/>
  <c r="I962" i="1"/>
  <c r="L962" i="1" s="1"/>
  <c r="I963" i="1"/>
  <c r="I964" i="1"/>
  <c r="L964" i="1" s="1"/>
  <c r="I965" i="1"/>
  <c r="L965" i="1" s="1"/>
  <c r="I966" i="1"/>
  <c r="L966" i="1" s="1"/>
  <c r="I967" i="1"/>
  <c r="I968" i="1"/>
  <c r="K968" i="1" s="1"/>
  <c r="I969" i="1"/>
  <c r="I970" i="1"/>
  <c r="I971" i="1"/>
  <c r="L971" i="1" s="1"/>
  <c r="I972" i="1"/>
  <c r="L972" i="1" s="1"/>
  <c r="I973" i="1"/>
  <c r="L973" i="1" s="1"/>
  <c r="I974" i="1"/>
  <c r="I975" i="1"/>
  <c r="I976" i="1"/>
  <c r="K976" i="1" s="1"/>
  <c r="I977" i="1"/>
  <c r="L977" i="1" s="1"/>
  <c r="I978" i="1"/>
  <c r="L978" i="1" s="1"/>
  <c r="I979" i="1"/>
  <c r="I980" i="1"/>
  <c r="I981" i="1"/>
  <c r="I982" i="1"/>
  <c r="I983" i="1"/>
  <c r="I984" i="1"/>
  <c r="I985" i="1"/>
  <c r="I986" i="1"/>
  <c r="I987" i="1"/>
  <c r="I988" i="1"/>
  <c r="L988" i="1" s="1"/>
  <c r="I989" i="1"/>
  <c r="L989" i="1" s="1"/>
  <c r="I990" i="1"/>
  <c r="L990" i="1" s="1"/>
  <c r="I991" i="1"/>
  <c r="I992" i="1"/>
  <c r="I993" i="1"/>
  <c r="I994" i="1"/>
  <c r="I995" i="1"/>
  <c r="L995" i="1" s="1"/>
  <c r="I996" i="1"/>
  <c r="L996" i="1" s="1"/>
  <c r="I997" i="1"/>
  <c r="L997" i="1" s="1"/>
  <c r="I998" i="1"/>
  <c r="I999" i="1"/>
  <c r="L999" i="1" s="1"/>
  <c r="I1000" i="1"/>
  <c r="L1000" i="1" s="1"/>
  <c r="I1001" i="1"/>
  <c r="L1001" i="1" s="1"/>
  <c r="I1002" i="1"/>
  <c r="L1002" i="1" s="1"/>
  <c r="I1003" i="1"/>
  <c r="I1004" i="1"/>
  <c r="I1005" i="1"/>
  <c r="I1006" i="1"/>
  <c r="I1007" i="1"/>
  <c r="I1008" i="1"/>
  <c r="I1009" i="1"/>
  <c r="I1010" i="1"/>
  <c r="I1011" i="1"/>
  <c r="I1012" i="1"/>
  <c r="L1012" i="1" s="1"/>
  <c r="I1013" i="1"/>
  <c r="L1013" i="1" s="1"/>
  <c r="I1014" i="1"/>
  <c r="L1014" i="1" s="1"/>
  <c r="I1015" i="1"/>
  <c r="I1016" i="1"/>
  <c r="I1017" i="1"/>
  <c r="I1018" i="1"/>
  <c r="I1019" i="1"/>
  <c r="L1019" i="1" s="1"/>
  <c r="I1020" i="1"/>
  <c r="L1020" i="1" s="1"/>
  <c r="I1021" i="1"/>
  <c r="L1021" i="1" s="1"/>
  <c r="I1022" i="1"/>
  <c r="I1023" i="1"/>
  <c r="I1024" i="1"/>
  <c r="L1024" i="1" s="1"/>
  <c r="I1025" i="1"/>
  <c r="L1025" i="1" s="1"/>
  <c r="I1026" i="1"/>
  <c r="L1026" i="1" s="1"/>
  <c r="I1027" i="1"/>
  <c r="I1028" i="1"/>
  <c r="I1029" i="1"/>
  <c r="I1030" i="1"/>
  <c r="K1030" i="1" s="1"/>
  <c r="I1031" i="1"/>
  <c r="L1031" i="1" s="1"/>
  <c r="I1032" i="1"/>
  <c r="I1033" i="1"/>
  <c r="K1033" i="1" s="1"/>
  <c r="I1034" i="1"/>
  <c r="I1035" i="1"/>
  <c r="K1035" i="1" s="1"/>
  <c r="I1036" i="1"/>
  <c r="L1036" i="1" s="1"/>
  <c r="I1037" i="1"/>
  <c r="L1037" i="1" s="1"/>
  <c r="I1038" i="1"/>
  <c r="L1038" i="1" s="1"/>
  <c r="I1039" i="1"/>
  <c r="I1040" i="1"/>
  <c r="I1041" i="1"/>
  <c r="I1042" i="1"/>
  <c r="I1043" i="1"/>
  <c r="I1044" i="1"/>
  <c r="I1045" i="1"/>
  <c r="I1046" i="1"/>
  <c r="I1047" i="1"/>
  <c r="L1047" i="1" s="1"/>
  <c r="I1048" i="1"/>
  <c r="L1048" i="1" s="1"/>
  <c r="I1049" i="1"/>
  <c r="L1049" i="1" s="1"/>
  <c r="I1050" i="1"/>
  <c r="L1050" i="1" s="1"/>
  <c r="I1051" i="1"/>
  <c r="I1052" i="1"/>
  <c r="I1053" i="1"/>
  <c r="I1054" i="1"/>
  <c r="I1055" i="1"/>
  <c r="I1056" i="1"/>
  <c r="I1057" i="1"/>
  <c r="K1057" i="1" s="1"/>
  <c r="I1058" i="1"/>
  <c r="I1059" i="1"/>
  <c r="L1059" i="1" s="1"/>
  <c r="I1060" i="1"/>
  <c r="L1060" i="1" s="1"/>
  <c r="I1061" i="1"/>
  <c r="L1061" i="1" s="1"/>
  <c r="I1062" i="1"/>
  <c r="L1062" i="1" s="1"/>
  <c r="I1063" i="1"/>
  <c r="I1064" i="1"/>
  <c r="I1065" i="1"/>
  <c r="K1065" i="1" s="1"/>
  <c r="I1066" i="1"/>
  <c r="I1067" i="1"/>
  <c r="I1068" i="1"/>
  <c r="I1069" i="1"/>
  <c r="I1070" i="1"/>
  <c r="I1071" i="1"/>
  <c r="I1072" i="1"/>
  <c r="L1072" i="1" s="1"/>
  <c r="I1073" i="1"/>
  <c r="L1073" i="1" s="1"/>
  <c r="I1074" i="1"/>
  <c r="L1074" i="1" s="1"/>
  <c r="I1075" i="1"/>
  <c r="L1075" i="1" s="1"/>
  <c r="I1076" i="1"/>
  <c r="I1077" i="1"/>
  <c r="I1078" i="1"/>
  <c r="I1079" i="1"/>
  <c r="I1080" i="1"/>
  <c r="I1081" i="1"/>
  <c r="I1082" i="1"/>
  <c r="L1082" i="1" s="1"/>
  <c r="I1083" i="1"/>
  <c r="I1084" i="1"/>
  <c r="L1084" i="1" s="1"/>
  <c r="I1085" i="1"/>
  <c r="L1085" i="1" s="1"/>
  <c r="I1086" i="1"/>
  <c r="L1086" i="1" s="1"/>
  <c r="I1087" i="1"/>
  <c r="I1088" i="1"/>
  <c r="I1089" i="1"/>
  <c r="I1090" i="1"/>
  <c r="I1091" i="1"/>
  <c r="L1091" i="1" s="1"/>
  <c r="I1092" i="1"/>
  <c r="L1092" i="1" s="1"/>
  <c r="I1093" i="1"/>
  <c r="I1094" i="1"/>
  <c r="I1095" i="1"/>
  <c r="I1096" i="1"/>
  <c r="L1096" i="1" s="1"/>
  <c r="I1097" i="1"/>
  <c r="L1097" i="1" s="1"/>
  <c r="I1098" i="1"/>
  <c r="L1098" i="1" s="1"/>
  <c r="I1099" i="1"/>
  <c r="I1100" i="1"/>
  <c r="K1100" i="1" s="1"/>
  <c r="I1101" i="1"/>
  <c r="I1102" i="1"/>
  <c r="I1103" i="1"/>
  <c r="I1104" i="1"/>
  <c r="I1105" i="1"/>
  <c r="I1106" i="1"/>
  <c r="L1106" i="1" s="1"/>
  <c r="I1107" i="1"/>
  <c r="L1107" i="1" s="1"/>
  <c r="I1108" i="1"/>
  <c r="L1108" i="1" s="1"/>
  <c r="I1109" i="1"/>
  <c r="L1109" i="1" s="1"/>
  <c r="I1110" i="1"/>
  <c r="L1110" i="1" s="1"/>
  <c r="I1111" i="1"/>
  <c r="I1112" i="1"/>
  <c r="I1113" i="1"/>
  <c r="I1114" i="1"/>
  <c r="I1115" i="1"/>
  <c r="L1115" i="1" s="1"/>
  <c r="I1116" i="1"/>
  <c r="I1117" i="1"/>
  <c r="I1118" i="1"/>
  <c r="I1119" i="1"/>
  <c r="I1120" i="1"/>
  <c r="L1120" i="1" s="1"/>
  <c r="I1121" i="1"/>
  <c r="L1121" i="1" s="1"/>
  <c r="I1122" i="1"/>
  <c r="L1122" i="1" s="1"/>
  <c r="I1123" i="1"/>
  <c r="I1124" i="1"/>
  <c r="K1124" i="1" s="1"/>
  <c r="I1125" i="1"/>
  <c r="I1126" i="1"/>
  <c r="I1127" i="1"/>
  <c r="I1128" i="1"/>
  <c r="I1129" i="1"/>
  <c r="I1130" i="1"/>
  <c r="L1130" i="1" s="1"/>
  <c r="I1131" i="1"/>
  <c r="L1131" i="1" s="1"/>
  <c r="I1132" i="1"/>
  <c r="L1132" i="1" s="1"/>
  <c r="I1133" i="1"/>
  <c r="L1133" i="1" s="1"/>
  <c r="I1134" i="1"/>
  <c r="L1134" i="1" s="1"/>
  <c r="I1135" i="1"/>
  <c r="I1136" i="1"/>
  <c r="I1137" i="1"/>
  <c r="I1138" i="1"/>
  <c r="I1139" i="1"/>
  <c r="I1140" i="1"/>
  <c r="L1140" i="1" s="1"/>
  <c r="I1141" i="1"/>
  <c r="L1141" i="1" s="1"/>
  <c r="I1142" i="1"/>
  <c r="L1142" i="1" s="1"/>
  <c r="I1143" i="1"/>
  <c r="I1144" i="1"/>
  <c r="L1144" i="1" s="1"/>
  <c r="I1145" i="1"/>
  <c r="L1145" i="1" s="1"/>
  <c r="I1146" i="1"/>
  <c r="L1146" i="1" s="1"/>
  <c r="I1147" i="1"/>
  <c r="I1148" i="1"/>
  <c r="I1149" i="1"/>
  <c r="I1150" i="1"/>
  <c r="I1151" i="1"/>
  <c r="I1152" i="1"/>
  <c r="I1153" i="1"/>
  <c r="I1154" i="1"/>
  <c r="I1155" i="1"/>
  <c r="L1155" i="1" s="1"/>
  <c r="I1156" i="1"/>
  <c r="L1156" i="1" s="1"/>
  <c r="I1157" i="1"/>
  <c r="K1157" i="1" s="1"/>
  <c r="I1158" i="1"/>
  <c r="K1158" i="1" s="1"/>
  <c r="I1159" i="1"/>
  <c r="K1159" i="1" s="1"/>
  <c r="I1160" i="1"/>
  <c r="I1161" i="1"/>
  <c r="I1162" i="1"/>
  <c r="I1163" i="1"/>
  <c r="L1163" i="1" s="1"/>
  <c r="I1164" i="1"/>
  <c r="L1164" i="1" s="1"/>
  <c r="I1165" i="1"/>
  <c r="I1166" i="1"/>
  <c r="I1167" i="1"/>
  <c r="I1168" i="1"/>
  <c r="L1168" i="1" s="1"/>
  <c r="I1169" i="1"/>
  <c r="L1169" i="1" s="1"/>
  <c r="I1170" i="1"/>
  <c r="L1170" i="1" s="1"/>
  <c r="I1171" i="1"/>
  <c r="K1171" i="1" s="1"/>
  <c r="I1172" i="1"/>
  <c r="I1173" i="1"/>
  <c r="I1174" i="1"/>
  <c r="I1175" i="1"/>
  <c r="I1176" i="1"/>
  <c r="I1177" i="1"/>
  <c r="I1178" i="1"/>
  <c r="I1179" i="1"/>
  <c r="I1180" i="1"/>
  <c r="L1180" i="1" s="1"/>
  <c r="I1181" i="1"/>
  <c r="L1181" i="1" s="1"/>
  <c r="I1182" i="1"/>
  <c r="L1182" i="1" s="1"/>
  <c r="I1183" i="1"/>
  <c r="I1184" i="1"/>
  <c r="I1185" i="1"/>
  <c r="I1186" i="1"/>
  <c r="I1187" i="1"/>
  <c r="L1187" i="1" s="1"/>
  <c r="I1188" i="1"/>
  <c r="L1188" i="1" s="1"/>
  <c r="I1189" i="1"/>
  <c r="I1190" i="1"/>
  <c r="I1191" i="1"/>
  <c r="L1191" i="1" s="1"/>
  <c r="I1192" i="1"/>
  <c r="L1192" i="1" s="1"/>
  <c r="I1193" i="1"/>
  <c r="L1193" i="1" s="1"/>
  <c r="I1194" i="1"/>
  <c r="L1194" i="1" s="1"/>
  <c r="I1195" i="1"/>
  <c r="I1196" i="1"/>
  <c r="I1197" i="1"/>
  <c r="I1198" i="1"/>
  <c r="I1199" i="1"/>
  <c r="I1200" i="1"/>
  <c r="I1201" i="1"/>
  <c r="I1202" i="1"/>
  <c r="I1203" i="1"/>
  <c r="I1204" i="1"/>
  <c r="L1204" i="1" s="1"/>
  <c r="I1205" i="1"/>
  <c r="L1205" i="1" s="1"/>
  <c r="I1206" i="1"/>
  <c r="L1206" i="1" s="1"/>
  <c r="I1207" i="1"/>
  <c r="I1208" i="1"/>
  <c r="I1209" i="1"/>
  <c r="I1210" i="1"/>
  <c r="I1211" i="1"/>
  <c r="L1211" i="1" s="1"/>
  <c r="I1212" i="1"/>
  <c r="I1213" i="1"/>
  <c r="I1214" i="1"/>
  <c r="I1215" i="1"/>
  <c r="I1216" i="1"/>
  <c r="L1216" i="1" s="1"/>
  <c r="I1217" i="1"/>
  <c r="L1217" i="1" s="1"/>
  <c r="I1218" i="1"/>
  <c r="L1218" i="1" s="1"/>
  <c r="I1219" i="1"/>
  <c r="L1219" i="1" s="1"/>
  <c r="I1220" i="1"/>
  <c r="I1221" i="1"/>
  <c r="I1222" i="1"/>
  <c r="I1223" i="1"/>
  <c r="I1224" i="1"/>
  <c r="I1225" i="1"/>
  <c r="I1226" i="1"/>
  <c r="I1227" i="1"/>
  <c r="I1228" i="1"/>
  <c r="L1228" i="1" s="1"/>
  <c r="I1229" i="1"/>
  <c r="K1229" i="1" s="1"/>
  <c r="I1230" i="1"/>
  <c r="K1230" i="1" s="1"/>
  <c r="I1231" i="1"/>
  <c r="I1232" i="1"/>
  <c r="I1233" i="1"/>
  <c r="I1234" i="1"/>
  <c r="I1235" i="1"/>
  <c r="L1235" i="1" s="1"/>
  <c r="I1236" i="1"/>
  <c r="L1236" i="1" s="1"/>
  <c r="I1237" i="1"/>
  <c r="I1238" i="1"/>
  <c r="L1238" i="1" s="1"/>
  <c r="I1239" i="1"/>
  <c r="K1239" i="1" s="1"/>
  <c r="I1240" i="1"/>
  <c r="L1240" i="1" s="1"/>
  <c r="I1241" i="1"/>
  <c r="L1241" i="1" s="1"/>
  <c r="I1242" i="1"/>
  <c r="L1242" i="1" s="1"/>
  <c r="I1243" i="1"/>
  <c r="L1243" i="1" s="1"/>
  <c r="I1244" i="1"/>
  <c r="I1245" i="1"/>
  <c r="I1246" i="1"/>
  <c r="I1247" i="1"/>
  <c r="I1248" i="1"/>
  <c r="I1249" i="1"/>
  <c r="I1250" i="1"/>
  <c r="I1251" i="1"/>
  <c r="I1252" i="1"/>
  <c r="L1252" i="1" s="1"/>
  <c r="I1253" i="1"/>
  <c r="K1253" i="1" s="1"/>
  <c r="I1254" i="1"/>
  <c r="L1254" i="1" s="1"/>
  <c r="I1255" i="1"/>
  <c r="K1255" i="1" s="1"/>
  <c r="I1256" i="1"/>
  <c r="I1257" i="1"/>
  <c r="I1258" i="1"/>
  <c r="L1258" i="1" s="1"/>
  <c r="I1259" i="1"/>
  <c r="I1260" i="1"/>
  <c r="I1261" i="1"/>
  <c r="I1262" i="1"/>
  <c r="I1263" i="1"/>
  <c r="I1264" i="1"/>
  <c r="L1264" i="1" s="1"/>
  <c r="I1265" i="1"/>
  <c r="L1265" i="1" s="1"/>
  <c r="I1266" i="1"/>
  <c r="L1266" i="1" s="1"/>
  <c r="I1267" i="1"/>
  <c r="L1267" i="1" s="1"/>
  <c r="I1268" i="1"/>
  <c r="I1269" i="1"/>
  <c r="I1270" i="1"/>
  <c r="L1270" i="1" s="1"/>
  <c r="I1271" i="1"/>
  <c r="L1271" i="1" s="1"/>
  <c r="I1272" i="1"/>
  <c r="I1273" i="1"/>
  <c r="I1274" i="1"/>
  <c r="I1275" i="1"/>
  <c r="I1276" i="1"/>
  <c r="L1276" i="1" s="1"/>
  <c r="I1277" i="1"/>
  <c r="L1277" i="1" s="1"/>
  <c r="I1278" i="1"/>
  <c r="L1278" i="1" s="1"/>
  <c r="I1279" i="1"/>
  <c r="I1280" i="1"/>
  <c r="I1281" i="1"/>
  <c r="I1282" i="1"/>
  <c r="I1283" i="1"/>
  <c r="I1284" i="1"/>
  <c r="L1284" i="1" s="1"/>
  <c r="I1285" i="1"/>
  <c r="L1285" i="1" s="1"/>
  <c r="I1286" i="1"/>
  <c r="I1287" i="1"/>
  <c r="I1288" i="1"/>
  <c r="L1288" i="1" s="1"/>
  <c r="I1289" i="1"/>
  <c r="K1289" i="1" s="1"/>
  <c r="I1290" i="1"/>
  <c r="L1290" i="1" s="1"/>
  <c r="I1291" i="1"/>
  <c r="L1291" i="1" s="1"/>
  <c r="I1292" i="1"/>
  <c r="L1292" i="1" s="1"/>
  <c r="I1293" i="1"/>
  <c r="I1294" i="1"/>
  <c r="L1294" i="1" s="1"/>
  <c r="I1295" i="1"/>
  <c r="I1296" i="1"/>
  <c r="I1297" i="1"/>
  <c r="I1298" i="1"/>
  <c r="I1299" i="1"/>
  <c r="I1300" i="1"/>
  <c r="L1300" i="1" s="1"/>
  <c r="I1301" i="1"/>
  <c r="L1301" i="1" s="1"/>
  <c r="I1302" i="1"/>
  <c r="L1302" i="1" s="1"/>
  <c r="I1303" i="1"/>
  <c r="I1304" i="1"/>
  <c r="I1305" i="1"/>
  <c r="I1306" i="1"/>
  <c r="I1307" i="1"/>
  <c r="L1307" i="1" s="1"/>
  <c r="I1308" i="1"/>
  <c r="I1309" i="1"/>
  <c r="L1309" i="1" s="1"/>
  <c r="I1310" i="1"/>
  <c r="L1310" i="1" s="1"/>
  <c r="I1311" i="1"/>
  <c r="I1312" i="1"/>
  <c r="L1312" i="1" s="1"/>
  <c r="I1313" i="1"/>
  <c r="K1313" i="1" s="1"/>
  <c r="I1314" i="1"/>
  <c r="K1314" i="1" s="1"/>
  <c r="I1315" i="1"/>
  <c r="L1315" i="1" s="1"/>
  <c r="I1316" i="1"/>
  <c r="I1317" i="1"/>
  <c r="L1317" i="1" s="1"/>
  <c r="I1318" i="1"/>
  <c r="I1319" i="1"/>
  <c r="I1320" i="1"/>
  <c r="I1321" i="1"/>
  <c r="L1321" i="1" s="1"/>
  <c r="I1322" i="1"/>
  <c r="I1323" i="1"/>
  <c r="I1324" i="1"/>
  <c r="L1324" i="1" s="1"/>
  <c r="I1325" i="1"/>
  <c r="L1325" i="1" s="1"/>
  <c r="I1326" i="1"/>
  <c r="K1326" i="1" s="1"/>
  <c r="I1327" i="1"/>
  <c r="I1328" i="1"/>
  <c r="I1329" i="1"/>
  <c r="I1330" i="1"/>
  <c r="L1330" i="1" s="1"/>
  <c r="I1331" i="1"/>
  <c r="L1331" i="1" s="1"/>
  <c r="I1332" i="1"/>
  <c r="I1333" i="1"/>
  <c r="I1334" i="1"/>
  <c r="L1334" i="1" s="1"/>
  <c r="I1335" i="1"/>
  <c r="I1336" i="1"/>
  <c r="L1336" i="1" s="1"/>
  <c r="I1337" i="1"/>
  <c r="L1337" i="1" s="1"/>
  <c r="I1338" i="1"/>
  <c r="L1338" i="1" s="1"/>
  <c r="I1339" i="1"/>
  <c r="I1340" i="1"/>
  <c r="I1341" i="1"/>
  <c r="L1341" i="1" s="1"/>
  <c r="I1342" i="1"/>
  <c r="L1342" i="1" s="1"/>
  <c r="I1343" i="1"/>
  <c r="L1343" i="1" s="1"/>
  <c r="I1344" i="1"/>
  <c r="I1345" i="1"/>
  <c r="I1346" i="1"/>
  <c r="I1347" i="1"/>
  <c r="I1348" i="1"/>
  <c r="L1348" i="1" s="1"/>
  <c r="I1349" i="1"/>
  <c r="L1349" i="1" s="1"/>
  <c r="I1350" i="1"/>
  <c r="L1350" i="1" s="1"/>
  <c r="I1351" i="1"/>
  <c r="I1352" i="1"/>
  <c r="I1353" i="1"/>
  <c r="K1353" i="1" s="1"/>
  <c r="I1354" i="1"/>
  <c r="I1355" i="1"/>
  <c r="I1356" i="1"/>
  <c r="I1357" i="1"/>
  <c r="L1357" i="1" s="1"/>
  <c r="I1358" i="1"/>
  <c r="L1358" i="1" s="1"/>
  <c r="I1359" i="1"/>
  <c r="L1359" i="1" s="1"/>
  <c r="I1360" i="1"/>
  <c r="L1360" i="1" s="1"/>
  <c r="I1361" i="1"/>
  <c r="L1361" i="1" s="1"/>
  <c r="I1362" i="1"/>
  <c r="L1362" i="1" s="1"/>
  <c r="I1363" i="1"/>
  <c r="I1364" i="1"/>
  <c r="L1364" i="1" s="1"/>
  <c r="I1365" i="1"/>
  <c r="L1365" i="1" s="1"/>
  <c r="I1366" i="1"/>
  <c r="K1366" i="1" s="1"/>
  <c r="I1367" i="1"/>
  <c r="I1368" i="1"/>
  <c r="K1368" i="1" s="1"/>
  <c r="I1369" i="1"/>
  <c r="K1369" i="1" s="1"/>
  <c r="I1370" i="1"/>
  <c r="I1371" i="1"/>
  <c r="I1372" i="1"/>
  <c r="L1372" i="1" s="1"/>
  <c r="I1373" i="1"/>
  <c r="L1373" i="1" s="1"/>
  <c r="I1374" i="1"/>
  <c r="L1374" i="1" s="1"/>
  <c r="I1375" i="1"/>
  <c r="I1376" i="1"/>
  <c r="I1377" i="1"/>
  <c r="I1378" i="1"/>
  <c r="K1378" i="1" s="1"/>
  <c r="I1379" i="1"/>
  <c r="L1379" i="1" s="1"/>
  <c r="I1380" i="1"/>
  <c r="I1381" i="1"/>
  <c r="L1381" i="1" s="1"/>
  <c r="I1382" i="1"/>
  <c r="L1382" i="1" s="1"/>
  <c r="I1383" i="1"/>
  <c r="I1384" i="1"/>
  <c r="L1384" i="1" s="1"/>
  <c r="I1385" i="1"/>
  <c r="L1385" i="1" s="1"/>
  <c r="I1386" i="1"/>
  <c r="L1386" i="1" s="1"/>
  <c r="I1387" i="1"/>
  <c r="L1387" i="1" s="1"/>
  <c r="I1388" i="1"/>
  <c r="I1389" i="1"/>
  <c r="L1389" i="1" s="1"/>
  <c r="I1390" i="1"/>
  <c r="I1391" i="1"/>
  <c r="I1392" i="1"/>
  <c r="I1393" i="1"/>
  <c r="L1393" i="1" s="1"/>
  <c r="I1394" i="1"/>
  <c r="I1395" i="1"/>
  <c r="I1396" i="1"/>
  <c r="L1396" i="1" s="1"/>
  <c r="I1397" i="1"/>
  <c r="K1397" i="1" s="1"/>
  <c r="I1398" i="1"/>
  <c r="L1398" i="1" s="1"/>
  <c r="I1399" i="1"/>
  <c r="I1400" i="1"/>
  <c r="I1401" i="1"/>
  <c r="I1402" i="1"/>
  <c r="L1402" i="1" s="1"/>
  <c r="I1403" i="1"/>
  <c r="L1403" i="1" s="1"/>
  <c r="I1404" i="1"/>
  <c r="I1405" i="1"/>
  <c r="I1406" i="1"/>
  <c r="L1406" i="1" s="1"/>
  <c r="I1407" i="1"/>
  <c r="I1408" i="1"/>
  <c r="L1408" i="1" s="1"/>
  <c r="I1409" i="1"/>
  <c r="L1409" i="1" s="1"/>
  <c r="I1410" i="1"/>
  <c r="K1410" i="1" s="1"/>
  <c r="I1411" i="1"/>
  <c r="I1412" i="1"/>
  <c r="I1413" i="1"/>
  <c r="L1413" i="1" s="1"/>
  <c r="I1414" i="1"/>
  <c r="L1414" i="1" s="1"/>
  <c r="I1415" i="1"/>
  <c r="L1415" i="1" s="1"/>
  <c r="I1416" i="1"/>
  <c r="I1417" i="1"/>
  <c r="I1418" i="1"/>
  <c r="I1419" i="1"/>
  <c r="K1419" i="1" s="1"/>
  <c r="I1420" i="1"/>
  <c r="L1420" i="1" s="1"/>
  <c r="I1421" i="1"/>
  <c r="L1421" i="1" s="1"/>
  <c r="I1422" i="1"/>
  <c r="L1422" i="1" s="1"/>
  <c r="I1423" i="1"/>
  <c r="I1424" i="1"/>
  <c r="I1425" i="1"/>
  <c r="I1426" i="1"/>
  <c r="K1426" i="1" s="1"/>
  <c r="I1427" i="1"/>
  <c r="I1428" i="1"/>
  <c r="I1429" i="1"/>
  <c r="L1429" i="1" s="1"/>
  <c r="I1430" i="1"/>
  <c r="L1430" i="1" s="1"/>
  <c r="I1431" i="1"/>
  <c r="L1431" i="1" s="1"/>
  <c r="I1432" i="1"/>
  <c r="L1432" i="1" s="1"/>
  <c r="I1433" i="1"/>
  <c r="K1433" i="1" s="1"/>
  <c r="I1434" i="1"/>
  <c r="K1434" i="1" s="1"/>
  <c r="I1435" i="1"/>
  <c r="I1436" i="1"/>
  <c r="L1436" i="1" s="1"/>
  <c r="I1437" i="1"/>
  <c r="L1437" i="1" s="1"/>
  <c r="I1438" i="1"/>
  <c r="L1438" i="1" s="1"/>
  <c r="I1439" i="1"/>
  <c r="I1440" i="1"/>
  <c r="I1441" i="1"/>
  <c r="I1442" i="1"/>
  <c r="I1443" i="1"/>
  <c r="I1444" i="1"/>
  <c r="L1444" i="1" s="1"/>
  <c r="I1445" i="1"/>
  <c r="L1445" i="1" s="1"/>
  <c r="I1446" i="1"/>
  <c r="K1446" i="1" s="1"/>
  <c r="I1447" i="1"/>
  <c r="K1447" i="1" s="1"/>
  <c r="I1448" i="1"/>
  <c r="I1449" i="1"/>
  <c r="I1450" i="1"/>
  <c r="I1451" i="1"/>
  <c r="L1451" i="1" s="1"/>
  <c r="I1452" i="1"/>
  <c r="I1453" i="1"/>
  <c r="L1453" i="1" s="1"/>
  <c r="I1454" i="1"/>
  <c r="L1454" i="1" s="1"/>
  <c r="I1455" i="1"/>
  <c r="I1456" i="1"/>
  <c r="L1456" i="1" s="1"/>
  <c r="I1457" i="1"/>
  <c r="L1457" i="1" s="1"/>
  <c r="I1458" i="1"/>
  <c r="K1458" i="1" s="1"/>
  <c r="I1459" i="1"/>
  <c r="L1459" i="1" s="1"/>
  <c r="I1460" i="1"/>
  <c r="I1461" i="1"/>
  <c r="L1461" i="1" s="1"/>
  <c r="I1462" i="1"/>
  <c r="I1463" i="1"/>
  <c r="I1464" i="1"/>
  <c r="I1465" i="1"/>
  <c r="L1465" i="1" s="1"/>
  <c r="I1466" i="1"/>
  <c r="I1467" i="1"/>
  <c r="I1468" i="1"/>
  <c r="L1468" i="1" s="1"/>
  <c r="I1469" i="1"/>
  <c r="L1469" i="1" s="1"/>
  <c r="I1470" i="1"/>
  <c r="L1470" i="1" s="1"/>
  <c r="I1471" i="1"/>
  <c r="I1472" i="1"/>
  <c r="I1473" i="1"/>
  <c r="I1474" i="1"/>
  <c r="L1474" i="1" s="1"/>
  <c r="I1475" i="1"/>
  <c r="L1475" i="1" s="1"/>
  <c r="I1476" i="1"/>
  <c r="I1477" i="1"/>
  <c r="I1478" i="1"/>
  <c r="L1478" i="1" s="1"/>
  <c r="I1479" i="1"/>
  <c r="I1480" i="1"/>
  <c r="L1480" i="1" s="1"/>
  <c r="I1481" i="1"/>
  <c r="L1481" i="1" s="1"/>
  <c r="I1482" i="1"/>
  <c r="L1482" i="1" s="1"/>
  <c r="I1483" i="1"/>
  <c r="I1484" i="1"/>
  <c r="I1485" i="1"/>
  <c r="L1485" i="1" s="1"/>
  <c r="I1486" i="1"/>
  <c r="L1486" i="1" s="1"/>
  <c r="I1487" i="1"/>
  <c r="L1487" i="1" s="1"/>
  <c r="I1488" i="1"/>
  <c r="I1489" i="1"/>
  <c r="I1490" i="1"/>
  <c r="I1491" i="1"/>
  <c r="I1492" i="1"/>
  <c r="L1492" i="1" s="1"/>
  <c r="I1493" i="1"/>
  <c r="K1493" i="1" s="1"/>
  <c r="I1494" i="1"/>
  <c r="L1494" i="1" s="1"/>
  <c r="I1495" i="1"/>
  <c r="I1496" i="1"/>
  <c r="K1496" i="1" s="1"/>
  <c r="I1497" i="1"/>
  <c r="I1498" i="1"/>
  <c r="I1499" i="1"/>
  <c r="I1500" i="1"/>
  <c r="I1501" i="1"/>
  <c r="L1501" i="1" s="1"/>
  <c r="I1502" i="1"/>
  <c r="L1502" i="1" s="1"/>
  <c r="I1503" i="1"/>
  <c r="L1503" i="1" s="1"/>
  <c r="I1504" i="1"/>
  <c r="L1504" i="1" s="1"/>
  <c r="I1505" i="1"/>
  <c r="L1505" i="1" s="1"/>
  <c r="I1506" i="1"/>
  <c r="L1506" i="1" s="1"/>
  <c r="I1507" i="1"/>
  <c r="I1508" i="1"/>
  <c r="L1508" i="1" s="1"/>
  <c r="I1509" i="1"/>
  <c r="L1509" i="1" s="1"/>
  <c r="I1510" i="1"/>
  <c r="L1510" i="1" s="1"/>
  <c r="I1511" i="1"/>
  <c r="I1512" i="1"/>
  <c r="I1513" i="1"/>
  <c r="I1514" i="1"/>
  <c r="I1515" i="1"/>
  <c r="I1516" i="1"/>
  <c r="L1516" i="1" s="1"/>
  <c r="I1517" i="1"/>
  <c r="L1517" i="1" s="1"/>
  <c r="I1518" i="1"/>
  <c r="L1518" i="1" s="1"/>
  <c r="I1519" i="1"/>
  <c r="I1520" i="1"/>
  <c r="I1521" i="1"/>
  <c r="I1522" i="1"/>
  <c r="I1523" i="1"/>
  <c r="L1523" i="1" s="1"/>
  <c r="I1524" i="1"/>
  <c r="I1525" i="1"/>
  <c r="K1525" i="1" s="1"/>
  <c r="I1526" i="1"/>
  <c r="L1526" i="1" s="1"/>
  <c r="I1527" i="1"/>
  <c r="I1528" i="1"/>
  <c r="L1528" i="1" s="1"/>
  <c r="I1529" i="1"/>
  <c r="K1529" i="1" s="1"/>
  <c r="I1530" i="1"/>
  <c r="K1530" i="1" s="1"/>
  <c r="I1531" i="1"/>
  <c r="L1531" i="1" s="1"/>
  <c r="I1532" i="1"/>
  <c r="I1533" i="1"/>
  <c r="L1533" i="1" s="1"/>
  <c r="I1534" i="1"/>
  <c r="I1535" i="1"/>
  <c r="I1536" i="1"/>
  <c r="I1537" i="1"/>
  <c r="L1537" i="1" s="1"/>
  <c r="I1538" i="1"/>
  <c r="I1539" i="1"/>
  <c r="I1540" i="1"/>
  <c r="L1540" i="1" s="1"/>
  <c r="I1541" i="1"/>
  <c r="L1541" i="1" s="1"/>
  <c r="I1542" i="1"/>
  <c r="L1542" i="1" s="1"/>
  <c r="I1543" i="1"/>
  <c r="I1544" i="1"/>
  <c r="I1545" i="1"/>
  <c r="I1546" i="1"/>
  <c r="L1546" i="1" s="1"/>
  <c r="I1547" i="1"/>
  <c r="L1547" i="1" s="1"/>
  <c r="I1548" i="1"/>
  <c r="K1548" i="1" s="1"/>
  <c r="I1549" i="1"/>
  <c r="I1550" i="1"/>
  <c r="L1550" i="1" s="1"/>
  <c r="I1551" i="1"/>
  <c r="K1551" i="1" s="1"/>
  <c r="I1552" i="1"/>
  <c r="L1552" i="1" s="1"/>
  <c r="I1553" i="1"/>
  <c r="L1553" i="1" s="1"/>
  <c r="I1554" i="1"/>
  <c r="L1554" i="1" s="1"/>
  <c r="I1555" i="1"/>
  <c r="I1556" i="1"/>
  <c r="I1557" i="1"/>
  <c r="L1557" i="1" s="1"/>
  <c r="I1558" i="1"/>
  <c r="L1558" i="1" s="1"/>
  <c r="I1559" i="1"/>
  <c r="L1559" i="1" s="1"/>
  <c r="I1560" i="1"/>
  <c r="I1561" i="1"/>
  <c r="I1562" i="1"/>
  <c r="I1563" i="1"/>
  <c r="I1564" i="1"/>
  <c r="L1564" i="1" s="1"/>
  <c r="I1565" i="1"/>
  <c r="L1565" i="1" s="1"/>
  <c r="I1566" i="1"/>
  <c r="L1566" i="1" s="1"/>
  <c r="I1567" i="1"/>
  <c r="I1568" i="1"/>
  <c r="I1569" i="1"/>
  <c r="I1570" i="1"/>
  <c r="I1571" i="1"/>
  <c r="I1572" i="1"/>
  <c r="I1573" i="1"/>
  <c r="L1573" i="1" s="1"/>
  <c r="I1574" i="1"/>
  <c r="L1574" i="1" s="1"/>
  <c r="I1575" i="1"/>
  <c r="L1575" i="1" s="1"/>
  <c r="I1576" i="1"/>
  <c r="L1576" i="1" s="1"/>
  <c r="I1577" i="1"/>
  <c r="K1577" i="1" s="1"/>
  <c r="I1578" i="1"/>
  <c r="L1578" i="1" s="1"/>
  <c r="I1579" i="1"/>
  <c r="I1580" i="1"/>
  <c r="L1580" i="1" s="1"/>
  <c r="I1581" i="1"/>
  <c r="L1581" i="1" s="1"/>
  <c r="I1582" i="1"/>
  <c r="L1582" i="1" s="1"/>
  <c r="I1583" i="1"/>
  <c r="I1584" i="1"/>
  <c r="I1585" i="1"/>
  <c r="I1586" i="1"/>
  <c r="I1587" i="1"/>
  <c r="I1588" i="1"/>
  <c r="L1588" i="1" s="1"/>
  <c r="I1589" i="1"/>
  <c r="L1589" i="1" s="1"/>
  <c r="I1590" i="1"/>
  <c r="L1590" i="1" s="1"/>
  <c r="I1591" i="1"/>
  <c r="I1592" i="1"/>
  <c r="I1593" i="1"/>
  <c r="I1594" i="1"/>
  <c r="L1594" i="1" s="1"/>
  <c r="I1595" i="1"/>
  <c r="L1595" i="1" s="1"/>
  <c r="I1596" i="1"/>
  <c r="I1597" i="1"/>
  <c r="L1597" i="1" s="1"/>
  <c r="I1598" i="1"/>
  <c r="I1599" i="1"/>
  <c r="L1599" i="1" s="1"/>
  <c r="I1600" i="1"/>
  <c r="L1600" i="1" s="1"/>
  <c r="I1601" i="1"/>
  <c r="K1601" i="1" s="1"/>
  <c r="I1602" i="1"/>
  <c r="K1602" i="1" s="1"/>
  <c r="I1603" i="1"/>
  <c r="L1603" i="1" s="1"/>
  <c r="I1604" i="1"/>
  <c r="L1604" i="1" s="1"/>
  <c r="I1605" i="1"/>
  <c r="K1605" i="1" s="1"/>
  <c r="I1606" i="1"/>
  <c r="I1607" i="1"/>
  <c r="I1608" i="1"/>
  <c r="I1609" i="1"/>
  <c r="I1610" i="1"/>
  <c r="I1611" i="1"/>
  <c r="I1612" i="1"/>
  <c r="L1612" i="1" s="1"/>
  <c r="I1613" i="1"/>
  <c r="L1613" i="1" s="1"/>
  <c r="I1614" i="1"/>
  <c r="L1614" i="1" s="1"/>
  <c r="I1615" i="1"/>
  <c r="I1616" i="1"/>
  <c r="L1616" i="1" s="1"/>
  <c r="I1617" i="1"/>
  <c r="L1617" i="1" s="1"/>
  <c r="I1618" i="1"/>
  <c r="L1618" i="1" s="1"/>
  <c r="I1619" i="1"/>
  <c r="I1620" i="1"/>
  <c r="I1621" i="1"/>
  <c r="L1621" i="1" s="1"/>
  <c r="I1622" i="1"/>
  <c r="L1622" i="1" s="1"/>
  <c r="I1623" i="1"/>
  <c r="I1624" i="1"/>
  <c r="L1624" i="1" s="1"/>
  <c r="I1625" i="1"/>
  <c r="L1625" i="1" s="1"/>
  <c r="I1626" i="1"/>
  <c r="L1626" i="1" s="1"/>
  <c r="I1627" i="1"/>
  <c r="I1628" i="1"/>
  <c r="L1628" i="1" s="1"/>
  <c r="I1629" i="1"/>
  <c r="I1630" i="1"/>
  <c r="I1631" i="1"/>
  <c r="I1632" i="1"/>
  <c r="I1633" i="1"/>
  <c r="I1634" i="1"/>
  <c r="I1635" i="1"/>
  <c r="K1635" i="1" s="1"/>
  <c r="I1636" i="1"/>
  <c r="L1636" i="1" s="1"/>
  <c r="I1637" i="1"/>
  <c r="L1637" i="1" s="1"/>
  <c r="I1638" i="1"/>
  <c r="L1638" i="1" s="1"/>
  <c r="I1639" i="1"/>
  <c r="L1639" i="1" s="1"/>
  <c r="I1640" i="1"/>
  <c r="L1640" i="1" s="1"/>
  <c r="I1641" i="1"/>
  <c r="I1642" i="1"/>
  <c r="I1643" i="1"/>
  <c r="I1644" i="1"/>
  <c r="I1645" i="1"/>
  <c r="K1645" i="1" s="1"/>
  <c r="I1646" i="1"/>
  <c r="K1646" i="1" s="1"/>
  <c r="I1647" i="1"/>
  <c r="L1647" i="1" s="1"/>
  <c r="I1648" i="1"/>
  <c r="L1648" i="1" s="1"/>
  <c r="I1649" i="1"/>
  <c r="L1649" i="1" s="1"/>
  <c r="I1650" i="1"/>
  <c r="L1650" i="1" s="1"/>
  <c r="I1651" i="1"/>
  <c r="I1652" i="1"/>
  <c r="I1653" i="1"/>
  <c r="I1654" i="1"/>
  <c r="I1655" i="1"/>
  <c r="I1656" i="1"/>
  <c r="I1657" i="1"/>
  <c r="L1657" i="1" s="1"/>
  <c r="I1658" i="1"/>
  <c r="L1658" i="1" s="1"/>
  <c r="I1659" i="1"/>
  <c r="I1660" i="1"/>
  <c r="L1660" i="1" s="1"/>
  <c r="I1661" i="1"/>
  <c r="K1661" i="1" s="1"/>
  <c r="I1662" i="1"/>
  <c r="L1662" i="1" s="1"/>
  <c r="I1663" i="1"/>
  <c r="I1664" i="1"/>
  <c r="L1664" i="1" s="1"/>
  <c r="I1665" i="1"/>
  <c r="I1666" i="1"/>
  <c r="L1666" i="1" s="1"/>
  <c r="I1667" i="1"/>
  <c r="L1667" i="1" s="1"/>
  <c r="I1668" i="1"/>
  <c r="I1669" i="1"/>
  <c r="L1669" i="1" s="1"/>
  <c r="I1670" i="1"/>
  <c r="I1671" i="1"/>
  <c r="I1672" i="1"/>
  <c r="L1672" i="1" s="1"/>
  <c r="I1673" i="1"/>
  <c r="K1673" i="1" s="1"/>
  <c r="I1674" i="1"/>
  <c r="L1674" i="1" s="1"/>
  <c r="I1675" i="1"/>
  <c r="I1676" i="1"/>
  <c r="I1677" i="1"/>
  <c r="I1678" i="1"/>
  <c r="I1679" i="1"/>
  <c r="I1680" i="1"/>
  <c r="I1681" i="1"/>
  <c r="L1681" i="1" s="1"/>
  <c r="I1682" i="1"/>
  <c r="L1682" i="1" s="1"/>
  <c r="I1683" i="1"/>
  <c r="L1683" i="1" s="1"/>
  <c r="I1684" i="1"/>
  <c r="L1684" i="1" s="1"/>
  <c r="I1685" i="1"/>
  <c r="L1685" i="1" s="1"/>
  <c r="I1686" i="1"/>
  <c r="L1686" i="1" s="1"/>
  <c r="I1687" i="1"/>
  <c r="I1688" i="1"/>
  <c r="L1688" i="1" s="1"/>
  <c r="I1689" i="1"/>
  <c r="L1689" i="1" s="1"/>
  <c r="I1690" i="1"/>
  <c r="L1690" i="1" s="1"/>
  <c r="I1691" i="1"/>
  <c r="I1692" i="1"/>
  <c r="I1693" i="1"/>
  <c r="I1694" i="1"/>
  <c r="I1695" i="1"/>
  <c r="I1696" i="1"/>
  <c r="L1696" i="1" s="1"/>
  <c r="I1697" i="1"/>
  <c r="L1697" i="1" s="1"/>
  <c r="I1698" i="1"/>
  <c r="L1698" i="1" s="1"/>
  <c r="I1699" i="1"/>
  <c r="K1699" i="1" s="1"/>
  <c r="I1700" i="1"/>
  <c r="K1700" i="1" s="1"/>
  <c r="I1701" i="1"/>
  <c r="I1702" i="1"/>
  <c r="L1702" i="1" s="1"/>
  <c r="I1703" i="1"/>
  <c r="L1703" i="1" s="1"/>
  <c r="I1704" i="1"/>
  <c r="I1705" i="1"/>
  <c r="L1705" i="1" s="1"/>
  <c r="I1706" i="1"/>
  <c r="I1707" i="1"/>
  <c r="L1707" i="1" s="1"/>
  <c r="I1708" i="1"/>
  <c r="L1708" i="1" s="1"/>
  <c r="I1709" i="1"/>
  <c r="L1709" i="1" s="1"/>
  <c r="I1710" i="1"/>
  <c r="K1710" i="1" s="1"/>
  <c r="I1711" i="1"/>
  <c r="L1711" i="1" s="1"/>
  <c r="I1712" i="1"/>
  <c r="K1712" i="1" s="1"/>
  <c r="I1713" i="1"/>
  <c r="I1714" i="1"/>
  <c r="I1715" i="1"/>
  <c r="I1716" i="1"/>
  <c r="I1717" i="1"/>
  <c r="I1718" i="1"/>
  <c r="I1719" i="1"/>
  <c r="K1719" i="1" s="1"/>
  <c r="I1720" i="1"/>
  <c r="L1720" i="1" s="1"/>
  <c r="I1721" i="1"/>
  <c r="K1721" i="1" s="1"/>
  <c r="I1722" i="1"/>
  <c r="L1722" i="1" s="1"/>
  <c r="I1723" i="1"/>
  <c r="I1724" i="1"/>
  <c r="L1724" i="1" s="1"/>
  <c r="I1725" i="1"/>
  <c r="L1725" i="1" s="1"/>
  <c r="I1726" i="1"/>
  <c r="L1726" i="1" s="1"/>
  <c r="I1727" i="1"/>
  <c r="I1728" i="1"/>
  <c r="I1729" i="1"/>
  <c r="L1729" i="1" s="1"/>
  <c r="I1730" i="1"/>
  <c r="L1730" i="1" s="1"/>
  <c r="I1731" i="1"/>
  <c r="I1732" i="1"/>
  <c r="L1732" i="1" s="1"/>
  <c r="I1733" i="1"/>
  <c r="L1733" i="1" s="1"/>
  <c r="I1734" i="1"/>
  <c r="L1734" i="1" s="1"/>
  <c r="I1735" i="1"/>
  <c r="I1736" i="1"/>
  <c r="L1736" i="1" s="1"/>
  <c r="I1737" i="1"/>
  <c r="I1738" i="1"/>
  <c r="I1739" i="1"/>
  <c r="I1740" i="1"/>
  <c r="I1741" i="1"/>
  <c r="I1742" i="1"/>
  <c r="I1743" i="1"/>
  <c r="L1743" i="1" s="1"/>
  <c r="I1744" i="1"/>
  <c r="L1744" i="1" s="1"/>
  <c r="I1745" i="1"/>
  <c r="L1745" i="1" s="1"/>
  <c r="I1746" i="1"/>
  <c r="L1746" i="1" s="1"/>
  <c r="I1747" i="1"/>
  <c r="L1747" i="1" s="1"/>
  <c r="I1748" i="1"/>
  <c r="L1748" i="1" s="1"/>
  <c r="I1749" i="1"/>
  <c r="I1750" i="1"/>
  <c r="I1751" i="1"/>
  <c r="I1752" i="1"/>
  <c r="I1753" i="1"/>
  <c r="L1753" i="1" s="1"/>
  <c r="I1754" i="1"/>
  <c r="L1754" i="1" s="1"/>
  <c r="I1755" i="1"/>
  <c r="L1755" i="1" s="1"/>
  <c r="I1756" i="1"/>
  <c r="L1756" i="1" s="1"/>
  <c r="I1757" i="1"/>
  <c r="L1757" i="1" s="1"/>
  <c r="I1758" i="1"/>
  <c r="K1758" i="1" s="1"/>
  <c r="I1759" i="1"/>
  <c r="I1760" i="1"/>
  <c r="I1761" i="1"/>
  <c r="I1762" i="1"/>
  <c r="I1763" i="1"/>
  <c r="I1764" i="1"/>
  <c r="I1765" i="1"/>
  <c r="L1765" i="1" s="1"/>
  <c r="I1766" i="1"/>
  <c r="L1766" i="1" s="1"/>
  <c r="I1767" i="1"/>
  <c r="L1767" i="1" s="1"/>
  <c r="I1768" i="1"/>
  <c r="L1768" i="1" s="1"/>
  <c r="I1769" i="1"/>
  <c r="L1769" i="1" s="1"/>
  <c r="I1770" i="1"/>
  <c r="L1770" i="1" s="1"/>
  <c r="I1771" i="1"/>
  <c r="I1772" i="1"/>
  <c r="I1773" i="1"/>
  <c r="L1773" i="1" s="1"/>
  <c r="I1774" i="1"/>
  <c r="L1774" i="1" s="1"/>
  <c r="I1775" i="1"/>
  <c r="L1775" i="1" s="1"/>
  <c r="I1776" i="1"/>
  <c r="K1776" i="1" s="1"/>
  <c r="I1777" i="1"/>
  <c r="I1778" i="1"/>
  <c r="I1779" i="1"/>
  <c r="I1780" i="1"/>
  <c r="L1780" i="1" s="1"/>
  <c r="I1781" i="1"/>
  <c r="L1781" i="1" s="1"/>
  <c r="I1782" i="1"/>
  <c r="L1782" i="1" s="1"/>
  <c r="I1783" i="1"/>
  <c r="I1784" i="1"/>
  <c r="K1784" i="1" s="1"/>
  <c r="I1785" i="1"/>
  <c r="L1785" i="1" s="1"/>
  <c r="I1786" i="1"/>
  <c r="L1786" i="1" s="1"/>
  <c r="I1787" i="1"/>
  <c r="I1788" i="1"/>
  <c r="I1789" i="1"/>
  <c r="L1789" i="1" s="1"/>
  <c r="I1790" i="1"/>
  <c r="I1791" i="1"/>
  <c r="L1791" i="1" s="1"/>
  <c r="I1792" i="1"/>
  <c r="L1792" i="1" s="1"/>
  <c r="I1793" i="1"/>
  <c r="K1793" i="1" s="1"/>
  <c r="I1794" i="1"/>
  <c r="K1794" i="1" s="1"/>
  <c r="I1795" i="1"/>
  <c r="L1795" i="1" s="1"/>
  <c r="I1796" i="1"/>
  <c r="L1796" i="1" s="1"/>
  <c r="I1797" i="1"/>
  <c r="I1798" i="1"/>
  <c r="I1799" i="1"/>
  <c r="I1800" i="1"/>
  <c r="I1801" i="1"/>
  <c r="I1802" i="1"/>
  <c r="I1803" i="1"/>
  <c r="L1803" i="1" s="1"/>
  <c r="I1804" i="1"/>
  <c r="L1804" i="1" s="1"/>
  <c r="I1805" i="1"/>
  <c r="L1805" i="1" s="1"/>
  <c r="I1806" i="1"/>
  <c r="L1806" i="1" s="1"/>
  <c r="I1807" i="1"/>
  <c r="L1807" i="1" s="1"/>
  <c r="I1808" i="1"/>
  <c r="L1808" i="1" s="1"/>
  <c r="I1809" i="1"/>
  <c r="I1810" i="1"/>
  <c r="L1810" i="1" s="1"/>
  <c r="I1811" i="1"/>
  <c r="L1811" i="1" s="1"/>
  <c r="I1812" i="1"/>
  <c r="I1813" i="1"/>
  <c r="L1813" i="1" s="1"/>
  <c r="I1814" i="1"/>
  <c r="I1815" i="1"/>
  <c r="I1816" i="1"/>
  <c r="L1816" i="1" s="1"/>
  <c r="I1817" i="1"/>
  <c r="L1817" i="1" s="1"/>
  <c r="I1818" i="1"/>
  <c r="L1818" i="1" s="1"/>
  <c r="I1819" i="1"/>
  <c r="I1820" i="1"/>
  <c r="I1821" i="1"/>
  <c r="I1822" i="1"/>
  <c r="L1822" i="1" s="1"/>
  <c r="I1823" i="1"/>
  <c r="K1823" i="1" s="1"/>
  <c r="I1824" i="1"/>
  <c r="K1824" i="1" s="1"/>
  <c r="I1825" i="1"/>
  <c r="L1825" i="1" s="1"/>
  <c r="I1826" i="1"/>
  <c r="I1827" i="1"/>
  <c r="L1827" i="1" s="1"/>
  <c r="I1828" i="1"/>
  <c r="L1828" i="1" s="1"/>
  <c r="I1829" i="1"/>
  <c r="L1829" i="1" s="1"/>
  <c r="I1830" i="1"/>
  <c r="K1830" i="1" s="1"/>
  <c r="I1831" i="1"/>
  <c r="L1831" i="1" s="1"/>
  <c r="I1832" i="1"/>
  <c r="L1832" i="1" s="1"/>
  <c r="I1833" i="1"/>
  <c r="I1834" i="1"/>
  <c r="I1835" i="1"/>
  <c r="I1836" i="1"/>
  <c r="I1837" i="1"/>
  <c r="I1838" i="1"/>
  <c r="I1839" i="1"/>
  <c r="L1839" i="1" s="1"/>
  <c r="I1840" i="1"/>
  <c r="L1840" i="1" s="1"/>
  <c r="I1841" i="1"/>
  <c r="L1841" i="1" s="1"/>
  <c r="I1842" i="1"/>
  <c r="L1842" i="1" s="1"/>
  <c r="I1843" i="1"/>
  <c r="L1843" i="1" s="1"/>
  <c r="I1844" i="1"/>
  <c r="L1844" i="1" s="1"/>
  <c r="I1845" i="1"/>
  <c r="I1846" i="1"/>
  <c r="L1846" i="1" s="1"/>
  <c r="I1847" i="1"/>
  <c r="L1847" i="1" s="1"/>
  <c r="I1848" i="1"/>
  <c r="I1849" i="1"/>
  <c r="L1849" i="1" s="1"/>
  <c r="I1850" i="1"/>
  <c r="I1851" i="1"/>
  <c r="I1852" i="1"/>
  <c r="L1852" i="1" s="1"/>
  <c r="I1853" i="1"/>
  <c r="K1853" i="1" s="1"/>
  <c r="I1854" i="1"/>
  <c r="L1854" i="1" s="1"/>
  <c r="I1855" i="1"/>
  <c r="I1856" i="1"/>
  <c r="I1857" i="1"/>
  <c r="I1858" i="1"/>
  <c r="L1858" i="1" s="1"/>
  <c r="I1859" i="1"/>
  <c r="L1859" i="1" s="1"/>
  <c r="I1860" i="1"/>
  <c r="I1861" i="1"/>
  <c r="L1861" i="1" s="1"/>
  <c r="I1862" i="1"/>
  <c r="I1863" i="1"/>
  <c r="L1863" i="1" s="1"/>
  <c r="I1864" i="1"/>
  <c r="L1864" i="1" s="1"/>
  <c r="I1865" i="1"/>
  <c r="L1865" i="1" s="1"/>
  <c r="I1866" i="1"/>
  <c r="L1866" i="1" s="1"/>
  <c r="I1867" i="1"/>
  <c r="L1867" i="1" s="1"/>
  <c r="I1868" i="1"/>
  <c r="L1868" i="1" s="1"/>
  <c r="I1869" i="1"/>
  <c r="I1870" i="1"/>
  <c r="K1870" i="1" s="1"/>
  <c r="I1871" i="1"/>
  <c r="K1871" i="1" s="1"/>
  <c r="I1872" i="1"/>
  <c r="I1873" i="1"/>
  <c r="I1874" i="1"/>
  <c r="I1875" i="1"/>
  <c r="L1875" i="1" s="1"/>
  <c r="I1876" i="1"/>
  <c r="L1876" i="1" s="1"/>
  <c r="I1877" i="1"/>
  <c r="L1877" i="1" s="1"/>
  <c r="I1878" i="1"/>
  <c r="K1878" i="1" s="1"/>
  <c r="I1879" i="1"/>
  <c r="L1879" i="1" s="1"/>
  <c r="I1880" i="1"/>
  <c r="L1880" i="1" s="1"/>
  <c r="I1881" i="1"/>
  <c r="I1882" i="1"/>
  <c r="L1882" i="1" s="1"/>
  <c r="I1883" i="1"/>
  <c r="L1883" i="1" s="1"/>
  <c r="I1884" i="1"/>
  <c r="I1885" i="1"/>
  <c r="L1885" i="1" s="1"/>
  <c r="I1886" i="1"/>
  <c r="I1887" i="1"/>
  <c r="I1888" i="1"/>
  <c r="L1888" i="1" s="1"/>
  <c r="I1889" i="1"/>
  <c r="L1889" i="1" s="1"/>
  <c r="I1890" i="1"/>
  <c r="L1890" i="1" s="1"/>
  <c r="I1891" i="1"/>
  <c r="I1892" i="1"/>
  <c r="I1893" i="1"/>
  <c r="I1894" i="1"/>
  <c r="L1894" i="1" s="1"/>
  <c r="I1895" i="1"/>
  <c r="L1895" i="1" s="1"/>
  <c r="I1896" i="1"/>
  <c r="I1897" i="1"/>
  <c r="L1897" i="1" s="1"/>
  <c r="I1898" i="1"/>
  <c r="K1898" i="1" s="1"/>
  <c r="I1899" i="1"/>
  <c r="L1899" i="1" s="1"/>
  <c r="I1900" i="1"/>
  <c r="L1900" i="1" s="1"/>
  <c r="I1901" i="1"/>
  <c r="K1901" i="1" s="1"/>
  <c r="I1902" i="1"/>
  <c r="K1902" i="1" s="1"/>
  <c r="I1903" i="1"/>
  <c r="L1903" i="1" s="1"/>
  <c r="I1904" i="1"/>
  <c r="L1904" i="1" s="1"/>
  <c r="I1905" i="1"/>
  <c r="I1906" i="1"/>
  <c r="I1907" i="1"/>
  <c r="I1908" i="1"/>
  <c r="I1909" i="1"/>
  <c r="I1910" i="1"/>
  <c r="I1911" i="1"/>
  <c r="L1911" i="1" s="1"/>
  <c r="I1912" i="1"/>
  <c r="L1912" i="1" s="1"/>
  <c r="I1913" i="1"/>
  <c r="L1913" i="1" s="1"/>
  <c r="I1914" i="1"/>
  <c r="L1914" i="1" s="1"/>
  <c r="I1915" i="1"/>
  <c r="L1915" i="1" s="1"/>
  <c r="I1916" i="1"/>
  <c r="L1916" i="1" s="1"/>
  <c r="I1917" i="1"/>
  <c r="I1918" i="1"/>
  <c r="L1918" i="1" s="1"/>
  <c r="I1919" i="1"/>
  <c r="L1919" i="1" s="1"/>
  <c r="I1920" i="1"/>
  <c r="I1921" i="1"/>
  <c r="L1921" i="1" s="1"/>
  <c r="I1922" i="1"/>
  <c r="I1923" i="1"/>
  <c r="I1924" i="1"/>
  <c r="L1924" i="1" s="1"/>
  <c r="I1925" i="1"/>
  <c r="L1925" i="1" s="1"/>
  <c r="I1926" i="1"/>
  <c r="K1926" i="1" s="1"/>
  <c r="I1927" i="1"/>
  <c r="I1928" i="1"/>
  <c r="I1929" i="1"/>
  <c r="I1930" i="1"/>
  <c r="L1930" i="1" s="1"/>
  <c r="I1931" i="1"/>
  <c r="L1931" i="1" s="1"/>
  <c r="I1932" i="1"/>
  <c r="I1933" i="1"/>
  <c r="L1933" i="1" s="1"/>
  <c r="I1934" i="1"/>
  <c r="I1935" i="1"/>
  <c r="L1935" i="1" s="1"/>
  <c r="I1936" i="1"/>
  <c r="L1936" i="1" s="1"/>
  <c r="I1937" i="1"/>
  <c r="L1937" i="1" s="1"/>
  <c r="I1938" i="1"/>
  <c r="L1938" i="1" s="1"/>
  <c r="I1939" i="1"/>
  <c r="L1939" i="1" s="1"/>
  <c r="I1940" i="1"/>
  <c r="L1940" i="1" s="1"/>
  <c r="I1941" i="1"/>
  <c r="I1942" i="1"/>
  <c r="K1942" i="1" s="1"/>
  <c r="I1943" i="1"/>
  <c r="K1943" i="1" s="1"/>
  <c r="I1944" i="1"/>
  <c r="I1945" i="1"/>
  <c r="I1946" i="1"/>
  <c r="I1947" i="1"/>
  <c r="L1947" i="1" s="1"/>
  <c r="I1948" i="1"/>
  <c r="L1948" i="1" s="1"/>
  <c r="I1949" i="1"/>
  <c r="K1949" i="1" s="1"/>
  <c r="I1950" i="1"/>
  <c r="L1950" i="1" s="1"/>
  <c r="I1951" i="1"/>
  <c r="L1951" i="1" s="1"/>
  <c r="I1952" i="1"/>
  <c r="L1952" i="1" s="1"/>
  <c r="I1953" i="1"/>
  <c r="I1954" i="1"/>
  <c r="L1954" i="1" s="1"/>
  <c r="I1955" i="1"/>
  <c r="L1955" i="1" s="1"/>
  <c r="I1956" i="1"/>
  <c r="I1957" i="1"/>
  <c r="L1957" i="1" s="1"/>
  <c r="I1958" i="1"/>
  <c r="I1959" i="1"/>
  <c r="I1960" i="1"/>
  <c r="L1960" i="1" s="1"/>
  <c r="I1961" i="1"/>
  <c r="L1961" i="1" s="1"/>
  <c r="I1962" i="1"/>
  <c r="L1962" i="1" s="1"/>
  <c r="I1963" i="1"/>
  <c r="I1964" i="1"/>
  <c r="I1965" i="1"/>
  <c r="I1966" i="1"/>
  <c r="L1966" i="1" s="1"/>
  <c r="I1967" i="1"/>
  <c r="L1967" i="1" s="1"/>
  <c r="I1968" i="1"/>
  <c r="I1969" i="1"/>
  <c r="L1969" i="1" s="1"/>
  <c r="I1970" i="1"/>
  <c r="K1970" i="1" s="1"/>
  <c r="I1971" i="1"/>
  <c r="L1971" i="1" s="1"/>
  <c r="I1972" i="1"/>
  <c r="L1972" i="1" s="1"/>
  <c r="I1973" i="1"/>
  <c r="K1973" i="1" s="1"/>
  <c r="I1974" i="1"/>
  <c r="K1974" i="1" s="1"/>
  <c r="I1975" i="1"/>
  <c r="L1975" i="1" s="1"/>
  <c r="I1976" i="1"/>
  <c r="L1976" i="1" s="1"/>
  <c r="I1977" i="1"/>
  <c r="I1978" i="1"/>
  <c r="I1979" i="1"/>
  <c r="I1980" i="1"/>
  <c r="I1981" i="1"/>
  <c r="I1982" i="1"/>
  <c r="I1983" i="1"/>
  <c r="L1983" i="1" s="1"/>
  <c r="I1984" i="1"/>
  <c r="L1984" i="1" s="1"/>
  <c r="I1985" i="1"/>
  <c r="L1985" i="1" s="1"/>
  <c r="I1986" i="1"/>
  <c r="L1986" i="1" s="1"/>
  <c r="I1987" i="1"/>
  <c r="L1987" i="1" s="1"/>
  <c r="I1988" i="1"/>
  <c r="L1988" i="1" s="1"/>
  <c r="I1989" i="1"/>
  <c r="I1990" i="1"/>
  <c r="L1990" i="1" s="1"/>
  <c r="I1991" i="1"/>
  <c r="L1991" i="1" s="1"/>
  <c r="I1992" i="1"/>
  <c r="I1993" i="1"/>
  <c r="L1993" i="1" s="1"/>
  <c r="I1994" i="1"/>
  <c r="I1995" i="1"/>
  <c r="I1996" i="1"/>
  <c r="K1996" i="1" s="1"/>
  <c r="I1997" i="1"/>
  <c r="L1997" i="1" s="1"/>
  <c r="I1998" i="1"/>
  <c r="L1998" i="1" s="1"/>
  <c r="I1999" i="1"/>
  <c r="I2000" i="1"/>
  <c r="I2001" i="1"/>
  <c r="I2002" i="1"/>
  <c r="L2002" i="1" s="1"/>
  <c r="I2003" i="1"/>
  <c r="L2003" i="1" s="1"/>
  <c r="I2004" i="1"/>
  <c r="I2005" i="1"/>
  <c r="L2005" i="1" s="1"/>
  <c r="I2006" i="1"/>
  <c r="I2007" i="1"/>
  <c r="L2007" i="1" s="1"/>
  <c r="I2008" i="1"/>
  <c r="L2008" i="1" s="1"/>
  <c r="I2009" i="1"/>
  <c r="L2009" i="1" s="1"/>
  <c r="I2010" i="1"/>
  <c r="L2010" i="1" s="1"/>
  <c r="I2011" i="1"/>
  <c r="L2011" i="1" s="1"/>
  <c r="I2012" i="1"/>
  <c r="L2012" i="1" s="1"/>
  <c r="I2013" i="1"/>
  <c r="I2014" i="1"/>
  <c r="I2015" i="1"/>
  <c r="I2016" i="1"/>
  <c r="I2017" i="1"/>
  <c r="I2018" i="1"/>
  <c r="K2018" i="1" s="1"/>
  <c r="I2019" i="1"/>
  <c r="K2019" i="1" s="1"/>
  <c r="I2020" i="1"/>
  <c r="L2020" i="1" s="1"/>
  <c r="I2021" i="1"/>
  <c r="L2021" i="1" s="1"/>
  <c r="I2022" i="1"/>
  <c r="K2022" i="1" s="1"/>
  <c r="I2023" i="1"/>
  <c r="L2023" i="1" s="1"/>
  <c r="I2024" i="1"/>
  <c r="L2024" i="1" s="1"/>
  <c r="I2025" i="1"/>
  <c r="I2026" i="1"/>
  <c r="L2026" i="1" s="1"/>
  <c r="I2027" i="1"/>
  <c r="L2027" i="1" s="1"/>
  <c r="I2028" i="1"/>
  <c r="K2028" i="1" s="1"/>
  <c r="I2029" i="1"/>
  <c r="K2029" i="1" s="1"/>
  <c r="I2030" i="1"/>
  <c r="I2031" i="1"/>
  <c r="I2032" i="1"/>
  <c r="L2032" i="1" s="1"/>
  <c r="I2033" i="1"/>
  <c r="L2033" i="1" s="1"/>
  <c r="I2034" i="1"/>
  <c r="L2034" i="1" s="1"/>
  <c r="I2035" i="1"/>
  <c r="I2036" i="1"/>
  <c r="I2037" i="1"/>
  <c r="I2038" i="1"/>
  <c r="L2038" i="1" s="1"/>
  <c r="I2039" i="1"/>
  <c r="L2039" i="1" s="1"/>
  <c r="I2040" i="1"/>
  <c r="I2041" i="1"/>
  <c r="L2041" i="1" s="1"/>
  <c r="I2042" i="1"/>
  <c r="I2043" i="1"/>
  <c r="L2043" i="1" s="1"/>
  <c r="I2044" i="1"/>
  <c r="K2044" i="1" s="1"/>
  <c r="I2045" i="1"/>
  <c r="K2045" i="1" s="1"/>
  <c r="I2046" i="1"/>
  <c r="K2046" i="1" s="1"/>
  <c r="I2047" i="1"/>
  <c r="L2047" i="1" s="1"/>
  <c r="I2048" i="1"/>
  <c r="L2048" i="1" s="1"/>
  <c r="I2049" i="1"/>
  <c r="I2050" i="1"/>
  <c r="I2051" i="1"/>
  <c r="I2052" i="1"/>
  <c r="I2053" i="1"/>
  <c r="I2054" i="1"/>
  <c r="I2055" i="1"/>
  <c r="L2055" i="1" s="1"/>
  <c r="I2056" i="1"/>
  <c r="K2056" i="1" s="1"/>
  <c r="I2057" i="1"/>
  <c r="K2057" i="1" s="1"/>
  <c r="I2058" i="1"/>
  <c r="L2058" i="1" s="1"/>
  <c r="I2059" i="1"/>
  <c r="L2059" i="1" s="1"/>
  <c r="I2060" i="1"/>
  <c r="L2060" i="1" s="1"/>
  <c r="I2061" i="1"/>
  <c r="I2062" i="1"/>
  <c r="L2062" i="1" s="1"/>
  <c r="I2063" i="1"/>
  <c r="L2063" i="1" s="1"/>
  <c r="I2064" i="1"/>
  <c r="L2064" i="1" s="1"/>
  <c r="I2065" i="1"/>
  <c r="I2066" i="1"/>
  <c r="K2066" i="1" s="1"/>
  <c r="I2067" i="1"/>
  <c r="I2068" i="1"/>
  <c r="L2068" i="1" s="1"/>
  <c r="I2069" i="1"/>
  <c r="L2069" i="1" s="1"/>
  <c r="I2070" i="1"/>
  <c r="K2070" i="1" s="1"/>
  <c r="I2071" i="1"/>
  <c r="I2072" i="1"/>
  <c r="I2073" i="1"/>
  <c r="L2073" i="1" s="1"/>
  <c r="I2074" i="1"/>
  <c r="L2074" i="1" s="1"/>
  <c r="I2075" i="1"/>
  <c r="L2075" i="1" s="1"/>
  <c r="I2076" i="1"/>
  <c r="I2077" i="1"/>
  <c r="L2077" i="1" s="1"/>
  <c r="I2078" i="1"/>
  <c r="L2078" i="1" s="1"/>
  <c r="I2079" i="1"/>
  <c r="L2079" i="1" s="1"/>
  <c r="I2080" i="1"/>
  <c r="K2080" i="1" s="1"/>
  <c r="I2081" i="1"/>
  <c r="K2081" i="1" s="1"/>
  <c r="I2082" i="1"/>
  <c r="K2082" i="1" s="1"/>
  <c r="I2083" i="1"/>
  <c r="I2084" i="1"/>
  <c r="I2085" i="1"/>
  <c r="I2086" i="1"/>
  <c r="I2087" i="1"/>
  <c r="I2088" i="1"/>
  <c r="L2088" i="1" s="1"/>
  <c r="I2089" i="1"/>
  <c r="L2089" i="1" s="1"/>
  <c r="I2090" i="1"/>
  <c r="L2090" i="1" s="1"/>
  <c r="I2091" i="1"/>
  <c r="I2092" i="1"/>
  <c r="L2092" i="1" s="1"/>
  <c r="I2093" i="1"/>
  <c r="L2093" i="1" s="1"/>
  <c r="I2094" i="1"/>
  <c r="K2094" i="1" s="1"/>
  <c r="I2095" i="1"/>
  <c r="L2095" i="1" s="1"/>
  <c r="I2096" i="1"/>
  <c r="L2096" i="1" s="1"/>
  <c r="I2097" i="1"/>
  <c r="L2097" i="1" s="1"/>
  <c r="I2098" i="1"/>
  <c r="I2099" i="1"/>
  <c r="I2100" i="1"/>
  <c r="I2101" i="1"/>
  <c r="I2102" i="1"/>
  <c r="I2103" i="1"/>
  <c r="L2103" i="1" s="1"/>
  <c r="I2104" i="1"/>
  <c r="K2104" i="1" s="1"/>
  <c r="I2105" i="1"/>
  <c r="K2105" i="1" s="1"/>
  <c r="I2106" i="1"/>
  <c r="L2106" i="1" s="1"/>
  <c r="I2107" i="1"/>
  <c r="L2107" i="1" s="1"/>
  <c r="I2108" i="1"/>
  <c r="L2108" i="1" s="1"/>
  <c r="I2109" i="1"/>
  <c r="I2110" i="1"/>
  <c r="L2110" i="1" s="1"/>
  <c r="I2111" i="1"/>
  <c r="L2111" i="1" s="1"/>
  <c r="I2112" i="1"/>
  <c r="L2112" i="1" s="1"/>
  <c r="I2113" i="1"/>
  <c r="I2114" i="1"/>
  <c r="I2115" i="1"/>
  <c r="I2116" i="1"/>
  <c r="K2116" i="1" s="1"/>
  <c r="I2117" i="1"/>
  <c r="L2117" i="1" s="1"/>
  <c r="I2118" i="1"/>
  <c r="L2118" i="1" s="1"/>
  <c r="I2119" i="1"/>
  <c r="I2120" i="1"/>
  <c r="I2121" i="1"/>
  <c r="L2121" i="1" s="1"/>
  <c r="I2122" i="1"/>
  <c r="L2122" i="1" s="1"/>
  <c r="I2123" i="1"/>
  <c r="L2123" i="1" s="1"/>
  <c r="I2124" i="1"/>
  <c r="I2125" i="1"/>
  <c r="L2125" i="1" s="1"/>
  <c r="I2126" i="1"/>
  <c r="L2126" i="1" s="1"/>
  <c r="I2127" i="1"/>
  <c r="L2127" i="1" s="1"/>
  <c r="I2128" i="1"/>
  <c r="K2128" i="1" s="1"/>
  <c r="I2129" i="1"/>
  <c r="L2129" i="1" s="1"/>
  <c r="I2130" i="1"/>
  <c r="K2130" i="1" s="1"/>
  <c r="I2131" i="1"/>
  <c r="K2131" i="1" s="1"/>
  <c r="I2132" i="1"/>
  <c r="K2132" i="1" s="1"/>
  <c r="I2133" i="1"/>
  <c r="I2134" i="1"/>
  <c r="I2135" i="1"/>
  <c r="I2136" i="1"/>
  <c r="L2136" i="1" s="1"/>
  <c r="I2137" i="1"/>
  <c r="L2137" i="1" s="1"/>
  <c r="I2138" i="1"/>
  <c r="L2138" i="1" s="1"/>
  <c r="I2139" i="1"/>
  <c r="I2140" i="1"/>
  <c r="L2140" i="1" s="1"/>
  <c r="I2141" i="1"/>
  <c r="L2141" i="1" s="1"/>
  <c r="I2142" i="1"/>
  <c r="L2142" i="1" s="1"/>
  <c r="I2143" i="1"/>
  <c r="L2143" i="1" s="1"/>
  <c r="I2144" i="1"/>
  <c r="L2144" i="1" s="1"/>
  <c r="I2145" i="1"/>
  <c r="L2145" i="1" s="1"/>
  <c r="I2146" i="1"/>
  <c r="I2147" i="1"/>
  <c r="I2148" i="1"/>
  <c r="I2149" i="1"/>
  <c r="I2150" i="1"/>
  <c r="I2151" i="1"/>
  <c r="L2151" i="1" s="1"/>
  <c r="I2152" i="1"/>
  <c r="K2152" i="1" s="1"/>
  <c r="I2153" i="1"/>
  <c r="L2153" i="1" s="1"/>
  <c r="I2154" i="1"/>
  <c r="L2154" i="1" s="1"/>
  <c r="I2155" i="1"/>
  <c r="L2155" i="1" s="1"/>
  <c r="I2156" i="1"/>
  <c r="L2156" i="1" s="1"/>
  <c r="I2157" i="1"/>
  <c r="I2158" i="1"/>
  <c r="L2158" i="1" s="1"/>
  <c r="I2159" i="1"/>
  <c r="L2159" i="1" s="1"/>
  <c r="I2160" i="1"/>
  <c r="L2160" i="1" s="1"/>
  <c r="I2161" i="1"/>
  <c r="I2162" i="1"/>
  <c r="I2163" i="1"/>
  <c r="I2164" i="1"/>
  <c r="L2164" i="1" s="1"/>
  <c r="I2165" i="1"/>
  <c r="L2165" i="1" s="1"/>
  <c r="I2166" i="1"/>
  <c r="L2166" i="1" s="1"/>
  <c r="I2167" i="1"/>
  <c r="I2168" i="1"/>
  <c r="I2169" i="1"/>
  <c r="L2169" i="1" s="1"/>
  <c r="I2170" i="1"/>
  <c r="L2170" i="1" s="1"/>
  <c r="I2171" i="1"/>
  <c r="L2171" i="1" s="1"/>
  <c r="I2172" i="1"/>
  <c r="I2173" i="1"/>
  <c r="L2173" i="1" s="1"/>
  <c r="I2174" i="1"/>
  <c r="K2174" i="1" s="1"/>
  <c r="I2175" i="1"/>
  <c r="K2175" i="1" s="1"/>
  <c r="I2176" i="1"/>
  <c r="K2176" i="1" s="1"/>
  <c r="I2177" i="1"/>
  <c r="K2177" i="1" s="1"/>
  <c r="L1712" i="1" l="1"/>
  <c r="L1378" i="1"/>
  <c r="L188" i="1"/>
  <c r="K2169" i="1"/>
  <c r="K2144" i="1"/>
  <c r="K1667" i="1"/>
  <c r="L1353" i="1"/>
  <c r="K2145" i="1"/>
  <c r="K2096" i="1"/>
  <c r="K1666" i="1"/>
  <c r="K1664" i="1"/>
  <c r="K1628" i="1"/>
  <c r="K1194" i="1"/>
  <c r="K700" i="1"/>
  <c r="K404" i="1"/>
  <c r="K1343" i="1"/>
  <c r="L1878" i="1"/>
  <c r="K1342" i="1"/>
  <c r="K1747" i="1"/>
  <c r="L643" i="1"/>
  <c r="L642" i="1"/>
  <c r="K666" i="1"/>
  <c r="K918" i="1"/>
  <c r="K522" i="1"/>
  <c r="L78" i="1"/>
  <c r="K2012" i="1"/>
  <c r="K1341" i="1"/>
  <c r="K882" i="1"/>
  <c r="K486" i="1"/>
  <c r="L1326" i="1"/>
  <c r="L30" i="1"/>
  <c r="L1830" i="1"/>
  <c r="L1758" i="1"/>
  <c r="L630" i="1"/>
  <c r="K2143" i="1"/>
  <c r="K870" i="1"/>
  <c r="K690" i="1"/>
  <c r="K1014" i="1"/>
  <c r="L174" i="1"/>
  <c r="K532" i="1"/>
  <c r="K1302" i="1"/>
  <c r="K1904" i="1"/>
  <c r="K1278" i="1"/>
  <c r="K822" i="1"/>
  <c r="K100" i="1"/>
  <c r="L1158" i="1"/>
  <c r="K1122" i="1"/>
  <c r="K1026" i="1"/>
  <c r="K930" i="1"/>
  <c r="L126" i="1"/>
  <c r="K2011" i="1"/>
  <c r="L1314" i="1"/>
  <c r="K1831" i="1"/>
  <c r="K1242" i="1"/>
  <c r="K763" i="1"/>
  <c r="L2070" i="1"/>
  <c r="L904" i="1"/>
  <c r="K1062" i="1"/>
  <c r="L1710" i="1"/>
  <c r="K1748" i="1"/>
  <c r="K1204" i="1"/>
  <c r="K762" i="1"/>
  <c r="L2046" i="1"/>
  <c r="L644" i="1"/>
  <c r="K377" i="1"/>
  <c r="L233" i="1"/>
  <c r="K929" i="1"/>
  <c r="K809" i="1"/>
  <c r="K292" i="1"/>
  <c r="L173" i="1"/>
  <c r="K1145" i="1"/>
  <c r="K773" i="1"/>
  <c r="L701" i="1"/>
  <c r="K652" i="1"/>
  <c r="L2057" i="1"/>
  <c r="K1132" i="1"/>
  <c r="L2056" i="1"/>
  <c r="K1930" i="1"/>
  <c r="L1157" i="1"/>
  <c r="K1581" i="1"/>
  <c r="K965" i="1"/>
  <c r="K549" i="1"/>
  <c r="K184" i="1"/>
  <c r="K1903" i="1"/>
  <c r="K1580" i="1"/>
  <c r="K1241" i="1"/>
  <c r="K1110" i="1"/>
  <c r="K964" i="1"/>
  <c r="K868" i="1"/>
  <c r="K760" i="1"/>
  <c r="K545" i="1"/>
  <c r="K400" i="1"/>
  <c r="L2044" i="1"/>
  <c r="L1496" i="1"/>
  <c r="L968" i="1"/>
  <c r="L1901" i="1"/>
  <c r="K821" i="1"/>
  <c r="K293" i="1"/>
  <c r="L892" i="1"/>
  <c r="K1036" i="1"/>
  <c r="K76" i="1"/>
  <c r="L880" i="1"/>
  <c r="K1192" i="1"/>
  <c r="K917" i="1"/>
  <c r="K665" i="1"/>
  <c r="L2152" i="1"/>
  <c r="L713" i="1"/>
  <c r="K916" i="1"/>
  <c r="K664" i="1"/>
  <c r="K221" i="1"/>
  <c r="L1289" i="1"/>
  <c r="K1144" i="1"/>
  <c r="K772" i="1"/>
  <c r="K220" i="1"/>
  <c r="L1229" i="1"/>
  <c r="K1276" i="1"/>
  <c r="K881" i="1"/>
  <c r="K413" i="1"/>
  <c r="K1264" i="1"/>
  <c r="K196" i="1"/>
  <c r="K761" i="1"/>
  <c r="L2045" i="1"/>
  <c r="K1858" i="1"/>
  <c r="K1437" i="1"/>
  <c r="K1240" i="1"/>
  <c r="K1096" i="1"/>
  <c r="K935" i="1"/>
  <c r="K858" i="1"/>
  <c r="K748" i="1"/>
  <c r="K544" i="1"/>
  <c r="K389" i="1"/>
  <c r="K112" i="1"/>
  <c r="L2022" i="1"/>
  <c r="L1493" i="1"/>
  <c r="L958" i="1"/>
  <c r="L520" i="1"/>
  <c r="K1048" i="1"/>
  <c r="K77" i="1"/>
  <c r="K1193" i="1"/>
  <c r="K496" i="1"/>
  <c r="L1853" i="1"/>
  <c r="K808" i="1"/>
  <c r="K269" i="1"/>
  <c r="K1025" i="1"/>
  <c r="K461" i="1"/>
  <c r="K1277" i="1"/>
  <c r="K460" i="1"/>
  <c r="L1721" i="1"/>
  <c r="L125" i="1"/>
  <c r="K1013" i="1"/>
  <c r="K197" i="1"/>
  <c r="K1582" i="1"/>
  <c r="K988" i="1"/>
  <c r="K1121" i="1"/>
  <c r="K869" i="1"/>
  <c r="K401" i="1"/>
  <c r="L1673" i="1"/>
  <c r="K1832" i="1"/>
  <c r="K1436" i="1"/>
  <c r="K1228" i="1"/>
  <c r="K1084" i="1"/>
  <c r="K931" i="1"/>
  <c r="K833" i="1"/>
  <c r="K712" i="1"/>
  <c r="K533" i="1"/>
  <c r="K388" i="1"/>
  <c r="K101" i="1"/>
  <c r="L1973" i="1"/>
  <c r="L1458" i="1"/>
  <c r="L956" i="1"/>
  <c r="K2079" i="1"/>
  <c r="K488" i="1"/>
  <c r="L2132" i="1"/>
  <c r="K1736" i="1"/>
  <c r="L2131" i="1"/>
  <c r="K1975" i="1"/>
  <c r="K1475" i="1"/>
  <c r="K1267" i="1"/>
  <c r="K1180" i="1"/>
  <c r="K1075" i="1"/>
  <c r="K978" i="1"/>
  <c r="K906" i="1"/>
  <c r="K820" i="1"/>
  <c r="K724" i="1"/>
  <c r="K618" i="1"/>
  <c r="K485" i="1"/>
  <c r="K328" i="1"/>
  <c r="K172" i="1"/>
  <c r="L2130" i="1"/>
  <c r="L1949" i="1"/>
  <c r="L1661" i="1"/>
  <c r="L1171" i="1"/>
  <c r="L473" i="1"/>
  <c r="K1047" i="1"/>
  <c r="L2019" i="1"/>
  <c r="K1531" i="1"/>
  <c r="K2171" i="1"/>
  <c r="K1933" i="1"/>
  <c r="K1711" i="1"/>
  <c r="K1474" i="1"/>
  <c r="K1266" i="1"/>
  <c r="K1170" i="1"/>
  <c r="K1074" i="1"/>
  <c r="K977" i="1"/>
  <c r="K887" i="1"/>
  <c r="K819" i="1"/>
  <c r="K714" i="1"/>
  <c r="K617" i="1"/>
  <c r="K316" i="1"/>
  <c r="K136" i="1"/>
  <c r="L2116" i="1"/>
  <c r="L1926" i="1"/>
  <c r="L1530" i="1"/>
  <c r="L448" i="1"/>
  <c r="L2175" i="1"/>
  <c r="K1533" i="1"/>
  <c r="K1091" i="1"/>
  <c r="K1976" i="1"/>
  <c r="K2170" i="1"/>
  <c r="K1931" i="1"/>
  <c r="K1669" i="1"/>
  <c r="K1461" i="1"/>
  <c r="K1265" i="1"/>
  <c r="K1146" i="1"/>
  <c r="K1073" i="1"/>
  <c r="K966" i="1"/>
  <c r="K883" i="1"/>
  <c r="K810" i="1"/>
  <c r="K616" i="1"/>
  <c r="K472" i="1"/>
  <c r="K305" i="1"/>
  <c r="L2105" i="1"/>
  <c r="L1902" i="1"/>
  <c r="L1529" i="1"/>
  <c r="L1159" i="1"/>
  <c r="L414" i="1"/>
  <c r="K2077" i="1"/>
  <c r="K2003" i="1"/>
  <c r="K1825" i="1"/>
  <c r="K1537" i="1"/>
  <c r="K1438" i="1"/>
  <c r="K1331" i="1"/>
  <c r="K1270" i="1"/>
  <c r="K1238" i="1"/>
  <c r="K1082" i="1"/>
  <c r="K1031" i="1"/>
  <c r="K972" i="1"/>
  <c r="K610" i="1"/>
  <c r="L1366" i="1"/>
  <c r="L660" i="1"/>
  <c r="K1753" i="1"/>
  <c r="L2174" i="1"/>
  <c r="K2078" i="1"/>
  <c r="K216" i="1"/>
  <c r="L1368" i="1"/>
  <c r="K1330" i="1"/>
  <c r="K1236" i="1"/>
  <c r="K648" i="1"/>
  <c r="L455" i="1"/>
  <c r="K1897" i="1"/>
  <c r="K1317" i="1"/>
  <c r="K1235" i="1"/>
  <c r="K647" i="1"/>
  <c r="K2112" i="1"/>
  <c r="K1621" i="1"/>
  <c r="K696" i="1"/>
  <c r="L1646" i="1"/>
  <c r="K2048" i="1"/>
  <c r="K1795" i="1"/>
  <c r="K1510" i="1"/>
  <c r="K739" i="1"/>
  <c r="K597" i="1"/>
  <c r="K372" i="1"/>
  <c r="L1447" i="1"/>
  <c r="K2110" i="1"/>
  <c r="K2047" i="1"/>
  <c r="K1967" i="1"/>
  <c r="K1868" i="1"/>
  <c r="K1789" i="1"/>
  <c r="K1703" i="1"/>
  <c r="K1617" i="1"/>
  <c r="K1509" i="1"/>
  <c r="K1387" i="1"/>
  <c r="K1292" i="1"/>
  <c r="K1258" i="1"/>
  <c r="K1218" i="1"/>
  <c r="K1169" i="1"/>
  <c r="K1109" i="1"/>
  <c r="K1061" i="1"/>
  <c r="K1012" i="1"/>
  <c r="K954" i="1"/>
  <c r="K905" i="1"/>
  <c r="K857" i="1"/>
  <c r="K796" i="1"/>
  <c r="K738" i="1"/>
  <c r="K689" i="1"/>
  <c r="K641" i="1"/>
  <c r="K592" i="1"/>
  <c r="K521" i="1"/>
  <c r="K365" i="1"/>
  <c r="K261" i="1"/>
  <c r="K154" i="1"/>
  <c r="K53" i="1"/>
  <c r="L2094" i="1"/>
  <c r="L2018" i="1"/>
  <c r="L1823" i="1"/>
  <c r="L1605" i="1"/>
  <c r="L1446" i="1"/>
  <c r="L1253" i="1"/>
  <c r="L1035" i="1"/>
  <c r="L298" i="1"/>
  <c r="K1754" i="1"/>
  <c r="L1369" i="1"/>
  <c r="K2005" i="1"/>
  <c r="L1525" i="1"/>
  <c r="K2002" i="1"/>
  <c r="K1188" i="1"/>
  <c r="K602" i="1"/>
  <c r="K2074" i="1"/>
  <c r="K1822" i="1"/>
  <c r="K1622" i="1"/>
  <c r="K1187" i="1"/>
  <c r="K698" i="1"/>
  <c r="K600" i="1"/>
  <c r="K526" i="1"/>
  <c r="K274" i="1"/>
  <c r="K1895" i="1"/>
  <c r="K1523" i="1"/>
  <c r="K1115" i="1"/>
  <c r="K598" i="1"/>
  <c r="K1969" i="1"/>
  <c r="K1705" i="1"/>
  <c r="K1389" i="1"/>
  <c r="K1219" i="1"/>
  <c r="L1645" i="1"/>
  <c r="K2108" i="1"/>
  <c r="K2041" i="1"/>
  <c r="K1966" i="1"/>
  <c r="K1867" i="1"/>
  <c r="K1786" i="1"/>
  <c r="K1702" i="1"/>
  <c r="K1616" i="1"/>
  <c r="K1487" i="1"/>
  <c r="K1379" i="1"/>
  <c r="K1291" i="1"/>
  <c r="K1254" i="1"/>
  <c r="K1217" i="1"/>
  <c r="K1108" i="1"/>
  <c r="K1060" i="1"/>
  <c r="K1002" i="1"/>
  <c r="K953" i="1"/>
  <c r="K856" i="1"/>
  <c r="K786" i="1"/>
  <c r="K737" i="1"/>
  <c r="K678" i="1"/>
  <c r="K574" i="1"/>
  <c r="K509" i="1"/>
  <c r="K442" i="1"/>
  <c r="K347" i="1"/>
  <c r="K245" i="1"/>
  <c r="K153" i="1"/>
  <c r="K52" i="1"/>
  <c r="L2082" i="1"/>
  <c r="L1794" i="1"/>
  <c r="L1602" i="1"/>
  <c r="L1434" i="1"/>
  <c r="L1033" i="1"/>
  <c r="L571" i="1"/>
  <c r="L281" i="1"/>
  <c r="K2073" i="1"/>
  <c r="K1393" i="1"/>
  <c r="K525" i="1"/>
  <c r="K273" i="1"/>
  <c r="K2111" i="1"/>
  <c r="K1894" i="1"/>
  <c r="K1618" i="1"/>
  <c r="K1294" i="1"/>
  <c r="K72" i="1"/>
  <c r="L1057" i="1"/>
  <c r="L403" i="1"/>
  <c r="K2107" i="1"/>
  <c r="K2039" i="1"/>
  <c r="K1940" i="1"/>
  <c r="K1861" i="1"/>
  <c r="K1785" i="1"/>
  <c r="K1690" i="1"/>
  <c r="K1604" i="1"/>
  <c r="K1486" i="1"/>
  <c r="K1290" i="1"/>
  <c r="K1206" i="1"/>
  <c r="K1098" i="1"/>
  <c r="K1050" i="1"/>
  <c r="K1001" i="1"/>
  <c r="K952" i="1"/>
  <c r="K903" i="1"/>
  <c r="K844" i="1"/>
  <c r="K785" i="1"/>
  <c r="K726" i="1"/>
  <c r="K677" i="1"/>
  <c r="K629" i="1"/>
  <c r="K558" i="1"/>
  <c r="K508" i="1"/>
  <c r="K441" i="1"/>
  <c r="K346" i="1"/>
  <c r="K244" i="1"/>
  <c r="K149" i="1"/>
  <c r="L2177" i="1"/>
  <c r="L2081" i="1"/>
  <c r="L1996" i="1"/>
  <c r="L1784" i="1"/>
  <c r="L1601" i="1"/>
  <c r="L1410" i="1"/>
  <c r="L1239" i="1"/>
  <c r="L1030" i="1"/>
  <c r="L557" i="1"/>
  <c r="L279" i="1"/>
  <c r="K2075" i="1"/>
  <c r="K971" i="1"/>
  <c r="K1796" i="1"/>
  <c r="K2173" i="1"/>
  <c r="K2097" i="1"/>
  <c r="K2038" i="1"/>
  <c r="K1939" i="1"/>
  <c r="K1859" i="1"/>
  <c r="K1755" i="1"/>
  <c r="K1689" i="1"/>
  <c r="K1603" i="1"/>
  <c r="K1485" i="1"/>
  <c r="K1365" i="1"/>
  <c r="K1252" i="1"/>
  <c r="K1205" i="1"/>
  <c r="K1156" i="1"/>
  <c r="K1097" i="1"/>
  <c r="K1049" i="1"/>
  <c r="K1000" i="1"/>
  <c r="K940" i="1"/>
  <c r="K834" i="1"/>
  <c r="K774" i="1"/>
  <c r="K725" i="1"/>
  <c r="K676" i="1"/>
  <c r="K628" i="1"/>
  <c r="K497" i="1"/>
  <c r="K329" i="1"/>
  <c r="K228" i="1"/>
  <c r="K137" i="1"/>
  <c r="L2176" i="1"/>
  <c r="L2080" i="1"/>
  <c r="L1974" i="1"/>
  <c r="L1776" i="1"/>
  <c r="L1577" i="1"/>
  <c r="L1397" i="1"/>
  <c r="L1230" i="1"/>
  <c r="L976" i="1"/>
  <c r="L546" i="1"/>
  <c r="L246" i="1"/>
  <c r="K1191" i="1"/>
  <c r="K854" i="1"/>
  <c r="K493" i="1"/>
  <c r="K349" i="1"/>
  <c r="K217" i="1"/>
  <c r="L2066" i="1"/>
  <c r="L1898" i="1"/>
  <c r="L1635" i="1"/>
  <c r="L2091" i="1"/>
  <c r="K2091" i="1"/>
  <c r="L2067" i="1"/>
  <c r="K2067" i="1"/>
  <c r="L1959" i="1"/>
  <c r="K1959" i="1"/>
  <c r="L1923" i="1"/>
  <c r="K1923" i="1"/>
  <c r="L1815" i="1"/>
  <c r="K1815" i="1"/>
  <c r="L1515" i="1"/>
  <c r="K1515" i="1"/>
  <c r="L1479" i="1"/>
  <c r="K1479" i="1"/>
  <c r="L1455" i="1"/>
  <c r="K1455" i="1"/>
  <c r="L1407" i="1"/>
  <c r="K1407" i="1"/>
  <c r="L1383" i="1"/>
  <c r="K1383" i="1"/>
  <c r="L1323" i="1"/>
  <c r="K1323" i="1"/>
  <c r="L1167" i="1"/>
  <c r="K1167" i="1"/>
  <c r="L1083" i="1"/>
  <c r="K1083" i="1"/>
  <c r="L1071" i="1"/>
  <c r="K1071" i="1"/>
  <c r="L987" i="1"/>
  <c r="K987" i="1"/>
  <c r="K867" i="1"/>
  <c r="L867" i="1"/>
  <c r="L783" i="1"/>
  <c r="K783" i="1"/>
  <c r="L747" i="1"/>
  <c r="K747" i="1"/>
  <c r="L723" i="1"/>
  <c r="K723" i="1"/>
  <c r="L687" i="1"/>
  <c r="K687" i="1"/>
  <c r="L651" i="1"/>
  <c r="K651" i="1"/>
  <c r="L615" i="1"/>
  <c r="K615" i="1"/>
  <c r="L579" i="1"/>
  <c r="K579" i="1"/>
  <c r="L555" i="1"/>
  <c r="K555" i="1"/>
  <c r="K531" i="1"/>
  <c r="L531" i="1"/>
  <c r="L459" i="1"/>
  <c r="K459" i="1"/>
  <c r="L387" i="1"/>
  <c r="K387" i="1"/>
  <c r="L363" i="1"/>
  <c r="K363" i="1"/>
  <c r="L327" i="1"/>
  <c r="K327" i="1"/>
  <c r="L243" i="1"/>
  <c r="K243" i="1"/>
  <c r="L195" i="1"/>
  <c r="K195" i="1"/>
  <c r="L147" i="1"/>
  <c r="K147" i="1"/>
  <c r="L39" i="1"/>
  <c r="K39" i="1"/>
  <c r="L3" i="1"/>
  <c r="K3" i="1"/>
  <c r="K2043" i="1"/>
  <c r="K1935" i="1"/>
  <c r="K1827" i="1"/>
  <c r="K1707" i="1"/>
  <c r="K1155" i="1"/>
  <c r="K435" i="1"/>
  <c r="L2162" i="1"/>
  <c r="K2162" i="1"/>
  <c r="L1982" i="1"/>
  <c r="K1982" i="1"/>
  <c r="L1946" i="1"/>
  <c r="K1946" i="1"/>
  <c r="L1850" i="1"/>
  <c r="K1850" i="1"/>
  <c r="L1802" i="1"/>
  <c r="K1802" i="1"/>
  <c r="L1706" i="1"/>
  <c r="K1706" i="1"/>
  <c r="L1610" i="1"/>
  <c r="K1610" i="1"/>
  <c r="L1598" i="1"/>
  <c r="K1598" i="1"/>
  <c r="L1562" i="1"/>
  <c r="K1562" i="1"/>
  <c r="L1298" i="1"/>
  <c r="K1298" i="1"/>
  <c r="L1274" i="1"/>
  <c r="K1274" i="1"/>
  <c r="L1226" i="1"/>
  <c r="K1226" i="1"/>
  <c r="L1190" i="1"/>
  <c r="K1190" i="1"/>
  <c r="K1118" i="1"/>
  <c r="L1118" i="1"/>
  <c r="L1070" i="1"/>
  <c r="K1070" i="1"/>
  <c r="L1046" i="1"/>
  <c r="K1046" i="1"/>
  <c r="L1010" i="1"/>
  <c r="K1010" i="1"/>
  <c r="L974" i="1"/>
  <c r="K974" i="1"/>
  <c r="L938" i="1"/>
  <c r="K938" i="1"/>
  <c r="L902" i="1"/>
  <c r="K902" i="1"/>
  <c r="L758" i="1"/>
  <c r="K758" i="1"/>
  <c r="L734" i="1"/>
  <c r="K734" i="1"/>
  <c r="L686" i="1"/>
  <c r="K686" i="1"/>
  <c r="L590" i="1"/>
  <c r="K590" i="1"/>
  <c r="L554" i="1"/>
  <c r="K554" i="1"/>
  <c r="L506" i="1"/>
  <c r="K506" i="1"/>
  <c r="L446" i="1"/>
  <c r="K446" i="1"/>
  <c r="L410" i="1"/>
  <c r="K410" i="1"/>
  <c r="L350" i="1"/>
  <c r="K350" i="1"/>
  <c r="L326" i="1"/>
  <c r="K326" i="1"/>
  <c r="L278" i="1"/>
  <c r="K278" i="1"/>
  <c r="L242" i="1"/>
  <c r="K242" i="1"/>
  <c r="L194" i="1"/>
  <c r="K194" i="1"/>
  <c r="L86" i="1"/>
  <c r="K86" i="1"/>
  <c r="L62" i="1"/>
  <c r="K62" i="1"/>
  <c r="L2" i="1"/>
  <c r="K2" i="1"/>
  <c r="K2138" i="1"/>
  <c r="K1575" i="1"/>
  <c r="L2161" i="1"/>
  <c r="K2161" i="1"/>
  <c r="L2065" i="1"/>
  <c r="K2065" i="1"/>
  <c r="L1837" i="1"/>
  <c r="K1837" i="1"/>
  <c r="L1633" i="1"/>
  <c r="K1633" i="1"/>
  <c r="L1513" i="1"/>
  <c r="K1513" i="1"/>
  <c r="L1417" i="1"/>
  <c r="K1417" i="1"/>
  <c r="L1237" i="1"/>
  <c r="K1237" i="1"/>
  <c r="L1213" i="1"/>
  <c r="K1213" i="1"/>
  <c r="L1189" i="1"/>
  <c r="K1189" i="1"/>
  <c r="L1153" i="1"/>
  <c r="K1153" i="1"/>
  <c r="L1093" i="1"/>
  <c r="K1093" i="1"/>
  <c r="L865" i="1"/>
  <c r="K865" i="1"/>
  <c r="L817" i="1"/>
  <c r="K817" i="1"/>
  <c r="L781" i="1"/>
  <c r="K781" i="1"/>
  <c r="L757" i="1"/>
  <c r="K757" i="1"/>
  <c r="L721" i="1"/>
  <c r="K721" i="1"/>
  <c r="L685" i="1"/>
  <c r="K685" i="1"/>
  <c r="L649" i="1"/>
  <c r="K649" i="1"/>
  <c r="L613" i="1"/>
  <c r="K613" i="1"/>
  <c r="L481" i="1"/>
  <c r="K481" i="1"/>
  <c r="L457" i="1"/>
  <c r="K457" i="1"/>
  <c r="L433" i="1"/>
  <c r="K433" i="1"/>
  <c r="K325" i="1"/>
  <c r="L325" i="1"/>
  <c r="L301" i="1"/>
  <c r="K301" i="1"/>
  <c r="L289" i="1"/>
  <c r="K289" i="1"/>
  <c r="L265" i="1"/>
  <c r="K265" i="1"/>
  <c r="K229" i="1"/>
  <c r="L229" i="1"/>
  <c r="L121" i="1"/>
  <c r="K121" i="1"/>
  <c r="L97" i="1"/>
  <c r="K97" i="1"/>
  <c r="L73" i="1"/>
  <c r="K73" i="1"/>
  <c r="L13" i="1"/>
  <c r="K13" i="1"/>
  <c r="K1430" i="1"/>
  <c r="L2172" i="1"/>
  <c r="K2172" i="1"/>
  <c r="K2100" i="1"/>
  <c r="L2100" i="1"/>
  <c r="L2076" i="1"/>
  <c r="K2076" i="1"/>
  <c r="L2052" i="1"/>
  <c r="K2052" i="1"/>
  <c r="L2016" i="1"/>
  <c r="K2016" i="1"/>
  <c r="L1980" i="1"/>
  <c r="K1980" i="1"/>
  <c r="L1944" i="1"/>
  <c r="K1944" i="1"/>
  <c r="L1884" i="1"/>
  <c r="K1884" i="1"/>
  <c r="L1848" i="1"/>
  <c r="K1848" i="1"/>
  <c r="L1740" i="1"/>
  <c r="K1740" i="1"/>
  <c r="L1680" i="1"/>
  <c r="K1680" i="1"/>
  <c r="L1632" i="1"/>
  <c r="K1632" i="1"/>
  <c r="K1500" i="1"/>
  <c r="L1500" i="1"/>
  <c r="L1428" i="1"/>
  <c r="K1428" i="1"/>
  <c r="K1344" i="1"/>
  <c r="L1344" i="1"/>
  <c r="L1308" i="1"/>
  <c r="K1308" i="1"/>
  <c r="L1224" i="1"/>
  <c r="K1224" i="1"/>
  <c r="K1200" i="1"/>
  <c r="L1200" i="1"/>
  <c r="K1116" i="1"/>
  <c r="L1116" i="1"/>
  <c r="L1044" i="1"/>
  <c r="K1044" i="1"/>
  <c r="L960" i="1"/>
  <c r="K960" i="1"/>
  <c r="K936" i="1"/>
  <c r="L936" i="1"/>
  <c r="L912" i="1"/>
  <c r="K912" i="1"/>
  <c r="L888" i="1"/>
  <c r="K888" i="1"/>
  <c r="L852" i="1"/>
  <c r="K852" i="1"/>
  <c r="L768" i="1"/>
  <c r="K768" i="1"/>
  <c r="L612" i="1"/>
  <c r="K612" i="1"/>
  <c r="L576" i="1"/>
  <c r="K576" i="1"/>
  <c r="L540" i="1"/>
  <c r="K540" i="1"/>
  <c r="L504" i="1"/>
  <c r="K504" i="1"/>
  <c r="L480" i="1"/>
  <c r="K480" i="1"/>
  <c r="L444" i="1"/>
  <c r="K444" i="1"/>
  <c r="L408" i="1"/>
  <c r="K408" i="1"/>
  <c r="L384" i="1"/>
  <c r="K384" i="1"/>
  <c r="L336" i="1"/>
  <c r="K336" i="1"/>
  <c r="L192" i="1"/>
  <c r="K192" i="1"/>
  <c r="L156" i="1"/>
  <c r="K156" i="1"/>
  <c r="L144" i="1"/>
  <c r="K144" i="1"/>
  <c r="L120" i="1"/>
  <c r="K120" i="1"/>
  <c r="L96" i="1"/>
  <c r="K96" i="1"/>
  <c r="K48" i="1"/>
  <c r="L48" i="1"/>
  <c r="L12" i="1"/>
  <c r="K12" i="1"/>
  <c r="K1573" i="1"/>
  <c r="L2051" i="1"/>
  <c r="K2051" i="1"/>
  <c r="L1835" i="1"/>
  <c r="K1835" i="1"/>
  <c r="L1691" i="1"/>
  <c r="K1691" i="1"/>
  <c r="L1655" i="1"/>
  <c r="K1655" i="1"/>
  <c r="L1631" i="1"/>
  <c r="K1631" i="1"/>
  <c r="L1583" i="1"/>
  <c r="K1583" i="1"/>
  <c r="L1463" i="1"/>
  <c r="K1463" i="1"/>
  <c r="L1439" i="1"/>
  <c r="K1439" i="1"/>
  <c r="L1427" i="1"/>
  <c r="K1427" i="1"/>
  <c r="L1355" i="1"/>
  <c r="K1355" i="1"/>
  <c r="L1319" i="1"/>
  <c r="K1319" i="1"/>
  <c r="L1223" i="1"/>
  <c r="K1223" i="1"/>
  <c r="L1151" i="1"/>
  <c r="K1151" i="1"/>
  <c r="L1139" i="1"/>
  <c r="K1139" i="1"/>
  <c r="L1079" i="1"/>
  <c r="K1079" i="1"/>
  <c r="L1067" i="1"/>
  <c r="K1067" i="1"/>
  <c r="L1043" i="1"/>
  <c r="K1043" i="1"/>
  <c r="L959" i="1"/>
  <c r="K959" i="1"/>
  <c r="L923" i="1"/>
  <c r="K923" i="1"/>
  <c r="L911" i="1"/>
  <c r="K911" i="1"/>
  <c r="L899" i="1"/>
  <c r="K899" i="1"/>
  <c r="L863" i="1"/>
  <c r="K863" i="1"/>
  <c r="L779" i="1"/>
  <c r="K779" i="1"/>
  <c r="L755" i="1"/>
  <c r="K755" i="1"/>
  <c r="L695" i="1"/>
  <c r="K695" i="1"/>
  <c r="L671" i="1"/>
  <c r="K671" i="1"/>
  <c r="L659" i="1"/>
  <c r="K659" i="1"/>
  <c r="L635" i="1"/>
  <c r="K635" i="1"/>
  <c r="L611" i="1"/>
  <c r="K611" i="1"/>
  <c r="L575" i="1"/>
  <c r="K575" i="1"/>
  <c r="L539" i="1"/>
  <c r="K539" i="1"/>
  <c r="L419" i="1"/>
  <c r="K419" i="1"/>
  <c r="L323" i="1"/>
  <c r="K323" i="1"/>
  <c r="L299" i="1"/>
  <c r="K299" i="1"/>
  <c r="K275" i="1"/>
  <c r="L275" i="1"/>
  <c r="L239" i="1"/>
  <c r="K239" i="1"/>
  <c r="L191" i="1"/>
  <c r="K191" i="1"/>
  <c r="L71" i="1"/>
  <c r="K71" i="1"/>
  <c r="L11" i="1"/>
  <c r="K11" i="1"/>
  <c r="K1993" i="1"/>
  <c r="K1849" i="1"/>
  <c r="K1465" i="1"/>
  <c r="K1321" i="1"/>
  <c r="K1142" i="1"/>
  <c r="K806" i="1"/>
  <c r="L1719" i="1"/>
  <c r="L587" i="1"/>
  <c r="L2146" i="1"/>
  <c r="K2146" i="1"/>
  <c r="L2134" i="1"/>
  <c r="K2134" i="1"/>
  <c r="L1978" i="1"/>
  <c r="K1978" i="1"/>
  <c r="L1906" i="1"/>
  <c r="K1906" i="1"/>
  <c r="L1834" i="1"/>
  <c r="K1834" i="1"/>
  <c r="K1750" i="1"/>
  <c r="L1750" i="1"/>
  <c r="L1678" i="1"/>
  <c r="K1678" i="1"/>
  <c r="K1606" i="1"/>
  <c r="L1606" i="1"/>
  <c r="L1450" i="1"/>
  <c r="K1450" i="1"/>
  <c r="L1390" i="1"/>
  <c r="K1390" i="1"/>
  <c r="L1318" i="1"/>
  <c r="K1318" i="1"/>
  <c r="L1222" i="1"/>
  <c r="K1222" i="1"/>
  <c r="L1174" i="1"/>
  <c r="K1174" i="1"/>
  <c r="L1162" i="1"/>
  <c r="K1162" i="1"/>
  <c r="L1138" i="1"/>
  <c r="K1138" i="1"/>
  <c r="L1090" i="1"/>
  <c r="K1090" i="1"/>
  <c r="L1054" i="1"/>
  <c r="K1054" i="1"/>
  <c r="K922" i="1"/>
  <c r="L922" i="1"/>
  <c r="L886" i="1"/>
  <c r="K886" i="1"/>
  <c r="L850" i="1"/>
  <c r="K850" i="1"/>
  <c r="K826" i="1"/>
  <c r="L826" i="1"/>
  <c r="L802" i="1"/>
  <c r="K802" i="1"/>
  <c r="K766" i="1"/>
  <c r="L766" i="1"/>
  <c r="L754" i="1"/>
  <c r="K754" i="1"/>
  <c r="L706" i="1"/>
  <c r="K706" i="1"/>
  <c r="K670" i="1"/>
  <c r="L670" i="1"/>
  <c r="L658" i="1"/>
  <c r="K658" i="1"/>
  <c r="L502" i="1"/>
  <c r="K502" i="1"/>
  <c r="L466" i="1"/>
  <c r="K466" i="1"/>
  <c r="L430" i="1"/>
  <c r="K430" i="1"/>
  <c r="L394" i="1"/>
  <c r="K394" i="1"/>
  <c r="K2159" i="1"/>
  <c r="K2063" i="1"/>
  <c r="K1955" i="1"/>
  <c r="K1847" i="1"/>
  <c r="K1730" i="1"/>
  <c r="K1414" i="1"/>
  <c r="K1021" i="1"/>
  <c r="L1970" i="1"/>
  <c r="L2157" i="1"/>
  <c r="K2157" i="1"/>
  <c r="L2061" i="1"/>
  <c r="K2061" i="1"/>
  <c r="L2049" i="1"/>
  <c r="K2049" i="1"/>
  <c r="L1989" i="1"/>
  <c r="K1989" i="1"/>
  <c r="L1941" i="1"/>
  <c r="K1941" i="1"/>
  <c r="L1905" i="1"/>
  <c r="K1905" i="1"/>
  <c r="L1881" i="1"/>
  <c r="K1881" i="1"/>
  <c r="L1845" i="1"/>
  <c r="K1845" i="1"/>
  <c r="L1809" i="1"/>
  <c r="K1809" i="1"/>
  <c r="L1473" i="1"/>
  <c r="K1473" i="1"/>
  <c r="L1449" i="1"/>
  <c r="K1449" i="1"/>
  <c r="L1401" i="1"/>
  <c r="K1401" i="1"/>
  <c r="L1305" i="1"/>
  <c r="K1305" i="1"/>
  <c r="L1257" i="1"/>
  <c r="K1257" i="1"/>
  <c r="K1209" i="1"/>
  <c r="L1209" i="1"/>
  <c r="L1161" i="1"/>
  <c r="K1161" i="1"/>
  <c r="L1101" i="1"/>
  <c r="K1101" i="1"/>
  <c r="K1029" i="1"/>
  <c r="L1029" i="1"/>
  <c r="L993" i="1"/>
  <c r="K993" i="1"/>
  <c r="L957" i="1"/>
  <c r="K957" i="1"/>
  <c r="L921" i="1"/>
  <c r="K921" i="1"/>
  <c r="L885" i="1"/>
  <c r="K885" i="1"/>
  <c r="K849" i="1"/>
  <c r="L849" i="1"/>
  <c r="L813" i="1"/>
  <c r="K813" i="1"/>
  <c r="L777" i="1"/>
  <c r="K777" i="1"/>
  <c r="K753" i="1"/>
  <c r="L753" i="1"/>
  <c r="L717" i="1"/>
  <c r="K717" i="1"/>
  <c r="K669" i="1"/>
  <c r="L669" i="1"/>
  <c r="L645" i="1"/>
  <c r="K645" i="1"/>
  <c r="L621" i="1"/>
  <c r="K621" i="1"/>
  <c r="L585" i="1"/>
  <c r="K585" i="1"/>
  <c r="L573" i="1"/>
  <c r="K573" i="1"/>
  <c r="L513" i="1"/>
  <c r="K513" i="1"/>
  <c r="L501" i="1"/>
  <c r="K501" i="1"/>
  <c r="L489" i="1"/>
  <c r="K489" i="1"/>
  <c r="K477" i="1"/>
  <c r="L477" i="1"/>
  <c r="L465" i="1"/>
  <c r="K465" i="1"/>
  <c r="L453" i="1"/>
  <c r="K453" i="1"/>
  <c r="L429" i="1"/>
  <c r="K429" i="1"/>
  <c r="L417" i="1"/>
  <c r="K417" i="1"/>
  <c r="L405" i="1"/>
  <c r="K405" i="1"/>
  <c r="L393" i="1"/>
  <c r="K393" i="1"/>
  <c r="L381" i="1"/>
  <c r="K381" i="1"/>
  <c r="L369" i="1"/>
  <c r="K369" i="1"/>
  <c r="K357" i="1"/>
  <c r="L357" i="1"/>
  <c r="L345" i="1"/>
  <c r="K345" i="1"/>
  <c r="L333" i="1"/>
  <c r="K333" i="1"/>
  <c r="L321" i="1"/>
  <c r="K321" i="1"/>
  <c r="L309" i="1"/>
  <c r="K309" i="1"/>
  <c r="L249" i="1"/>
  <c r="K249" i="1"/>
  <c r="L237" i="1"/>
  <c r="K237" i="1"/>
  <c r="L225" i="1"/>
  <c r="K225" i="1"/>
  <c r="K213" i="1"/>
  <c r="L213" i="1"/>
  <c r="K201" i="1"/>
  <c r="L201" i="1"/>
  <c r="L189" i="1"/>
  <c r="K189" i="1"/>
  <c r="L165" i="1"/>
  <c r="K165" i="1"/>
  <c r="L141" i="1"/>
  <c r="K141" i="1"/>
  <c r="L129" i="1"/>
  <c r="K129" i="1"/>
  <c r="K117" i="1"/>
  <c r="L117" i="1"/>
  <c r="L105" i="1"/>
  <c r="K105" i="1"/>
  <c r="L93" i="1"/>
  <c r="K93" i="1"/>
  <c r="L81" i="1"/>
  <c r="K81" i="1"/>
  <c r="L69" i="1"/>
  <c r="K69" i="1"/>
  <c r="L57" i="1"/>
  <c r="K57" i="1"/>
  <c r="L45" i="1"/>
  <c r="K45" i="1"/>
  <c r="L33" i="1"/>
  <c r="K33" i="1"/>
  <c r="L21" i="1"/>
  <c r="K21" i="1"/>
  <c r="K2158" i="1"/>
  <c r="K2125" i="1"/>
  <c r="K2095" i="1"/>
  <c r="K2062" i="1"/>
  <c r="K2026" i="1"/>
  <c r="K1990" i="1"/>
  <c r="K1954" i="1"/>
  <c r="K1918" i="1"/>
  <c r="K1882" i="1"/>
  <c r="K1846" i="1"/>
  <c r="K1810" i="1"/>
  <c r="K1773" i="1"/>
  <c r="K1729" i="1"/>
  <c r="K1688" i="1"/>
  <c r="K1599" i="1"/>
  <c r="K1557" i="1"/>
  <c r="K1508" i="1"/>
  <c r="K1459" i="1"/>
  <c r="K1413" i="1"/>
  <c r="K1364" i="1"/>
  <c r="K1315" i="1"/>
  <c r="K1211" i="1"/>
  <c r="K1140" i="1"/>
  <c r="K1020" i="1"/>
  <c r="K907" i="1"/>
  <c r="K875" i="1"/>
  <c r="K829" i="1"/>
  <c r="K794" i="1"/>
  <c r="K667" i="1"/>
  <c r="K565" i="1"/>
  <c r="K260" i="1"/>
  <c r="K177" i="1"/>
  <c r="K26" i="1"/>
  <c r="L1551" i="1"/>
  <c r="L919" i="1"/>
  <c r="L116" i="1"/>
  <c r="L2139" i="1"/>
  <c r="K2139" i="1"/>
  <c r="K1671" i="1"/>
  <c r="L1671" i="1"/>
  <c r="L1623" i="1"/>
  <c r="K1623" i="1"/>
  <c r="L1587" i="1"/>
  <c r="K1587" i="1"/>
  <c r="L1527" i="1"/>
  <c r="K1527" i="1"/>
  <c r="L1347" i="1"/>
  <c r="K1347" i="1"/>
  <c r="L1263" i="1"/>
  <c r="K1263" i="1"/>
  <c r="L1179" i="1"/>
  <c r="K1179" i="1"/>
  <c r="L951" i="1"/>
  <c r="K951" i="1"/>
  <c r="K879" i="1"/>
  <c r="L879" i="1"/>
  <c r="L603" i="1"/>
  <c r="K603" i="1"/>
  <c r="L507" i="1"/>
  <c r="K507" i="1"/>
  <c r="L291" i="1"/>
  <c r="K291" i="1"/>
  <c r="L219" i="1"/>
  <c r="K219" i="1"/>
  <c r="L99" i="1"/>
  <c r="K99" i="1"/>
  <c r="L87" i="1"/>
  <c r="K87" i="1"/>
  <c r="L63" i="1"/>
  <c r="K63" i="1"/>
  <c r="L27" i="1"/>
  <c r="K27" i="1"/>
  <c r="L15" i="1"/>
  <c r="K15" i="1"/>
  <c r="L2102" i="1"/>
  <c r="K2102" i="1"/>
  <c r="L2006" i="1"/>
  <c r="K2006" i="1"/>
  <c r="L1886" i="1"/>
  <c r="K1886" i="1"/>
  <c r="K1670" i="1"/>
  <c r="L1670" i="1"/>
  <c r="L1634" i="1"/>
  <c r="K1634" i="1"/>
  <c r="L1586" i="1"/>
  <c r="K1586" i="1"/>
  <c r="L1538" i="1"/>
  <c r="K1538" i="1"/>
  <c r="K1418" i="1"/>
  <c r="L1418" i="1"/>
  <c r="L1394" i="1"/>
  <c r="K1394" i="1"/>
  <c r="L1370" i="1"/>
  <c r="K1370" i="1"/>
  <c r="L1346" i="1"/>
  <c r="K1346" i="1"/>
  <c r="L1262" i="1"/>
  <c r="K1262" i="1"/>
  <c r="L1178" i="1"/>
  <c r="K1178" i="1"/>
  <c r="K1022" i="1"/>
  <c r="L1022" i="1"/>
  <c r="L986" i="1"/>
  <c r="K986" i="1"/>
  <c r="L914" i="1"/>
  <c r="K914" i="1"/>
  <c r="L878" i="1"/>
  <c r="K878" i="1"/>
  <c r="L830" i="1"/>
  <c r="K830" i="1"/>
  <c r="L782" i="1"/>
  <c r="K782" i="1"/>
  <c r="L722" i="1"/>
  <c r="K722" i="1"/>
  <c r="L674" i="1"/>
  <c r="K674" i="1"/>
  <c r="L626" i="1"/>
  <c r="K626" i="1"/>
  <c r="L542" i="1"/>
  <c r="K542" i="1"/>
  <c r="L470" i="1"/>
  <c r="K470" i="1"/>
  <c r="L362" i="1"/>
  <c r="K362" i="1"/>
  <c r="L302" i="1"/>
  <c r="K302" i="1"/>
  <c r="L230" i="1"/>
  <c r="K230" i="1"/>
  <c r="L158" i="1"/>
  <c r="K158" i="1"/>
  <c r="L146" i="1"/>
  <c r="K146" i="1"/>
  <c r="L98" i="1"/>
  <c r="K98" i="1"/>
  <c r="L50" i="1"/>
  <c r="K50" i="1"/>
  <c r="K1431" i="1"/>
  <c r="L2101" i="1"/>
  <c r="K2101" i="1"/>
  <c r="L2053" i="1"/>
  <c r="K2053" i="1"/>
  <c r="L2017" i="1"/>
  <c r="K2017" i="1"/>
  <c r="L1873" i="1"/>
  <c r="K1873" i="1"/>
  <c r="L1801" i="1"/>
  <c r="K1801" i="1"/>
  <c r="L1693" i="1"/>
  <c r="K1693" i="1"/>
  <c r="L1489" i="1"/>
  <c r="K1489" i="1"/>
  <c r="L1333" i="1"/>
  <c r="K1333" i="1"/>
  <c r="L1297" i="1"/>
  <c r="K1297" i="1"/>
  <c r="L1177" i="1"/>
  <c r="K1177" i="1"/>
  <c r="L1009" i="1"/>
  <c r="K1009" i="1"/>
  <c r="K937" i="1"/>
  <c r="L937" i="1"/>
  <c r="L841" i="1"/>
  <c r="K841" i="1"/>
  <c r="K661" i="1"/>
  <c r="L661" i="1"/>
  <c r="L193" i="1"/>
  <c r="K193" i="1"/>
  <c r="L133" i="1"/>
  <c r="K133" i="1"/>
  <c r="L37" i="1"/>
  <c r="K37" i="1"/>
  <c r="L1032" i="1"/>
  <c r="K1032" i="1"/>
  <c r="L2147" i="1"/>
  <c r="K2147" i="1"/>
  <c r="L2087" i="1"/>
  <c r="K2087" i="1"/>
  <c r="L1907" i="1"/>
  <c r="K1907" i="1"/>
  <c r="L1799" i="1"/>
  <c r="K1799" i="1"/>
  <c r="L1763" i="1"/>
  <c r="K1763" i="1"/>
  <c r="L1739" i="1"/>
  <c r="K1739" i="1"/>
  <c r="L1715" i="1"/>
  <c r="K1715" i="1"/>
  <c r="L1679" i="1"/>
  <c r="K1679" i="1"/>
  <c r="L1643" i="1"/>
  <c r="K1643" i="1"/>
  <c r="L1607" i="1"/>
  <c r="K1607" i="1"/>
  <c r="L1571" i="1"/>
  <c r="K1571" i="1"/>
  <c r="L1391" i="1"/>
  <c r="K1391" i="1"/>
  <c r="K1295" i="1"/>
  <c r="L1295" i="1"/>
  <c r="L1247" i="1"/>
  <c r="K1247" i="1"/>
  <c r="L1127" i="1"/>
  <c r="K1127" i="1"/>
  <c r="L1103" i="1"/>
  <c r="K1103" i="1"/>
  <c r="L1055" i="1"/>
  <c r="K1055" i="1"/>
  <c r="L1007" i="1"/>
  <c r="K1007" i="1"/>
  <c r="L839" i="1"/>
  <c r="K839" i="1"/>
  <c r="L827" i="1"/>
  <c r="K827" i="1"/>
  <c r="L803" i="1"/>
  <c r="K803" i="1"/>
  <c r="L767" i="1"/>
  <c r="K767" i="1"/>
  <c r="L731" i="1"/>
  <c r="K731" i="1"/>
  <c r="L683" i="1"/>
  <c r="K683" i="1"/>
  <c r="L551" i="1"/>
  <c r="K551" i="1"/>
  <c r="L515" i="1"/>
  <c r="K515" i="1"/>
  <c r="K479" i="1"/>
  <c r="L479" i="1"/>
  <c r="L443" i="1"/>
  <c r="K443" i="1"/>
  <c r="L395" i="1"/>
  <c r="K395" i="1"/>
  <c r="K359" i="1"/>
  <c r="L359" i="1"/>
  <c r="L311" i="1"/>
  <c r="K311" i="1"/>
  <c r="L287" i="1"/>
  <c r="K287" i="1"/>
  <c r="L263" i="1"/>
  <c r="K263" i="1"/>
  <c r="L227" i="1"/>
  <c r="K227" i="1"/>
  <c r="L179" i="1"/>
  <c r="K179" i="1"/>
  <c r="L143" i="1"/>
  <c r="K143" i="1"/>
  <c r="L95" i="1"/>
  <c r="K95" i="1"/>
  <c r="L35" i="1"/>
  <c r="K35" i="1"/>
  <c r="K634" i="1"/>
  <c r="L634" i="1"/>
  <c r="L2013" i="1"/>
  <c r="K2013" i="1"/>
  <c r="L1545" i="1"/>
  <c r="K1545" i="1"/>
  <c r="L537" i="1"/>
  <c r="K537" i="1"/>
  <c r="L2168" i="1"/>
  <c r="K2168" i="1"/>
  <c r="L2084" i="1"/>
  <c r="K2084" i="1"/>
  <c r="L2072" i="1"/>
  <c r="K2072" i="1"/>
  <c r="L1964" i="1"/>
  <c r="K1964" i="1"/>
  <c r="L1592" i="1"/>
  <c r="K1592" i="1"/>
  <c r="L1556" i="1"/>
  <c r="K1556" i="1"/>
  <c r="L1520" i="1"/>
  <c r="K1520" i="1"/>
  <c r="L1460" i="1"/>
  <c r="K1460" i="1"/>
  <c r="L1376" i="1"/>
  <c r="K1376" i="1"/>
  <c r="L1256" i="1"/>
  <c r="K1256" i="1"/>
  <c r="L860" i="1"/>
  <c r="K860" i="1"/>
  <c r="L776" i="1"/>
  <c r="K776" i="1"/>
  <c r="L728" i="1"/>
  <c r="K728" i="1"/>
  <c r="K668" i="1"/>
  <c r="L668" i="1"/>
  <c r="L584" i="1"/>
  <c r="K584" i="1"/>
  <c r="L512" i="1"/>
  <c r="K512" i="1"/>
  <c r="K452" i="1"/>
  <c r="L452" i="1"/>
  <c r="K356" i="1"/>
  <c r="L356" i="1"/>
  <c r="L284" i="1"/>
  <c r="K284" i="1"/>
  <c r="L20" i="1"/>
  <c r="K20" i="1"/>
  <c r="K2156" i="1"/>
  <c r="K2123" i="1"/>
  <c r="K2090" i="1"/>
  <c r="K2060" i="1"/>
  <c r="K2024" i="1"/>
  <c r="K1988" i="1"/>
  <c r="K1952" i="1"/>
  <c r="K1916" i="1"/>
  <c r="K1880" i="1"/>
  <c r="K1844" i="1"/>
  <c r="K1808" i="1"/>
  <c r="K1767" i="1"/>
  <c r="K1726" i="1"/>
  <c r="K1683" i="1"/>
  <c r="K1640" i="1"/>
  <c r="K1597" i="1"/>
  <c r="K1550" i="1"/>
  <c r="K1503" i="1"/>
  <c r="K1454" i="1"/>
  <c r="K1406" i="1"/>
  <c r="K1359" i="1"/>
  <c r="K1310" i="1"/>
  <c r="K1243" i="1"/>
  <c r="K1164" i="1"/>
  <c r="K1059" i="1"/>
  <c r="K1019" i="1"/>
  <c r="K949" i="1"/>
  <c r="K828" i="1"/>
  <c r="K792" i="1"/>
  <c r="K707" i="1"/>
  <c r="K514" i="1"/>
  <c r="K315" i="1"/>
  <c r="K251" i="1"/>
  <c r="K111" i="1"/>
  <c r="K9" i="1"/>
  <c r="L2029" i="1"/>
  <c r="L1943" i="1"/>
  <c r="L1700" i="1"/>
  <c r="L1548" i="1"/>
  <c r="L1426" i="1"/>
  <c r="L1255" i="1"/>
  <c r="L1124" i="1"/>
  <c r="L297" i="1"/>
  <c r="L115" i="1"/>
  <c r="L2163" i="1"/>
  <c r="K2163" i="1"/>
  <c r="L2115" i="1"/>
  <c r="K2115" i="1"/>
  <c r="L1779" i="1"/>
  <c r="K1779" i="1"/>
  <c r="L1491" i="1"/>
  <c r="K1491" i="1"/>
  <c r="L1467" i="1"/>
  <c r="K1467" i="1"/>
  <c r="L1443" i="1"/>
  <c r="K1443" i="1"/>
  <c r="L1395" i="1"/>
  <c r="K1395" i="1"/>
  <c r="L1371" i="1"/>
  <c r="K1371" i="1"/>
  <c r="L1335" i="1"/>
  <c r="K1335" i="1"/>
  <c r="L1299" i="1"/>
  <c r="K1299" i="1"/>
  <c r="L1287" i="1"/>
  <c r="K1287" i="1"/>
  <c r="L1275" i="1"/>
  <c r="K1275" i="1"/>
  <c r="L1251" i="1"/>
  <c r="K1251" i="1"/>
  <c r="L1227" i="1"/>
  <c r="K1227" i="1"/>
  <c r="L1203" i="1"/>
  <c r="K1203" i="1"/>
  <c r="L1143" i="1"/>
  <c r="K1143" i="1"/>
  <c r="L1119" i="1"/>
  <c r="K1119" i="1"/>
  <c r="K1023" i="1"/>
  <c r="L1023" i="1"/>
  <c r="L1011" i="1"/>
  <c r="K1011" i="1"/>
  <c r="L975" i="1"/>
  <c r="K975" i="1"/>
  <c r="L939" i="1"/>
  <c r="K939" i="1"/>
  <c r="L915" i="1"/>
  <c r="K915" i="1"/>
  <c r="L843" i="1"/>
  <c r="K843" i="1"/>
  <c r="K735" i="1"/>
  <c r="L735" i="1"/>
  <c r="L711" i="1"/>
  <c r="K711" i="1"/>
  <c r="L663" i="1"/>
  <c r="K663" i="1"/>
  <c r="L639" i="1"/>
  <c r="K639" i="1"/>
  <c r="L591" i="1"/>
  <c r="K591" i="1"/>
  <c r="L543" i="1"/>
  <c r="K543" i="1"/>
  <c r="K519" i="1"/>
  <c r="L519" i="1"/>
  <c r="K483" i="1"/>
  <c r="L483" i="1"/>
  <c r="K423" i="1"/>
  <c r="L423" i="1"/>
  <c r="L339" i="1"/>
  <c r="K339" i="1"/>
  <c r="L303" i="1"/>
  <c r="K303" i="1"/>
  <c r="L267" i="1"/>
  <c r="K267" i="1"/>
  <c r="L207" i="1"/>
  <c r="K207" i="1"/>
  <c r="L171" i="1"/>
  <c r="K171" i="1"/>
  <c r="L135" i="1"/>
  <c r="K135" i="1"/>
  <c r="K2007" i="1"/>
  <c r="K1899" i="1"/>
  <c r="K1791" i="1"/>
  <c r="K351" i="1"/>
  <c r="L2114" i="1"/>
  <c r="K2114" i="1"/>
  <c r="L2042" i="1"/>
  <c r="K2042" i="1"/>
  <c r="L2030" i="1"/>
  <c r="K2030" i="1"/>
  <c r="K1994" i="1"/>
  <c r="L1994" i="1"/>
  <c r="L1958" i="1"/>
  <c r="K1958" i="1"/>
  <c r="L1922" i="1"/>
  <c r="K1922" i="1"/>
  <c r="L1874" i="1"/>
  <c r="K1874" i="1"/>
  <c r="L1862" i="1"/>
  <c r="K1862" i="1"/>
  <c r="L1826" i="1"/>
  <c r="K1826" i="1"/>
  <c r="L1814" i="1"/>
  <c r="K1814" i="1"/>
  <c r="L1790" i="1"/>
  <c r="K1790" i="1"/>
  <c r="L1778" i="1"/>
  <c r="K1778" i="1"/>
  <c r="L1742" i="1"/>
  <c r="K1742" i="1"/>
  <c r="L1694" i="1"/>
  <c r="K1694" i="1"/>
  <c r="L1490" i="1"/>
  <c r="K1490" i="1"/>
  <c r="L1466" i="1"/>
  <c r="K1466" i="1"/>
  <c r="L1442" i="1"/>
  <c r="K1442" i="1"/>
  <c r="L1286" i="1"/>
  <c r="K1286" i="1"/>
  <c r="L1250" i="1"/>
  <c r="K1250" i="1"/>
  <c r="L1214" i="1"/>
  <c r="K1214" i="1"/>
  <c r="L1166" i="1"/>
  <c r="K1166" i="1"/>
  <c r="L1154" i="1"/>
  <c r="K1154" i="1"/>
  <c r="L1058" i="1"/>
  <c r="K1058" i="1"/>
  <c r="L950" i="1"/>
  <c r="K950" i="1"/>
  <c r="L890" i="1"/>
  <c r="K890" i="1"/>
  <c r="L866" i="1"/>
  <c r="K866" i="1"/>
  <c r="L842" i="1"/>
  <c r="K842" i="1"/>
  <c r="L770" i="1"/>
  <c r="K770" i="1"/>
  <c r="L746" i="1"/>
  <c r="K746" i="1"/>
  <c r="L710" i="1"/>
  <c r="K710" i="1"/>
  <c r="L650" i="1"/>
  <c r="K650" i="1"/>
  <c r="L518" i="1"/>
  <c r="K518" i="1"/>
  <c r="L494" i="1"/>
  <c r="K494" i="1"/>
  <c r="L458" i="1"/>
  <c r="K458" i="1"/>
  <c r="L422" i="1"/>
  <c r="K422" i="1"/>
  <c r="L386" i="1"/>
  <c r="K386" i="1"/>
  <c r="L266" i="1"/>
  <c r="K266" i="1"/>
  <c r="L206" i="1"/>
  <c r="K206" i="1"/>
  <c r="L182" i="1"/>
  <c r="K182" i="1"/>
  <c r="L74" i="1"/>
  <c r="K74" i="1"/>
  <c r="L38" i="1"/>
  <c r="K38" i="1"/>
  <c r="L14" i="1"/>
  <c r="K14" i="1"/>
  <c r="K1526" i="1"/>
  <c r="K1382" i="1"/>
  <c r="L2149" i="1"/>
  <c r="K2149" i="1"/>
  <c r="L2113" i="1"/>
  <c r="K2113" i="1"/>
  <c r="L1981" i="1"/>
  <c r="K1981" i="1"/>
  <c r="L1945" i="1"/>
  <c r="K1945" i="1"/>
  <c r="L1909" i="1"/>
  <c r="K1909" i="1"/>
  <c r="L1777" i="1"/>
  <c r="K1777" i="1"/>
  <c r="L1741" i="1"/>
  <c r="K1741" i="1"/>
  <c r="L1717" i="1"/>
  <c r="K1717" i="1"/>
  <c r="L1609" i="1"/>
  <c r="K1609" i="1"/>
  <c r="L1585" i="1"/>
  <c r="K1585" i="1"/>
  <c r="L1561" i="1"/>
  <c r="K1561" i="1"/>
  <c r="L1441" i="1"/>
  <c r="K1441" i="1"/>
  <c r="L1345" i="1"/>
  <c r="K1345" i="1"/>
  <c r="L1273" i="1"/>
  <c r="K1273" i="1"/>
  <c r="K1261" i="1"/>
  <c r="L1261" i="1"/>
  <c r="L1225" i="1"/>
  <c r="K1225" i="1"/>
  <c r="L1201" i="1"/>
  <c r="K1201" i="1"/>
  <c r="L1165" i="1"/>
  <c r="K1165" i="1"/>
  <c r="L1129" i="1"/>
  <c r="K1129" i="1"/>
  <c r="L1105" i="1"/>
  <c r="K1105" i="1"/>
  <c r="L1081" i="1"/>
  <c r="K1081" i="1"/>
  <c r="L1069" i="1"/>
  <c r="K1069" i="1"/>
  <c r="L1045" i="1"/>
  <c r="K1045" i="1"/>
  <c r="L985" i="1"/>
  <c r="K985" i="1"/>
  <c r="L961" i="1"/>
  <c r="K961" i="1"/>
  <c r="L925" i="1"/>
  <c r="K925" i="1"/>
  <c r="L901" i="1"/>
  <c r="K901" i="1"/>
  <c r="L889" i="1"/>
  <c r="K889" i="1"/>
  <c r="L805" i="1"/>
  <c r="K805" i="1"/>
  <c r="K769" i="1"/>
  <c r="L769" i="1"/>
  <c r="L733" i="1"/>
  <c r="K733" i="1"/>
  <c r="L697" i="1"/>
  <c r="K697" i="1"/>
  <c r="L673" i="1"/>
  <c r="K673" i="1"/>
  <c r="L637" i="1"/>
  <c r="K637" i="1"/>
  <c r="K625" i="1"/>
  <c r="L625" i="1"/>
  <c r="L601" i="1"/>
  <c r="K601" i="1"/>
  <c r="K589" i="1"/>
  <c r="L589" i="1"/>
  <c r="L577" i="1"/>
  <c r="K577" i="1"/>
  <c r="L553" i="1"/>
  <c r="K553" i="1"/>
  <c r="K529" i="1"/>
  <c r="L529" i="1"/>
  <c r="L517" i="1"/>
  <c r="K517" i="1"/>
  <c r="L505" i="1"/>
  <c r="K505" i="1"/>
  <c r="L469" i="1"/>
  <c r="K469" i="1"/>
  <c r="L445" i="1"/>
  <c r="K445" i="1"/>
  <c r="L421" i="1"/>
  <c r="K421" i="1"/>
  <c r="K397" i="1"/>
  <c r="L397" i="1"/>
  <c r="L385" i="1"/>
  <c r="K385" i="1"/>
  <c r="K373" i="1"/>
  <c r="L373" i="1"/>
  <c r="L361" i="1"/>
  <c r="K361" i="1"/>
  <c r="L337" i="1"/>
  <c r="K337" i="1"/>
  <c r="L313" i="1"/>
  <c r="K313" i="1"/>
  <c r="L277" i="1"/>
  <c r="K277" i="1"/>
  <c r="L253" i="1"/>
  <c r="K253" i="1"/>
  <c r="L241" i="1"/>
  <c r="K241" i="1"/>
  <c r="L205" i="1"/>
  <c r="K205" i="1"/>
  <c r="L181" i="1"/>
  <c r="K181" i="1"/>
  <c r="L169" i="1"/>
  <c r="K169" i="1"/>
  <c r="K145" i="1"/>
  <c r="L145" i="1"/>
  <c r="L109" i="1"/>
  <c r="K109" i="1"/>
  <c r="L85" i="1"/>
  <c r="K85" i="1"/>
  <c r="L61" i="1"/>
  <c r="K61" i="1"/>
  <c r="K49" i="1"/>
  <c r="L49" i="1"/>
  <c r="L25" i="1"/>
  <c r="K25" i="1"/>
  <c r="K1574" i="1"/>
  <c r="K771" i="1"/>
  <c r="L2124" i="1"/>
  <c r="K2124" i="1"/>
  <c r="L2040" i="1"/>
  <c r="K2040" i="1"/>
  <c r="K2004" i="1"/>
  <c r="L2004" i="1"/>
  <c r="K1968" i="1"/>
  <c r="L1968" i="1"/>
  <c r="L1920" i="1"/>
  <c r="K1920" i="1"/>
  <c r="L1872" i="1"/>
  <c r="K1872" i="1"/>
  <c r="L1800" i="1"/>
  <c r="K1800" i="1"/>
  <c r="L1764" i="1"/>
  <c r="K1764" i="1"/>
  <c r="L1728" i="1"/>
  <c r="K1728" i="1"/>
  <c r="L1692" i="1"/>
  <c r="K1692" i="1"/>
  <c r="L1668" i="1"/>
  <c r="K1668" i="1"/>
  <c r="L1644" i="1"/>
  <c r="K1644" i="1"/>
  <c r="L1608" i="1"/>
  <c r="K1608" i="1"/>
  <c r="L1572" i="1"/>
  <c r="K1572" i="1"/>
  <c r="K1524" i="1"/>
  <c r="L1524" i="1"/>
  <c r="L1476" i="1"/>
  <c r="K1476" i="1"/>
  <c r="L1464" i="1"/>
  <c r="K1464" i="1"/>
  <c r="L1440" i="1"/>
  <c r="K1440" i="1"/>
  <c r="L1416" i="1"/>
  <c r="K1416" i="1"/>
  <c r="L1392" i="1"/>
  <c r="K1392" i="1"/>
  <c r="K1380" i="1"/>
  <c r="L1380" i="1"/>
  <c r="L1356" i="1"/>
  <c r="K1356" i="1"/>
  <c r="L1332" i="1"/>
  <c r="K1332" i="1"/>
  <c r="L1320" i="1"/>
  <c r="K1320" i="1"/>
  <c r="L1296" i="1"/>
  <c r="K1296" i="1"/>
  <c r="L1260" i="1"/>
  <c r="K1260" i="1"/>
  <c r="L1212" i="1"/>
  <c r="K1212" i="1"/>
  <c r="L1068" i="1"/>
  <c r="K1068" i="1"/>
  <c r="L924" i="1"/>
  <c r="K924" i="1"/>
  <c r="L900" i="1"/>
  <c r="K900" i="1"/>
  <c r="L864" i="1"/>
  <c r="K864" i="1"/>
  <c r="L840" i="1"/>
  <c r="K840" i="1"/>
  <c r="L816" i="1"/>
  <c r="K816" i="1"/>
  <c r="L732" i="1"/>
  <c r="K732" i="1"/>
  <c r="L720" i="1"/>
  <c r="K720" i="1"/>
  <c r="L708" i="1"/>
  <c r="K708" i="1"/>
  <c r="L684" i="1"/>
  <c r="K684" i="1"/>
  <c r="L672" i="1"/>
  <c r="K672" i="1"/>
  <c r="L552" i="1"/>
  <c r="K552" i="1"/>
  <c r="L516" i="1"/>
  <c r="K516" i="1"/>
  <c r="L468" i="1"/>
  <c r="K468" i="1"/>
  <c r="K432" i="1"/>
  <c r="L432" i="1"/>
  <c r="L420" i="1"/>
  <c r="K420" i="1"/>
  <c r="K396" i="1"/>
  <c r="L396" i="1"/>
  <c r="L360" i="1"/>
  <c r="K360" i="1"/>
  <c r="L324" i="1"/>
  <c r="K324" i="1"/>
  <c r="L300" i="1"/>
  <c r="K300" i="1"/>
  <c r="L276" i="1"/>
  <c r="K276" i="1"/>
  <c r="L252" i="1"/>
  <c r="K252" i="1"/>
  <c r="K240" i="1"/>
  <c r="L240" i="1"/>
  <c r="L204" i="1"/>
  <c r="K204" i="1"/>
  <c r="L180" i="1"/>
  <c r="K180" i="1"/>
  <c r="L132" i="1"/>
  <c r="K132" i="1"/>
  <c r="L108" i="1"/>
  <c r="K108" i="1"/>
  <c r="L84" i="1"/>
  <c r="K84" i="1"/>
  <c r="L60" i="1"/>
  <c r="K60" i="1"/>
  <c r="L36" i="1"/>
  <c r="K36" i="1"/>
  <c r="K2103" i="1"/>
  <c r="K1657" i="1"/>
  <c r="K997" i="1"/>
  <c r="K807" i="1"/>
  <c r="K409" i="1"/>
  <c r="L2135" i="1"/>
  <c r="K2135" i="1"/>
  <c r="L2099" i="1"/>
  <c r="K2099" i="1"/>
  <c r="L2015" i="1"/>
  <c r="K2015" i="1"/>
  <c r="K2160" i="1"/>
  <c r="K2127" i="1"/>
  <c r="K1921" i="1"/>
  <c r="K1813" i="1"/>
  <c r="K1559" i="1"/>
  <c r="K1415" i="1"/>
  <c r="K1285" i="1"/>
  <c r="K1107" i="1"/>
  <c r="K877" i="1"/>
  <c r="K123" i="1"/>
  <c r="L793" i="1"/>
  <c r="L2050" i="1"/>
  <c r="K2050" i="1"/>
  <c r="L1798" i="1"/>
  <c r="K1798" i="1"/>
  <c r="L1654" i="1"/>
  <c r="K1654" i="1"/>
  <c r="L1630" i="1"/>
  <c r="K1630" i="1"/>
  <c r="L1534" i="1"/>
  <c r="K1534" i="1"/>
  <c r="L1522" i="1"/>
  <c r="K1522" i="1"/>
  <c r="L1498" i="1"/>
  <c r="K1498" i="1"/>
  <c r="L1462" i="1"/>
  <c r="K1462" i="1"/>
  <c r="L1354" i="1"/>
  <c r="K1354" i="1"/>
  <c r="L1306" i="1"/>
  <c r="K1306" i="1"/>
  <c r="L1246" i="1"/>
  <c r="K1246" i="1"/>
  <c r="K1210" i="1"/>
  <c r="L1210" i="1"/>
  <c r="K1186" i="1"/>
  <c r="L1186" i="1"/>
  <c r="L1126" i="1"/>
  <c r="K1126" i="1"/>
  <c r="L1102" i="1"/>
  <c r="K1102" i="1"/>
  <c r="L1078" i="1"/>
  <c r="K1078" i="1"/>
  <c r="K1066" i="1"/>
  <c r="L1066" i="1"/>
  <c r="L1042" i="1"/>
  <c r="K1042" i="1"/>
  <c r="L1018" i="1"/>
  <c r="K1018" i="1"/>
  <c r="L994" i="1"/>
  <c r="K994" i="1"/>
  <c r="L970" i="1"/>
  <c r="K970" i="1"/>
  <c r="L934" i="1"/>
  <c r="K934" i="1"/>
  <c r="K898" i="1"/>
  <c r="L898" i="1"/>
  <c r="L874" i="1"/>
  <c r="K874" i="1"/>
  <c r="L838" i="1"/>
  <c r="K838" i="1"/>
  <c r="L790" i="1"/>
  <c r="K790" i="1"/>
  <c r="L730" i="1"/>
  <c r="K730" i="1"/>
  <c r="L682" i="1"/>
  <c r="K682" i="1"/>
  <c r="L586" i="1"/>
  <c r="K586" i="1"/>
  <c r="L490" i="1"/>
  <c r="K490" i="1"/>
  <c r="K478" i="1"/>
  <c r="L478" i="1"/>
  <c r="L454" i="1"/>
  <c r="K454" i="1"/>
  <c r="K418" i="1"/>
  <c r="L418" i="1"/>
  <c r="L382" i="1"/>
  <c r="K382" i="1"/>
  <c r="K1991" i="1"/>
  <c r="K1883" i="1"/>
  <c r="K1811" i="1"/>
  <c r="K1141" i="1"/>
  <c r="K876" i="1"/>
  <c r="K675" i="1"/>
  <c r="K566" i="1"/>
  <c r="K51" i="1"/>
  <c r="L2109" i="1"/>
  <c r="K2109" i="1"/>
  <c r="L2085" i="1"/>
  <c r="K2085" i="1"/>
  <c r="L2037" i="1"/>
  <c r="K2037" i="1"/>
  <c r="L2001" i="1"/>
  <c r="K2001" i="1"/>
  <c r="L1965" i="1"/>
  <c r="K1965" i="1"/>
  <c r="L1929" i="1"/>
  <c r="K1929" i="1"/>
  <c r="L1893" i="1"/>
  <c r="K1893" i="1"/>
  <c r="L1869" i="1"/>
  <c r="K1869" i="1"/>
  <c r="K1833" i="1"/>
  <c r="L1833" i="1"/>
  <c r="L1821" i="1"/>
  <c r="K1821" i="1"/>
  <c r="L1797" i="1"/>
  <c r="K1797" i="1"/>
  <c r="L1701" i="1"/>
  <c r="K1701" i="1"/>
  <c r="L1677" i="1"/>
  <c r="K1677" i="1"/>
  <c r="L1665" i="1"/>
  <c r="K1665" i="1"/>
  <c r="L1653" i="1"/>
  <c r="K1653" i="1"/>
  <c r="L1641" i="1"/>
  <c r="K1641" i="1"/>
  <c r="L1629" i="1"/>
  <c r="K1629" i="1"/>
  <c r="L1521" i="1"/>
  <c r="K1521" i="1"/>
  <c r="L1497" i="1"/>
  <c r="K1497" i="1"/>
  <c r="L1425" i="1"/>
  <c r="K1425" i="1"/>
  <c r="L1329" i="1"/>
  <c r="K1329" i="1"/>
  <c r="L1293" i="1"/>
  <c r="K1293" i="1"/>
  <c r="K1281" i="1"/>
  <c r="L1281" i="1"/>
  <c r="L1245" i="1"/>
  <c r="K1245" i="1"/>
  <c r="L1221" i="1"/>
  <c r="K1221" i="1"/>
  <c r="K1197" i="1"/>
  <c r="L1197" i="1"/>
  <c r="L1173" i="1"/>
  <c r="K1173" i="1"/>
  <c r="K1125" i="1"/>
  <c r="L1125" i="1"/>
  <c r="K1053" i="1"/>
  <c r="L1053" i="1"/>
  <c r="L1017" i="1"/>
  <c r="K1017" i="1"/>
  <c r="L969" i="1"/>
  <c r="K969" i="1"/>
  <c r="L933" i="1"/>
  <c r="K933" i="1"/>
  <c r="L909" i="1"/>
  <c r="K909" i="1"/>
  <c r="L873" i="1"/>
  <c r="K873" i="1"/>
  <c r="K825" i="1"/>
  <c r="L825" i="1"/>
  <c r="L801" i="1"/>
  <c r="K801" i="1"/>
  <c r="L729" i="1"/>
  <c r="K729" i="1"/>
  <c r="L561" i="1"/>
  <c r="K561" i="1"/>
  <c r="L2120" i="1"/>
  <c r="K2120" i="1"/>
  <c r="L2036" i="1"/>
  <c r="K2036" i="1"/>
  <c r="L1928" i="1"/>
  <c r="K1928" i="1"/>
  <c r="L1856" i="1"/>
  <c r="K1856" i="1"/>
  <c r="L1676" i="1"/>
  <c r="K1676" i="1"/>
  <c r="L1484" i="1"/>
  <c r="K1484" i="1"/>
  <c r="L1472" i="1"/>
  <c r="K1472" i="1"/>
  <c r="L1448" i="1"/>
  <c r="K1448" i="1"/>
  <c r="L1424" i="1"/>
  <c r="K1424" i="1"/>
  <c r="L1400" i="1"/>
  <c r="K1400" i="1"/>
  <c r="L1388" i="1"/>
  <c r="K1388" i="1"/>
  <c r="L1268" i="1"/>
  <c r="K1268" i="1"/>
  <c r="L1244" i="1"/>
  <c r="K1244" i="1"/>
  <c r="L1220" i="1"/>
  <c r="K1220" i="1"/>
  <c r="K1184" i="1"/>
  <c r="L1184" i="1"/>
  <c r="L1160" i="1"/>
  <c r="K1160" i="1"/>
  <c r="K1148" i="1"/>
  <c r="L1148" i="1"/>
  <c r="L1136" i="1"/>
  <c r="K1136" i="1"/>
  <c r="L1112" i="1"/>
  <c r="K1112" i="1"/>
  <c r="K1076" i="1"/>
  <c r="L1076" i="1"/>
  <c r="L1052" i="1"/>
  <c r="K1052" i="1"/>
  <c r="L1040" i="1"/>
  <c r="K1040" i="1"/>
  <c r="L1016" i="1"/>
  <c r="K1016" i="1"/>
  <c r="L932" i="1"/>
  <c r="K932" i="1"/>
  <c r="L920" i="1"/>
  <c r="K920" i="1"/>
  <c r="K896" i="1"/>
  <c r="L896" i="1"/>
  <c r="L872" i="1"/>
  <c r="K872" i="1"/>
  <c r="L848" i="1"/>
  <c r="K848" i="1"/>
  <c r="L812" i="1"/>
  <c r="K812" i="1"/>
  <c r="L788" i="1"/>
  <c r="K788" i="1"/>
  <c r="L764" i="1"/>
  <c r="K764" i="1"/>
  <c r="L620" i="1"/>
  <c r="K620" i="1"/>
  <c r="K596" i="1"/>
  <c r="L596" i="1"/>
  <c r="L536" i="1"/>
  <c r="K536" i="1"/>
  <c r="L464" i="1"/>
  <c r="K464" i="1"/>
  <c r="L440" i="1"/>
  <c r="K440" i="1"/>
  <c r="L428" i="1"/>
  <c r="K428" i="1"/>
  <c r="L416" i="1"/>
  <c r="K416" i="1"/>
  <c r="L392" i="1"/>
  <c r="K392" i="1"/>
  <c r="L380" i="1"/>
  <c r="K380" i="1"/>
  <c r="L320" i="1"/>
  <c r="K320" i="1"/>
  <c r="L272" i="1"/>
  <c r="K272" i="1"/>
  <c r="L140" i="1"/>
  <c r="K140" i="1"/>
  <c r="L80" i="1"/>
  <c r="K80" i="1"/>
  <c r="L2167" i="1"/>
  <c r="K2167" i="1"/>
  <c r="L2119" i="1"/>
  <c r="K2119" i="1"/>
  <c r="L2083" i="1"/>
  <c r="K2083" i="1"/>
  <c r="K2071" i="1"/>
  <c r="L2071" i="1"/>
  <c r="L2035" i="1"/>
  <c r="K2035" i="1"/>
  <c r="L1963" i="1"/>
  <c r="K1963" i="1"/>
  <c r="L1927" i="1"/>
  <c r="K1927" i="1"/>
  <c r="L1891" i="1"/>
  <c r="K1891" i="1"/>
  <c r="L1675" i="1"/>
  <c r="K1675" i="1"/>
  <c r="L1651" i="1"/>
  <c r="K1651" i="1"/>
  <c r="L1579" i="1"/>
  <c r="K1579" i="1"/>
  <c r="L1555" i="1"/>
  <c r="K1555" i="1"/>
  <c r="L1363" i="1"/>
  <c r="K1363" i="1"/>
  <c r="L1279" i="1"/>
  <c r="K1279" i="1"/>
  <c r="L1231" i="1"/>
  <c r="K1231" i="1"/>
  <c r="L1207" i="1"/>
  <c r="K1207" i="1"/>
  <c r="L1195" i="1"/>
  <c r="K1195" i="1"/>
  <c r="L1135" i="1"/>
  <c r="K1135" i="1"/>
  <c r="L1111" i="1"/>
  <c r="K1111" i="1"/>
  <c r="L1051" i="1"/>
  <c r="K1051" i="1"/>
  <c r="L1027" i="1"/>
  <c r="K1027" i="1"/>
  <c r="L1003" i="1"/>
  <c r="K1003" i="1"/>
  <c r="L979" i="1"/>
  <c r="K979" i="1"/>
  <c r="L955" i="1"/>
  <c r="K955" i="1"/>
  <c r="L943" i="1"/>
  <c r="K943" i="1"/>
  <c r="L895" i="1"/>
  <c r="K895" i="1"/>
  <c r="K871" i="1"/>
  <c r="L871" i="1"/>
  <c r="L847" i="1"/>
  <c r="K847" i="1"/>
  <c r="L835" i="1"/>
  <c r="K835" i="1"/>
  <c r="L787" i="1"/>
  <c r="K787" i="1"/>
  <c r="L751" i="1"/>
  <c r="K751" i="1"/>
  <c r="L727" i="1"/>
  <c r="K727" i="1"/>
  <c r="L715" i="1"/>
  <c r="K715" i="1"/>
  <c r="K703" i="1"/>
  <c r="L703" i="1"/>
  <c r="L691" i="1"/>
  <c r="K691" i="1"/>
  <c r="L679" i="1"/>
  <c r="K679" i="1"/>
  <c r="L655" i="1"/>
  <c r="K655" i="1"/>
  <c r="L631" i="1"/>
  <c r="K631" i="1"/>
  <c r="K595" i="1"/>
  <c r="L595" i="1"/>
  <c r="L583" i="1"/>
  <c r="K583" i="1"/>
  <c r="L559" i="1"/>
  <c r="K559" i="1"/>
  <c r="K547" i="1"/>
  <c r="L547" i="1"/>
  <c r="L523" i="1"/>
  <c r="K523" i="1"/>
  <c r="L499" i="1"/>
  <c r="K499" i="1"/>
  <c r="L475" i="1"/>
  <c r="K475" i="1"/>
  <c r="L463" i="1"/>
  <c r="K463" i="1"/>
  <c r="K439" i="1"/>
  <c r="L439" i="1"/>
  <c r="L415" i="1"/>
  <c r="K415" i="1"/>
  <c r="L391" i="1"/>
  <c r="K391" i="1"/>
  <c r="L367" i="1"/>
  <c r="K367" i="1"/>
  <c r="L343" i="1"/>
  <c r="K343" i="1"/>
  <c r="K319" i="1"/>
  <c r="L319" i="1"/>
  <c r="L295" i="1"/>
  <c r="K295" i="1"/>
  <c r="K259" i="1"/>
  <c r="L259" i="1"/>
  <c r="L235" i="1"/>
  <c r="K235" i="1"/>
  <c r="K199" i="1"/>
  <c r="L199" i="1"/>
  <c r="L163" i="1"/>
  <c r="K163" i="1"/>
  <c r="L91" i="1"/>
  <c r="K91" i="1"/>
  <c r="K67" i="1"/>
  <c r="L67" i="1"/>
  <c r="L43" i="1"/>
  <c r="K43" i="1"/>
  <c r="L7" i="1"/>
  <c r="K7" i="1"/>
  <c r="K2155" i="1"/>
  <c r="K2122" i="1"/>
  <c r="K2089" i="1"/>
  <c r="K2059" i="1"/>
  <c r="K2023" i="1"/>
  <c r="K1987" i="1"/>
  <c r="K1951" i="1"/>
  <c r="K1915" i="1"/>
  <c r="K1879" i="1"/>
  <c r="K1843" i="1"/>
  <c r="K1807" i="1"/>
  <c r="K1766" i="1"/>
  <c r="K1725" i="1"/>
  <c r="K1682" i="1"/>
  <c r="K1639" i="1"/>
  <c r="K1595" i="1"/>
  <c r="K1547" i="1"/>
  <c r="K1502" i="1"/>
  <c r="K1453" i="1"/>
  <c r="K1403" i="1"/>
  <c r="K1358" i="1"/>
  <c r="K1309" i="1"/>
  <c r="K1163" i="1"/>
  <c r="K1131" i="1"/>
  <c r="K948" i="1"/>
  <c r="K791" i="1"/>
  <c r="K744" i="1"/>
  <c r="K314" i="1"/>
  <c r="K110" i="1"/>
  <c r="K8" i="1"/>
  <c r="L2028" i="1"/>
  <c r="L1942" i="1"/>
  <c r="L1699" i="1"/>
  <c r="L1419" i="1"/>
  <c r="L1100" i="1"/>
  <c r="L704" i="1"/>
  <c r="L296" i="1"/>
  <c r="L2031" i="1"/>
  <c r="K2031" i="1"/>
  <c r="L1995" i="1"/>
  <c r="K1995" i="1"/>
  <c r="L1887" i="1"/>
  <c r="K1887" i="1"/>
  <c r="L1851" i="1"/>
  <c r="K1851" i="1"/>
  <c r="L1731" i="1"/>
  <c r="K1731" i="1"/>
  <c r="L1695" i="1"/>
  <c r="K1695" i="1"/>
  <c r="L1659" i="1"/>
  <c r="K1659" i="1"/>
  <c r="L1611" i="1"/>
  <c r="K1611" i="1"/>
  <c r="L1563" i="1"/>
  <c r="K1563" i="1"/>
  <c r="L1539" i="1"/>
  <c r="K1539" i="1"/>
  <c r="L1311" i="1"/>
  <c r="K1311" i="1"/>
  <c r="L1215" i="1"/>
  <c r="K1215" i="1"/>
  <c r="L1095" i="1"/>
  <c r="K1095" i="1"/>
  <c r="L963" i="1"/>
  <c r="K963" i="1"/>
  <c r="L927" i="1"/>
  <c r="K927" i="1"/>
  <c r="L891" i="1"/>
  <c r="K891" i="1"/>
  <c r="L855" i="1"/>
  <c r="K855" i="1"/>
  <c r="L831" i="1"/>
  <c r="K831" i="1"/>
  <c r="L795" i="1"/>
  <c r="K795" i="1"/>
  <c r="L759" i="1"/>
  <c r="K759" i="1"/>
  <c r="L627" i="1"/>
  <c r="K627" i="1"/>
  <c r="L567" i="1"/>
  <c r="K567" i="1"/>
  <c r="L471" i="1"/>
  <c r="K471" i="1"/>
  <c r="L447" i="1"/>
  <c r="K447" i="1"/>
  <c r="L411" i="1"/>
  <c r="K411" i="1"/>
  <c r="L255" i="1"/>
  <c r="K255" i="1"/>
  <c r="K231" i="1"/>
  <c r="L231" i="1"/>
  <c r="L183" i="1"/>
  <c r="K183" i="1"/>
  <c r="L159" i="1"/>
  <c r="K159" i="1"/>
  <c r="L75" i="1"/>
  <c r="K75" i="1"/>
  <c r="K1971" i="1"/>
  <c r="K1863" i="1"/>
  <c r="K495" i="1"/>
  <c r="L2150" i="1"/>
  <c r="K2150" i="1"/>
  <c r="L2054" i="1"/>
  <c r="K2054" i="1"/>
  <c r="L1934" i="1"/>
  <c r="K1934" i="1"/>
  <c r="L1910" i="1"/>
  <c r="K1910" i="1"/>
  <c r="L1838" i="1"/>
  <c r="K1838" i="1"/>
  <c r="L1718" i="1"/>
  <c r="K1718" i="1"/>
  <c r="L1514" i="1"/>
  <c r="K1514" i="1"/>
  <c r="L1322" i="1"/>
  <c r="K1322" i="1"/>
  <c r="L1202" i="1"/>
  <c r="K1202" i="1"/>
  <c r="L1094" i="1"/>
  <c r="K1094" i="1"/>
  <c r="L1034" i="1"/>
  <c r="K1034" i="1"/>
  <c r="L998" i="1"/>
  <c r="K998" i="1"/>
  <c r="L926" i="1"/>
  <c r="K926" i="1"/>
  <c r="L818" i="1"/>
  <c r="K818" i="1"/>
  <c r="L662" i="1"/>
  <c r="K662" i="1"/>
  <c r="L638" i="1"/>
  <c r="K638" i="1"/>
  <c r="L614" i="1"/>
  <c r="K614" i="1"/>
  <c r="L578" i="1"/>
  <c r="K578" i="1"/>
  <c r="L530" i="1"/>
  <c r="K530" i="1"/>
  <c r="L482" i="1"/>
  <c r="K482" i="1"/>
  <c r="L434" i="1"/>
  <c r="K434" i="1"/>
  <c r="L398" i="1"/>
  <c r="K398" i="1"/>
  <c r="L374" i="1"/>
  <c r="K374" i="1"/>
  <c r="L338" i="1"/>
  <c r="K338" i="1"/>
  <c r="L290" i="1"/>
  <c r="K290" i="1"/>
  <c r="L254" i="1"/>
  <c r="K254" i="1"/>
  <c r="L218" i="1"/>
  <c r="K218" i="1"/>
  <c r="L170" i="1"/>
  <c r="K170" i="1"/>
  <c r="L134" i="1"/>
  <c r="K134" i="1"/>
  <c r="K1478" i="1"/>
  <c r="K1334" i="1"/>
  <c r="L1549" i="1"/>
  <c r="K1549" i="1"/>
  <c r="L1477" i="1"/>
  <c r="K1477" i="1"/>
  <c r="L1405" i="1"/>
  <c r="K1405" i="1"/>
  <c r="K1249" i="1"/>
  <c r="L1249" i="1"/>
  <c r="K1117" i="1"/>
  <c r="L1117" i="1"/>
  <c r="L913" i="1"/>
  <c r="K913" i="1"/>
  <c r="L745" i="1"/>
  <c r="K745" i="1"/>
  <c r="L709" i="1"/>
  <c r="K709" i="1"/>
  <c r="L541" i="1"/>
  <c r="K541" i="1"/>
  <c r="K2137" i="1"/>
  <c r="K1658" i="1"/>
  <c r="K1381" i="1"/>
  <c r="K999" i="1"/>
  <c r="K853" i="1"/>
  <c r="L2148" i="1"/>
  <c r="K2148" i="1"/>
  <c r="L1992" i="1"/>
  <c r="K1992" i="1"/>
  <c r="K1956" i="1"/>
  <c r="L1956" i="1"/>
  <c r="K1932" i="1"/>
  <c r="L1932" i="1"/>
  <c r="L1908" i="1"/>
  <c r="K1908" i="1"/>
  <c r="L1896" i="1"/>
  <c r="K1896" i="1"/>
  <c r="L1860" i="1"/>
  <c r="K1860" i="1"/>
  <c r="K1836" i="1"/>
  <c r="L1836" i="1"/>
  <c r="L1812" i="1"/>
  <c r="K1812" i="1"/>
  <c r="K1788" i="1"/>
  <c r="L1788" i="1"/>
  <c r="L1752" i="1"/>
  <c r="K1752" i="1"/>
  <c r="L1716" i="1"/>
  <c r="K1716" i="1"/>
  <c r="L1704" i="1"/>
  <c r="K1704" i="1"/>
  <c r="L1656" i="1"/>
  <c r="K1656" i="1"/>
  <c r="L1620" i="1"/>
  <c r="K1620" i="1"/>
  <c r="L1596" i="1"/>
  <c r="K1596" i="1"/>
  <c r="K1584" i="1"/>
  <c r="L1584" i="1"/>
  <c r="L1560" i="1"/>
  <c r="K1560" i="1"/>
  <c r="L1536" i="1"/>
  <c r="K1536" i="1"/>
  <c r="L1512" i="1"/>
  <c r="K1512" i="1"/>
  <c r="L1488" i="1"/>
  <c r="K1488" i="1"/>
  <c r="K1452" i="1"/>
  <c r="L1452" i="1"/>
  <c r="L1404" i="1"/>
  <c r="K1404" i="1"/>
  <c r="L1272" i="1"/>
  <c r="K1272" i="1"/>
  <c r="L1248" i="1"/>
  <c r="K1248" i="1"/>
  <c r="L1176" i="1"/>
  <c r="K1176" i="1"/>
  <c r="L1152" i="1"/>
  <c r="K1152" i="1"/>
  <c r="L1128" i="1"/>
  <c r="K1128" i="1"/>
  <c r="L1104" i="1"/>
  <c r="K1104" i="1"/>
  <c r="L1080" i="1"/>
  <c r="K1080" i="1"/>
  <c r="K1056" i="1"/>
  <c r="L1056" i="1"/>
  <c r="L1008" i="1"/>
  <c r="K1008" i="1"/>
  <c r="L984" i="1"/>
  <c r="K984" i="1"/>
  <c r="L804" i="1"/>
  <c r="K804" i="1"/>
  <c r="L780" i="1"/>
  <c r="K780" i="1"/>
  <c r="L756" i="1"/>
  <c r="K756" i="1"/>
  <c r="L636" i="1"/>
  <c r="K636" i="1"/>
  <c r="K624" i="1"/>
  <c r="L624" i="1"/>
  <c r="L588" i="1"/>
  <c r="K588" i="1"/>
  <c r="L564" i="1"/>
  <c r="K564" i="1"/>
  <c r="L528" i="1"/>
  <c r="K528" i="1"/>
  <c r="L492" i="1"/>
  <c r="K492" i="1"/>
  <c r="L456" i="1"/>
  <c r="K456" i="1"/>
  <c r="L348" i="1"/>
  <c r="K348" i="1"/>
  <c r="L312" i="1"/>
  <c r="K312" i="1"/>
  <c r="L288" i="1"/>
  <c r="K288" i="1"/>
  <c r="L264" i="1"/>
  <c r="K264" i="1"/>
  <c r="K168" i="1"/>
  <c r="L168" i="1"/>
  <c r="L24" i="1"/>
  <c r="K24" i="1"/>
  <c r="K2136" i="1"/>
  <c r="K1743" i="1"/>
  <c r="K1429" i="1"/>
  <c r="K962" i="1"/>
  <c r="L1979" i="1"/>
  <c r="K1979" i="1"/>
  <c r="L1787" i="1"/>
  <c r="K1787" i="1"/>
  <c r="L1751" i="1"/>
  <c r="K1751" i="1"/>
  <c r="L1727" i="1"/>
  <c r="K1727" i="1"/>
  <c r="L1619" i="1"/>
  <c r="K1619" i="1"/>
  <c r="L1535" i="1"/>
  <c r="K1535" i="1"/>
  <c r="L1511" i="1"/>
  <c r="K1511" i="1"/>
  <c r="L1499" i="1"/>
  <c r="K1499" i="1"/>
  <c r="K1367" i="1"/>
  <c r="L1367" i="1"/>
  <c r="L1283" i="1"/>
  <c r="K1283" i="1"/>
  <c r="L1259" i="1"/>
  <c r="K1259" i="1"/>
  <c r="L1199" i="1"/>
  <c r="K1199" i="1"/>
  <c r="L1175" i="1"/>
  <c r="K1175" i="1"/>
  <c r="K983" i="1"/>
  <c r="L983" i="1"/>
  <c r="L851" i="1"/>
  <c r="K851" i="1"/>
  <c r="L815" i="1"/>
  <c r="K815" i="1"/>
  <c r="L719" i="1"/>
  <c r="K719" i="1"/>
  <c r="K623" i="1"/>
  <c r="L623" i="1"/>
  <c r="K599" i="1"/>
  <c r="L599" i="1"/>
  <c r="L563" i="1"/>
  <c r="K563" i="1"/>
  <c r="L527" i="1"/>
  <c r="K527" i="1"/>
  <c r="L503" i="1"/>
  <c r="K503" i="1"/>
  <c r="K491" i="1"/>
  <c r="L491" i="1"/>
  <c r="L467" i="1"/>
  <c r="K467" i="1"/>
  <c r="L431" i="1"/>
  <c r="K431" i="1"/>
  <c r="L407" i="1"/>
  <c r="K407" i="1"/>
  <c r="L383" i="1"/>
  <c r="K383" i="1"/>
  <c r="K371" i="1"/>
  <c r="L371" i="1"/>
  <c r="L335" i="1"/>
  <c r="K335" i="1"/>
  <c r="L215" i="1"/>
  <c r="K215" i="1"/>
  <c r="L203" i="1"/>
  <c r="K203" i="1"/>
  <c r="L167" i="1"/>
  <c r="K167" i="1"/>
  <c r="L155" i="1"/>
  <c r="K155" i="1"/>
  <c r="L131" i="1"/>
  <c r="K131" i="1"/>
  <c r="L119" i="1"/>
  <c r="K119" i="1"/>
  <c r="L83" i="1"/>
  <c r="K83" i="1"/>
  <c r="L59" i="1"/>
  <c r="K59" i="1"/>
  <c r="L47" i="1"/>
  <c r="K47" i="1"/>
  <c r="L23" i="1"/>
  <c r="K23" i="1"/>
  <c r="K2064" i="1"/>
  <c r="K1957" i="1"/>
  <c r="K1885" i="1"/>
  <c r="K1775" i="1"/>
  <c r="K1647" i="1"/>
  <c r="K996" i="1"/>
  <c r="L1871" i="1"/>
  <c r="L399" i="1"/>
  <c r="L2098" i="1"/>
  <c r="K2098" i="1"/>
  <c r="L2086" i="1"/>
  <c r="K2086" i="1"/>
  <c r="L2014" i="1"/>
  <c r="K2014" i="1"/>
  <c r="L1762" i="1"/>
  <c r="K1762" i="1"/>
  <c r="L1738" i="1"/>
  <c r="K1738" i="1"/>
  <c r="L1714" i="1"/>
  <c r="K1714" i="1"/>
  <c r="L1642" i="1"/>
  <c r="K1642" i="1"/>
  <c r="L1570" i="1"/>
  <c r="K1570" i="1"/>
  <c r="K1282" i="1"/>
  <c r="L1282" i="1"/>
  <c r="L1234" i="1"/>
  <c r="K1234" i="1"/>
  <c r="L1198" i="1"/>
  <c r="K1198" i="1"/>
  <c r="K1150" i="1"/>
  <c r="L1150" i="1"/>
  <c r="K1114" i="1"/>
  <c r="L1114" i="1"/>
  <c r="L1006" i="1"/>
  <c r="K1006" i="1"/>
  <c r="K982" i="1"/>
  <c r="L982" i="1"/>
  <c r="L946" i="1"/>
  <c r="K946" i="1"/>
  <c r="L910" i="1"/>
  <c r="K910" i="1"/>
  <c r="L862" i="1"/>
  <c r="K862" i="1"/>
  <c r="L814" i="1"/>
  <c r="K814" i="1"/>
  <c r="L778" i="1"/>
  <c r="K778" i="1"/>
  <c r="L742" i="1"/>
  <c r="K742" i="1"/>
  <c r="L718" i="1"/>
  <c r="K718" i="1"/>
  <c r="L694" i="1"/>
  <c r="K694" i="1"/>
  <c r="L646" i="1"/>
  <c r="K646" i="1"/>
  <c r="L622" i="1"/>
  <c r="K622" i="1"/>
  <c r="L562" i="1"/>
  <c r="K562" i="1"/>
  <c r="L538" i="1"/>
  <c r="K538" i="1"/>
  <c r="L406" i="1"/>
  <c r="K406" i="1"/>
  <c r="L370" i="1"/>
  <c r="K370" i="1"/>
  <c r="K2126" i="1"/>
  <c r="K2027" i="1"/>
  <c r="K1919" i="1"/>
  <c r="K1774" i="1"/>
  <c r="K1558" i="1"/>
  <c r="K1284" i="1"/>
  <c r="K1106" i="1"/>
  <c r="K995" i="1"/>
  <c r="K122" i="1"/>
  <c r="L1870" i="1"/>
  <c r="L375" i="1"/>
  <c r="L2133" i="1"/>
  <c r="K2133" i="1"/>
  <c r="L2025" i="1"/>
  <c r="K2025" i="1"/>
  <c r="L1977" i="1"/>
  <c r="K1977" i="1"/>
  <c r="L1953" i="1"/>
  <c r="K1953" i="1"/>
  <c r="L1917" i="1"/>
  <c r="K1917" i="1"/>
  <c r="L1857" i="1"/>
  <c r="K1857" i="1"/>
  <c r="L1761" i="1"/>
  <c r="K1761" i="1"/>
  <c r="L1749" i="1"/>
  <c r="K1749" i="1"/>
  <c r="L1737" i="1"/>
  <c r="K1737" i="1"/>
  <c r="L1713" i="1"/>
  <c r="K1713" i="1"/>
  <c r="L1593" i="1"/>
  <c r="K1593" i="1"/>
  <c r="L1569" i="1"/>
  <c r="K1569" i="1"/>
  <c r="L1377" i="1"/>
  <c r="K1377" i="1"/>
  <c r="L1269" i="1"/>
  <c r="K1269" i="1"/>
  <c r="L1233" i="1"/>
  <c r="K1233" i="1"/>
  <c r="K1185" i="1"/>
  <c r="L1185" i="1"/>
  <c r="L1149" i="1"/>
  <c r="K1149" i="1"/>
  <c r="L1137" i="1"/>
  <c r="K1137" i="1"/>
  <c r="L1113" i="1"/>
  <c r="K1113" i="1"/>
  <c r="L1089" i="1"/>
  <c r="K1089" i="1"/>
  <c r="K1077" i="1"/>
  <c r="L1077" i="1"/>
  <c r="L1041" i="1"/>
  <c r="K1041" i="1"/>
  <c r="L1005" i="1"/>
  <c r="K1005" i="1"/>
  <c r="K981" i="1"/>
  <c r="L981" i="1"/>
  <c r="K945" i="1"/>
  <c r="L945" i="1"/>
  <c r="K897" i="1"/>
  <c r="L897" i="1"/>
  <c r="L861" i="1"/>
  <c r="K861" i="1"/>
  <c r="L837" i="1"/>
  <c r="K837" i="1"/>
  <c r="L789" i="1"/>
  <c r="K789" i="1"/>
  <c r="K765" i="1"/>
  <c r="L765" i="1"/>
  <c r="K741" i="1"/>
  <c r="L741" i="1"/>
  <c r="K705" i="1"/>
  <c r="L705" i="1"/>
  <c r="L693" i="1"/>
  <c r="K693" i="1"/>
  <c r="K681" i="1"/>
  <c r="L681" i="1"/>
  <c r="K657" i="1"/>
  <c r="L657" i="1"/>
  <c r="L633" i="1"/>
  <c r="K633" i="1"/>
  <c r="L609" i="1"/>
  <c r="K609" i="1"/>
  <c r="L285" i="1"/>
  <c r="K285" i="1"/>
  <c r="L2000" i="1"/>
  <c r="K2000" i="1"/>
  <c r="L1892" i="1"/>
  <c r="K1892" i="1"/>
  <c r="L1820" i="1"/>
  <c r="K1820" i="1"/>
  <c r="L1772" i="1"/>
  <c r="K1772" i="1"/>
  <c r="K1760" i="1"/>
  <c r="L1760" i="1"/>
  <c r="L1652" i="1"/>
  <c r="K1652" i="1"/>
  <c r="L1568" i="1"/>
  <c r="K1568" i="1"/>
  <c r="L1544" i="1"/>
  <c r="K1544" i="1"/>
  <c r="L1532" i="1"/>
  <c r="K1532" i="1"/>
  <c r="L1412" i="1"/>
  <c r="K1412" i="1"/>
  <c r="L1352" i="1"/>
  <c r="K1352" i="1"/>
  <c r="L1340" i="1"/>
  <c r="K1340" i="1"/>
  <c r="L1328" i="1"/>
  <c r="K1328" i="1"/>
  <c r="L1316" i="1"/>
  <c r="K1316" i="1"/>
  <c r="L1304" i="1"/>
  <c r="K1304" i="1"/>
  <c r="L1280" i="1"/>
  <c r="K1280" i="1"/>
  <c r="L1232" i="1"/>
  <c r="K1232" i="1"/>
  <c r="K1208" i="1"/>
  <c r="L1208" i="1"/>
  <c r="L1196" i="1"/>
  <c r="K1196" i="1"/>
  <c r="L1172" i="1"/>
  <c r="K1172" i="1"/>
  <c r="K1088" i="1"/>
  <c r="L1088" i="1"/>
  <c r="L1064" i="1"/>
  <c r="K1064" i="1"/>
  <c r="K1028" i="1"/>
  <c r="L1028" i="1"/>
  <c r="K1004" i="1"/>
  <c r="L1004" i="1"/>
  <c r="L992" i="1"/>
  <c r="K992" i="1"/>
  <c r="L980" i="1"/>
  <c r="K980" i="1"/>
  <c r="K944" i="1"/>
  <c r="L944" i="1"/>
  <c r="L908" i="1"/>
  <c r="K908" i="1"/>
  <c r="L884" i="1"/>
  <c r="K884" i="1"/>
  <c r="L836" i="1"/>
  <c r="K836" i="1"/>
  <c r="L824" i="1"/>
  <c r="K824" i="1"/>
  <c r="K800" i="1"/>
  <c r="L800" i="1"/>
  <c r="L752" i="1"/>
  <c r="K752" i="1"/>
  <c r="K740" i="1"/>
  <c r="L740" i="1"/>
  <c r="L716" i="1"/>
  <c r="K716" i="1"/>
  <c r="L692" i="1"/>
  <c r="K692" i="1"/>
  <c r="L680" i="1"/>
  <c r="K680" i="1"/>
  <c r="L656" i="1"/>
  <c r="K656" i="1"/>
  <c r="L632" i="1"/>
  <c r="K632" i="1"/>
  <c r="L608" i="1"/>
  <c r="K608" i="1"/>
  <c r="L572" i="1"/>
  <c r="K572" i="1"/>
  <c r="L560" i="1"/>
  <c r="K560" i="1"/>
  <c r="L548" i="1"/>
  <c r="K548" i="1"/>
  <c r="L524" i="1"/>
  <c r="K524" i="1"/>
  <c r="L500" i="1"/>
  <c r="K500" i="1"/>
  <c r="L476" i="1"/>
  <c r="K476" i="1"/>
  <c r="K368" i="1"/>
  <c r="L368" i="1"/>
  <c r="L344" i="1"/>
  <c r="K344" i="1"/>
  <c r="L332" i="1"/>
  <c r="K332" i="1"/>
  <c r="L248" i="1"/>
  <c r="K248" i="1"/>
  <c r="L236" i="1"/>
  <c r="K236" i="1"/>
  <c r="L224" i="1"/>
  <c r="K224" i="1"/>
  <c r="L212" i="1"/>
  <c r="K212" i="1"/>
  <c r="L200" i="1"/>
  <c r="K200" i="1"/>
  <c r="L176" i="1"/>
  <c r="K176" i="1"/>
  <c r="L164" i="1"/>
  <c r="K164" i="1"/>
  <c r="L152" i="1"/>
  <c r="K152" i="1"/>
  <c r="L128" i="1"/>
  <c r="K128" i="1"/>
  <c r="L104" i="1"/>
  <c r="K104" i="1"/>
  <c r="K92" i="1"/>
  <c r="L92" i="1"/>
  <c r="K68" i="1"/>
  <c r="L68" i="1"/>
  <c r="L56" i="1"/>
  <c r="K56" i="1"/>
  <c r="L44" i="1"/>
  <c r="K44" i="1"/>
  <c r="L32" i="1"/>
  <c r="K32" i="1"/>
  <c r="L1999" i="1"/>
  <c r="K1999" i="1"/>
  <c r="L1855" i="1"/>
  <c r="K1855" i="1"/>
  <c r="L1819" i="1"/>
  <c r="K1819" i="1"/>
  <c r="L1783" i="1"/>
  <c r="K1783" i="1"/>
  <c r="L1771" i="1"/>
  <c r="K1771" i="1"/>
  <c r="K1759" i="1"/>
  <c r="L1759" i="1"/>
  <c r="L1735" i="1"/>
  <c r="K1735" i="1"/>
  <c r="L1723" i="1"/>
  <c r="K1723" i="1"/>
  <c r="L1687" i="1"/>
  <c r="K1687" i="1"/>
  <c r="L1663" i="1"/>
  <c r="K1663" i="1"/>
  <c r="L1627" i="1"/>
  <c r="K1627" i="1"/>
  <c r="L1615" i="1"/>
  <c r="K1615" i="1"/>
  <c r="L1591" i="1"/>
  <c r="K1591" i="1"/>
  <c r="L1567" i="1"/>
  <c r="K1567" i="1"/>
  <c r="L1543" i="1"/>
  <c r="K1543" i="1"/>
  <c r="L1519" i="1"/>
  <c r="K1519" i="1"/>
  <c r="L1507" i="1"/>
  <c r="K1507" i="1"/>
  <c r="L1495" i="1"/>
  <c r="K1495" i="1"/>
  <c r="K1483" i="1"/>
  <c r="L1483" i="1"/>
  <c r="L1471" i="1"/>
  <c r="K1471" i="1"/>
  <c r="L1435" i="1"/>
  <c r="K1435" i="1"/>
  <c r="L1423" i="1"/>
  <c r="K1423" i="1"/>
  <c r="K1411" i="1"/>
  <c r="L1411" i="1"/>
  <c r="L1399" i="1"/>
  <c r="K1399" i="1"/>
  <c r="L1375" i="1"/>
  <c r="K1375" i="1"/>
  <c r="L1351" i="1"/>
  <c r="K1351" i="1"/>
  <c r="L1339" i="1"/>
  <c r="K1339" i="1"/>
  <c r="L1327" i="1"/>
  <c r="K1327" i="1"/>
  <c r="L1303" i="1"/>
  <c r="K1303" i="1"/>
  <c r="L1183" i="1"/>
  <c r="K1183" i="1"/>
  <c r="L1147" i="1"/>
  <c r="K1147" i="1"/>
  <c r="K1123" i="1"/>
  <c r="L1123" i="1"/>
  <c r="L1099" i="1"/>
  <c r="K1099" i="1"/>
  <c r="L1087" i="1"/>
  <c r="K1087" i="1"/>
  <c r="L1063" i="1"/>
  <c r="K1063" i="1"/>
  <c r="L1039" i="1"/>
  <c r="K1039" i="1"/>
  <c r="L1015" i="1"/>
  <c r="K1015" i="1"/>
  <c r="L991" i="1"/>
  <c r="K991" i="1"/>
  <c r="L967" i="1"/>
  <c r="K967" i="1"/>
  <c r="L859" i="1"/>
  <c r="K859" i="1"/>
  <c r="L823" i="1"/>
  <c r="K823" i="1"/>
  <c r="L811" i="1"/>
  <c r="K811" i="1"/>
  <c r="L799" i="1"/>
  <c r="K799" i="1"/>
  <c r="L775" i="1"/>
  <c r="K775" i="1"/>
  <c r="L619" i="1"/>
  <c r="K619" i="1"/>
  <c r="L607" i="1"/>
  <c r="K607" i="1"/>
  <c r="L535" i="1"/>
  <c r="K535" i="1"/>
  <c r="L511" i="1"/>
  <c r="K511" i="1"/>
  <c r="L487" i="1"/>
  <c r="K487" i="1"/>
  <c r="K451" i="1"/>
  <c r="L451" i="1"/>
  <c r="L427" i="1"/>
  <c r="K427" i="1"/>
  <c r="L379" i="1"/>
  <c r="K379" i="1"/>
  <c r="K355" i="1"/>
  <c r="L355" i="1"/>
  <c r="L331" i="1"/>
  <c r="K331" i="1"/>
  <c r="L307" i="1"/>
  <c r="K307" i="1"/>
  <c r="K283" i="1"/>
  <c r="L283" i="1"/>
  <c r="K271" i="1"/>
  <c r="L271" i="1"/>
  <c r="L247" i="1"/>
  <c r="K247" i="1"/>
  <c r="K223" i="1"/>
  <c r="L223" i="1"/>
  <c r="L211" i="1"/>
  <c r="K211" i="1"/>
  <c r="L187" i="1"/>
  <c r="K187" i="1"/>
  <c r="K175" i="1"/>
  <c r="L175" i="1"/>
  <c r="K151" i="1"/>
  <c r="L151" i="1"/>
  <c r="L139" i="1"/>
  <c r="K139" i="1"/>
  <c r="K127" i="1"/>
  <c r="L127" i="1"/>
  <c r="K103" i="1"/>
  <c r="L103" i="1"/>
  <c r="K79" i="1"/>
  <c r="L79" i="1"/>
  <c r="L55" i="1"/>
  <c r="K55" i="1"/>
  <c r="L31" i="1"/>
  <c r="K31" i="1"/>
  <c r="L19" i="1"/>
  <c r="K19" i="1"/>
  <c r="K2151" i="1"/>
  <c r="K2121" i="1"/>
  <c r="K2088" i="1"/>
  <c r="K2055" i="1"/>
  <c r="K1983" i="1"/>
  <c r="K1947" i="1"/>
  <c r="K1911" i="1"/>
  <c r="K1875" i="1"/>
  <c r="K1839" i="1"/>
  <c r="K1803" i="1"/>
  <c r="K1765" i="1"/>
  <c r="K1724" i="1"/>
  <c r="K1681" i="1"/>
  <c r="K1594" i="1"/>
  <c r="K1546" i="1"/>
  <c r="K1501" i="1"/>
  <c r="K1451" i="1"/>
  <c r="K1402" i="1"/>
  <c r="K1357" i="1"/>
  <c r="K1307" i="1"/>
  <c r="K1271" i="1"/>
  <c r="K1130" i="1"/>
  <c r="K1092" i="1"/>
  <c r="K973" i="1"/>
  <c r="K947" i="1"/>
  <c r="K743" i="1"/>
  <c r="K699" i="1"/>
  <c r="K550" i="1"/>
  <c r="K308" i="1"/>
  <c r="K157" i="1"/>
  <c r="K107" i="1"/>
  <c r="L1824" i="1"/>
  <c r="L1065" i="1"/>
  <c r="L358" i="1"/>
  <c r="K358" i="1"/>
  <c r="L334" i="1"/>
  <c r="K334" i="1"/>
  <c r="L322" i="1"/>
  <c r="K322" i="1"/>
  <c r="L262" i="1"/>
  <c r="K262" i="1"/>
  <c r="L238" i="1"/>
  <c r="K238" i="1"/>
  <c r="L226" i="1"/>
  <c r="K226" i="1"/>
  <c r="L214" i="1"/>
  <c r="K214" i="1"/>
  <c r="L202" i="1"/>
  <c r="K202" i="1"/>
  <c r="L190" i="1"/>
  <c r="K190" i="1"/>
  <c r="L178" i="1"/>
  <c r="K178" i="1"/>
  <c r="L166" i="1"/>
  <c r="K166" i="1"/>
  <c r="L142" i="1"/>
  <c r="K142" i="1"/>
  <c r="L130" i="1"/>
  <c r="K130" i="1"/>
  <c r="L118" i="1"/>
  <c r="K118" i="1"/>
  <c r="L106" i="1"/>
  <c r="K106" i="1"/>
  <c r="L94" i="1"/>
  <c r="K94" i="1"/>
  <c r="L82" i="1"/>
  <c r="K82" i="1"/>
  <c r="L70" i="1"/>
  <c r="K70" i="1"/>
  <c r="L58" i="1"/>
  <c r="K58" i="1"/>
  <c r="L46" i="1"/>
  <c r="K46" i="1"/>
  <c r="L34" i="1"/>
  <c r="K34" i="1"/>
  <c r="L22" i="1"/>
  <c r="K22" i="1"/>
  <c r="L10" i="1"/>
  <c r="K10" i="1"/>
  <c r="K250" i="1"/>
  <c r="K286" i="1"/>
  <c r="L310" i="1"/>
  <c r="K510" i="1"/>
  <c r="K474" i="1"/>
  <c r="K4" i="1"/>
  <c r="L2128" i="1"/>
  <c r="L2104" i="1"/>
  <c r="L1793" i="1"/>
  <c r="L66" i="1"/>
  <c r="L606" i="1"/>
  <c r="K606" i="1"/>
  <c r="L594" i="1"/>
  <c r="K594" i="1"/>
  <c r="L582" i="1"/>
  <c r="K582" i="1"/>
  <c r="L462" i="1"/>
  <c r="K462" i="1"/>
  <c r="L450" i="1"/>
  <c r="K450" i="1"/>
  <c r="L438" i="1"/>
  <c r="K438" i="1"/>
  <c r="L402" i="1"/>
  <c r="K402" i="1"/>
  <c r="L390" i="1"/>
  <c r="K390" i="1"/>
  <c r="L378" i="1"/>
  <c r="K378" i="1"/>
  <c r="L366" i="1"/>
  <c r="K366" i="1"/>
  <c r="K354" i="1"/>
  <c r="L354" i="1"/>
  <c r="K342" i="1"/>
  <c r="L342" i="1"/>
  <c r="L330" i="1"/>
  <c r="K330" i="1"/>
  <c r="K318" i="1"/>
  <c r="L318" i="1"/>
  <c r="L306" i="1"/>
  <c r="K306" i="1"/>
  <c r="L294" i="1"/>
  <c r="K294" i="1"/>
  <c r="K282" i="1"/>
  <c r="L282" i="1"/>
  <c r="L258" i="1"/>
  <c r="K258" i="1"/>
  <c r="L234" i="1"/>
  <c r="K234" i="1"/>
  <c r="K222" i="1"/>
  <c r="L222" i="1"/>
  <c r="L210" i="1"/>
  <c r="K210" i="1"/>
  <c r="L198" i="1"/>
  <c r="K198" i="1"/>
  <c r="L186" i="1"/>
  <c r="K186" i="1"/>
  <c r="L162" i="1"/>
  <c r="K162" i="1"/>
  <c r="K138" i="1"/>
  <c r="L138" i="1"/>
  <c r="L114" i="1"/>
  <c r="K114" i="1"/>
  <c r="L102" i="1"/>
  <c r="K102" i="1"/>
  <c r="L90" i="1"/>
  <c r="K90" i="1"/>
  <c r="K54" i="1"/>
  <c r="L54" i="1"/>
  <c r="L42" i="1"/>
  <c r="K42" i="1"/>
  <c r="L18" i="1"/>
  <c r="K18" i="1"/>
  <c r="L6" i="1"/>
  <c r="K6" i="1"/>
  <c r="K2166" i="1"/>
  <c r="K2154" i="1"/>
  <c r="K2142" i="1"/>
  <c r="K2118" i="1"/>
  <c r="K2106" i="1"/>
  <c r="K2058" i="1"/>
  <c r="K2034" i="1"/>
  <c r="K2010" i="1"/>
  <c r="K1998" i="1"/>
  <c r="K1986" i="1"/>
  <c r="K1962" i="1"/>
  <c r="K1950" i="1"/>
  <c r="K1938" i="1"/>
  <c r="K1914" i="1"/>
  <c r="K1890" i="1"/>
  <c r="K1866" i="1"/>
  <c r="K1854" i="1"/>
  <c r="K1842" i="1"/>
  <c r="K1818" i="1"/>
  <c r="K1806" i="1"/>
  <c r="K1782" i="1"/>
  <c r="K1770" i="1"/>
  <c r="K1746" i="1"/>
  <c r="K1734" i="1"/>
  <c r="K1722" i="1"/>
  <c r="K1698" i="1"/>
  <c r="K1686" i="1"/>
  <c r="K1674" i="1"/>
  <c r="K1662" i="1"/>
  <c r="K1650" i="1"/>
  <c r="K1638" i="1"/>
  <c r="K1626" i="1"/>
  <c r="K1614" i="1"/>
  <c r="K1590" i="1"/>
  <c r="K1578" i="1"/>
  <c r="K1566" i="1"/>
  <c r="K1554" i="1"/>
  <c r="K1542" i="1"/>
  <c r="K1518" i="1"/>
  <c r="K1506" i="1"/>
  <c r="K1494" i="1"/>
  <c r="K1482" i="1"/>
  <c r="K1470" i="1"/>
  <c r="K1422" i="1"/>
  <c r="K1398" i="1"/>
  <c r="K1386" i="1"/>
  <c r="K1374" i="1"/>
  <c r="K1362" i="1"/>
  <c r="K1350" i="1"/>
  <c r="K1338" i="1"/>
  <c r="K1301" i="1"/>
  <c r="K1288" i="1"/>
  <c r="K1216" i="1"/>
  <c r="K1168" i="1"/>
  <c r="K1120" i="1"/>
  <c r="K1072" i="1"/>
  <c r="K1024" i="1"/>
  <c r="K928" i="1"/>
  <c r="K832" i="1"/>
  <c r="K784" i="1"/>
  <c r="K736" i="1"/>
  <c r="K688" i="1"/>
  <c r="K640" i="1"/>
  <c r="K605" i="1"/>
  <c r="K484" i="1"/>
  <c r="K364" i="1"/>
  <c r="K257" i="1"/>
  <c r="K41" i="1"/>
  <c r="L1433" i="1"/>
  <c r="L1313" i="1"/>
  <c r="L209" i="1"/>
  <c r="L89" i="1"/>
  <c r="L29" i="1"/>
  <c r="L593" i="1"/>
  <c r="K593" i="1"/>
  <c r="L581" i="1"/>
  <c r="K581" i="1"/>
  <c r="L569" i="1"/>
  <c r="K569" i="1"/>
  <c r="L449" i="1"/>
  <c r="K449" i="1"/>
  <c r="L437" i="1"/>
  <c r="K437" i="1"/>
  <c r="L425" i="1"/>
  <c r="K425" i="1"/>
  <c r="L353" i="1"/>
  <c r="K353" i="1"/>
  <c r="L161" i="1"/>
  <c r="K161" i="1"/>
  <c r="L113" i="1"/>
  <c r="K113" i="1"/>
  <c r="L65" i="1"/>
  <c r="K65" i="1"/>
  <c r="L17" i="1"/>
  <c r="K17" i="1"/>
  <c r="L5" i="1"/>
  <c r="K5" i="1"/>
  <c r="K2165" i="1"/>
  <c r="K2153" i="1"/>
  <c r="K2141" i="1"/>
  <c r="K2129" i="1"/>
  <c r="K2117" i="1"/>
  <c r="K2093" i="1"/>
  <c r="K2069" i="1"/>
  <c r="K2033" i="1"/>
  <c r="K2021" i="1"/>
  <c r="K2009" i="1"/>
  <c r="K1997" i="1"/>
  <c r="K1985" i="1"/>
  <c r="K1961" i="1"/>
  <c r="K1937" i="1"/>
  <c r="K1925" i="1"/>
  <c r="K1913" i="1"/>
  <c r="K1889" i="1"/>
  <c r="K1877" i="1"/>
  <c r="K1865" i="1"/>
  <c r="K1841" i="1"/>
  <c r="K1829" i="1"/>
  <c r="K1817" i="1"/>
  <c r="K1805" i="1"/>
  <c r="K1781" i="1"/>
  <c r="K1769" i="1"/>
  <c r="K1757" i="1"/>
  <c r="K1745" i="1"/>
  <c r="K1733" i="1"/>
  <c r="K1709" i="1"/>
  <c r="K1697" i="1"/>
  <c r="K1685" i="1"/>
  <c r="K1649" i="1"/>
  <c r="K1637" i="1"/>
  <c r="K1625" i="1"/>
  <c r="K1613" i="1"/>
  <c r="K1589" i="1"/>
  <c r="K1565" i="1"/>
  <c r="K1553" i="1"/>
  <c r="K1541" i="1"/>
  <c r="K1517" i="1"/>
  <c r="K1505" i="1"/>
  <c r="K1481" i="1"/>
  <c r="K1469" i="1"/>
  <c r="K1457" i="1"/>
  <c r="K1445" i="1"/>
  <c r="K1421" i="1"/>
  <c r="K1409" i="1"/>
  <c r="K1385" i="1"/>
  <c r="K1373" i="1"/>
  <c r="K1361" i="1"/>
  <c r="K1349" i="1"/>
  <c r="K1337" i="1"/>
  <c r="K1325" i="1"/>
  <c r="K1300" i="1"/>
  <c r="K1182" i="1"/>
  <c r="K1134" i="1"/>
  <c r="K1086" i="1"/>
  <c r="K1038" i="1"/>
  <c r="K990" i="1"/>
  <c r="K942" i="1"/>
  <c r="K894" i="1"/>
  <c r="K846" i="1"/>
  <c r="K798" i="1"/>
  <c r="K750" i="1"/>
  <c r="K702" i="1"/>
  <c r="K654" i="1"/>
  <c r="K604" i="1"/>
  <c r="K256" i="1"/>
  <c r="K40" i="1"/>
  <c r="L150" i="1"/>
  <c r="L580" i="1"/>
  <c r="K580" i="1"/>
  <c r="L568" i="1"/>
  <c r="K568" i="1"/>
  <c r="L556" i="1"/>
  <c r="K556" i="1"/>
  <c r="L436" i="1"/>
  <c r="K436" i="1"/>
  <c r="L424" i="1"/>
  <c r="K424" i="1"/>
  <c r="L412" i="1"/>
  <c r="K412" i="1"/>
  <c r="L376" i="1"/>
  <c r="K376" i="1"/>
  <c r="L352" i="1"/>
  <c r="K352" i="1"/>
  <c r="L340" i="1"/>
  <c r="K340" i="1"/>
  <c r="L304" i="1"/>
  <c r="K304" i="1"/>
  <c r="L280" i="1"/>
  <c r="K280" i="1"/>
  <c r="L268" i="1"/>
  <c r="K268" i="1"/>
  <c r="L232" i="1"/>
  <c r="K232" i="1"/>
  <c r="L208" i="1"/>
  <c r="K208" i="1"/>
  <c r="L160" i="1"/>
  <c r="K160" i="1"/>
  <c r="L148" i="1"/>
  <c r="K148" i="1"/>
  <c r="L124" i="1"/>
  <c r="K124" i="1"/>
  <c r="L88" i="1"/>
  <c r="K88" i="1"/>
  <c r="L64" i="1"/>
  <c r="K64" i="1"/>
  <c r="L28" i="1"/>
  <c r="K28" i="1"/>
  <c r="L16" i="1"/>
  <c r="K16" i="1"/>
  <c r="K2164" i="1"/>
  <c r="K2140" i="1"/>
  <c r="K2092" i="1"/>
  <c r="K2068" i="1"/>
  <c r="K2032" i="1"/>
  <c r="K2020" i="1"/>
  <c r="K2008" i="1"/>
  <c r="K1984" i="1"/>
  <c r="K1972" i="1"/>
  <c r="K1960" i="1"/>
  <c r="K1948" i="1"/>
  <c r="K1936" i="1"/>
  <c r="K1924" i="1"/>
  <c r="K1912" i="1"/>
  <c r="K1900" i="1"/>
  <c r="K1888" i="1"/>
  <c r="K1876" i="1"/>
  <c r="K1864" i="1"/>
  <c r="K1852" i="1"/>
  <c r="K1840" i="1"/>
  <c r="K1828" i="1"/>
  <c r="K1816" i="1"/>
  <c r="K1804" i="1"/>
  <c r="K1792" i="1"/>
  <c r="K1780" i="1"/>
  <c r="K1768" i="1"/>
  <c r="K1756" i="1"/>
  <c r="K1744" i="1"/>
  <c r="K1732" i="1"/>
  <c r="K1720" i="1"/>
  <c r="K1708" i="1"/>
  <c r="K1696" i="1"/>
  <c r="K1684" i="1"/>
  <c r="K1672" i="1"/>
  <c r="K1660" i="1"/>
  <c r="K1648" i="1"/>
  <c r="K1636" i="1"/>
  <c r="K1624" i="1"/>
  <c r="K1612" i="1"/>
  <c r="K1600" i="1"/>
  <c r="K1588" i="1"/>
  <c r="K1576" i="1"/>
  <c r="K1564" i="1"/>
  <c r="K1552" i="1"/>
  <c r="K1540" i="1"/>
  <c r="K1528" i="1"/>
  <c r="K1516" i="1"/>
  <c r="K1504" i="1"/>
  <c r="K1492" i="1"/>
  <c r="K1480" i="1"/>
  <c r="K1468" i="1"/>
  <c r="K1456" i="1"/>
  <c r="K1444" i="1"/>
  <c r="K1432" i="1"/>
  <c r="K1420" i="1"/>
  <c r="K1408" i="1"/>
  <c r="K1396" i="1"/>
  <c r="K1384" i="1"/>
  <c r="K1372" i="1"/>
  <c r="K1360" i="1"/>
  <c r="K1348" i="1"/>
  <c r="K1336" i="1"/>
  <c r="K1324" i="1"/>
  <c r="K1312" i="1"/>
  <c r="K1181" i="1"/>
  <c r="K1133" i="1"/>
  <c r="K1085" i="1"/>
  <c r="K1037" i="1"/>
  <c r="K989" i="1"/>
  <c r="K941" i="1"/>
  <c r="K893" i="1"/>
  <c r="K845" i="1"/>
  <c r="K797" i="1"/>
  <c r="K749" i="1"/>
  <c r="K653" i="1"/>
  <c r="K570" i="1"/>
  <c r="K534" i="1"/>
  <c r="K498" i="1"/>
  <c r="K426" i="1"/>
  <c r="K341" i="1"/>
  <c r="K317" i="1"/>
  <c r="K185" i="1"/>
  <c r="L270" i="1"/>
  <c r="U5" i="1" l="1"/>
  <c r="U3" i="1"/>
  <c r="U4" i="1"/>
  <c r="U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8D5AE5-F9F3-4B07-88DA-8654BAE5D582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022B2561-6A4F-454B-8FB8-F39E5EA63E28}" name="Query - Table1_1" description="Connection to the 'Table1_1' query in the workbook." type="100" refreshedVersion="8" minRefreshableVersion="5">
    <extLst>
      <ext xmlns:x15="http://schemas.microsoft.com/office/spreadsheetml/2010/11/main" uri="{DE250136-89BD-433C-8126-D09CA5730AF9}">
        <x15:connection id="218e64f7-e553-479c-b82d-2255a225262e"/>
      </ext>
    </extLst>
  </connection>
  <connection id="3" xr16:uid="{D072F13D-7120-497C-8E26-F68109F7051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<sst xmlns="http://schemas.openxmlformats.org/spreadsheetml/2006/main" count="12965" uniqueCount="2262">
  <si>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</si>
  <si>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</si>
  <si>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</si>
  <si>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</si>
  <si>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</si>
  <si>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</si>
  <si>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</si>
  <si>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</si>
  <si>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</si>
  <si>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</si>
  <si>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</si>
  <si>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</si>
  <si>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</si>
  <si>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</si>
  <si>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FB000001</t>
  </si>
  <si>
    <t>Outerwear</t>
  </si>
  <si>
    <t>Zara</t>
  </si>
  <si>
    <t>Spring</t>
  </si>
  <si>
    <t>XL</t>
  </si>
  <si>
    <t>Red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</si>
  <si>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</si>
  <si>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</si>
  <si>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</si>
  <si>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</si>
  <si>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</si>
  <si>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</si>
  <si>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</si>
  <si>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</si>
  <si>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</si>
  <si>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</si>
  <si>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</si>
  <si>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</si>
  <si>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</si>
  <si>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</si>
  <si>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</si>
  <si>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</si>
  <si>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</si>
  <si>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</si>
  <si>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</si>
  <si>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</si>
  <si>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</si>
  <si>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</si>
  <si>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</si>
  <si>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</si>
  <si>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</si>
  <si>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</si>
  <si>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</si>
  <si>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</si>
  <si>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</si>
  <si>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</si>
  <si>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</si>
  <si>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</si>
  <si>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</si>
  <si>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</si>
  <si>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</si>
  <si>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</si>
  <si>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</si>
  <si>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</si>
  <si>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</si>
  <si>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</si>
  <si>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</si>
  <si>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</si>
  <si>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</si>
  <si>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</si>
  <si>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</si>
  <si>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</si>
  <si>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</si>
  <si>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</si>
  <si>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</si>
  <si>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</si>
  <si>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</si>
  <si>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</si>
  <si>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</si>
  <si>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</si>
  <si>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</si>
  <si>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</si>
  <si>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</si>
  <si>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</si>
  <si>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</si>
  <si>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</si>
  <si>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</si>
  <si>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</si>
  <si>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</si>
  <si>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</si>
  <si>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</si>
  <si>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</si>
  <si>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</si>
  <si>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</si>
  <si>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</si>
  <si>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</si>
  <si>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</si>
  <si>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</si>
  <si>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</si>
  <si>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</si>
  <si>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</si>
  <si>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</si>
  <si>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</si>
  <si>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</si>
  <si>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</si>
  <si>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</si>
  <si>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</si>
  <si>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</si>
  <si>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</si>
  <si>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</si>
  <si>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</si>
  <si>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</si>
  <si>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</si>
  <si>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</si>
  <si>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</si>
  <si>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</si>
  <si>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</si>
  <si>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</si>
  <si>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</si>
  <si>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</si>
  <si>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</si>
  <si>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</si>
  <si>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</si>
  <si>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</si>
  <si>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</si>
  <si>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</si>
  <si>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</si>
  <si>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</si>
  <si>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</si>
  <si>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</si>
  <si>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</si>
  <si>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</si>
  <si>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</si>
  <si>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</si>
  <si>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</si>
  <si>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</si>
  <si>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</si>
  <si>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</si>
  <si>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</si>
  <si>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</si>
  <si>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</si>
  <si>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</si>
  <si>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</si>
  <si>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</si>
  <si>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</si>
  <si>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</si>
  <si>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</si>
  <si>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</si>
  <si>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</si>
  <si>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</si>
  <si>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</si>
  <si>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</si>
  <si>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</si>
  <si>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</si>
  <si>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</si>
  <si>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</si>
  <si>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</si>
  <si>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</si>
  <si>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</si>
  <si>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</si>
  <si>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</si>
  <si>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</si>
  <si>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</si>
  <si>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</si>
  <si>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</si>
  <si>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</si>
  <si>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</si>
  <si>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</si>
  <si>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</si>
  <si>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</si>
  <si>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</si>
  <si>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</si>
  <si>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</si>
  <si>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</si>
  <si>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</si>
  <si>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</si>
  <si>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</si>
  <si>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</si>
  <si>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</si>
  <si>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</si>
  <si>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</si>
  <si>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</si>
  <si>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</si>
  <si>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</si>
  <si>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</si>
  <si>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</si>
  <si>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</si>
  <si>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</si>
  <si>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</si>
  <si>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</si>
  <si>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</si>
  <si>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</si>
  <si>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</si>
  <si>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</si>
  <si>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</si>
  <si>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</si>
  <si>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</si>
  <si>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</si>
  <si>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</si>
  <si>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</si>
  <si>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</si>
  <si>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</si>
  <si>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</si>
  <si>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</si>
  <si>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</si>
  <si>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</si>
  <si>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</si>
  <si>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</si>
  <si>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</si>
  <si>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</si>
  <si>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</si>
  <si>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</si>
  <si>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</si>
  <si>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</si>
  <si>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</si>
  <si>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</si>
  <si>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</si>
  <si>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</si>
  <si>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</si>
  <si>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</si>
  <si>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</si>
  <si>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</si>
  <si>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</si>
  <si>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</si>
  <si>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</si>
  <si>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</si>
  <si>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</si>
  <si>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</si>
  <si>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</si>
  <si>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</si>
  <si>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</si>
  <si>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</si>
  <si>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</si>
  <si>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</si>
  <si>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</si>
  <si>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</si>
  <si>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</si>
  <si>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</si>
  <si>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</si>
  <si>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</si>
  <si>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</si>
  <si>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</si>
  <si>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</si>
  <si>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</si>
  <si>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</si>
  <si>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</si>
  <si>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</si>
  <si>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</si>
  <si>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</si>
  <si>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</si>
  <si>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</si>
  <si>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</si>
  <si>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</si>
  <si>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</si>
  <si>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</si>
  <si>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</si>
  <si>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</si>
  <si>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</si>
  <si>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</si>
  <si>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</si>
  <si>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</si>
  <si>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</si>
  <si>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</si>
  <si>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</si>
  <si>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</si>
  <si>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</si>
  <si>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</si>
  <si>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</si>
  <si>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</si>
  <si>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</si>
  <si>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</si>
  <si>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</si>
  <si>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</si>
  <si>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</si>
  <si>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</si>
  <si>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</si>
  <si>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</si>
  <si>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</si>
  <si>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</si>
  <si>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</si>
  <si>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</si>
  <si>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</si>
  <si>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</si>
  <si>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</si>
  <si>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</si>
  <si>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</si>
  <si>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</si>
  <si>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</si>
  <si>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</si>
  <si>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</si>
  <si>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</si>
  <si>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</si>
  <si>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</si>
  <si>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</si>
  <si>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</si>
  <si>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</si>
  <si>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</si>
  <si>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</si>
  <si>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</si>
  <si>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</si>
  <si>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</si>
  <si>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</si>
  <si>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</si>
  <si>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</si>
  <si>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</si>
  <si>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</si>
  <si>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</si>
  <si>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</si>
  <si>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</si>
  <si>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</si>
  <si>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</si>
  <si>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</si>
  <si>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</si>
  <si>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</si>
  <si>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</si>
  <si>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</si>
  <si>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</si>
  <si>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</si>
  <si>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</si>
  <si>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</si>
  <si>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</si>
  <si>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</si>
  <si>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</si>
  <si>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</si>
  <si>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</si>
  <si>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</si>
  <si>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</si>
  <si>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</si>
  <si>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</si>
  <si>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</si>
  <si>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</si>
  <si>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</si>
  <si>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</si>
  <si>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</si>
  <si>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</si>
  <si>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</si>
  <si>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</si>
  <si>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</si>
  <si>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</si>
  <si>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</si>
  <si>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</si>
  <si>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</si>
  <si>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</si>
  <si>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</si>
  <si>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</si>
  <si>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</si>
  <si>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</si>
  <si>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</si>
  <si>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</si>
  <si>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</si>
  <si>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</si>
  <si>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</si>
  <si>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</si>
  <si>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</si>
  <si>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</si>
  <si>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</si>
  <si>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</si>
  <si>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</si>
  <si>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</si>
  <si>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</si>
  <si>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</si>
  <si>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</si>
  <si>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</si>
  <si>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</si>
  <si>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</si>
  <si>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</si>
  <si>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</si>
  <si>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</si>
  <si>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</si>
  <si>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</si>
  <si>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</si>
  <si>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</si>
  <si>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</si>
  <si>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</si>
  <si>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</si>
  <si>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</si>
  <si>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</si>
  <si>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</si>
  <si>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</si>
  <si>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</si>
  <si>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</si>
  <si>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</si>
  <si>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</si>
  <si>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</si>
  <si>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</si>
  <si>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</si>
  <si>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</si>
  <si>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</si>
  <si>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</si>
  <si>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</si>
  <si>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</si>
  <si>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</si>
  <si>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</si>
  <si>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</si>
  <si>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</si>
  <si>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</si>
  <si>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</si>
  <si>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</si>
  <si>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</si>
  <si>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</si>
  <si>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</si>
  <si>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</si>
  <si>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</si>
  <si>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</si>
  <si>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</si>
  <si>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</si>
  <si>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</si>
  <si>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</si>
  <si>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</si>
  <si>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</si>
  <si>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</si>
  <si>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</si>
  <si>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</si>
  <si>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</si>
  <si>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</si>
  <si>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</si>
  <si>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</si>
  <si>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</si>
  <si>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</si>
  <si>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</si>
  <si>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</si>
  <si>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</si>
  <si>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</si>
  <si>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</si>
  <si>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</si>
  <si>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</si>
  <si>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</si>
  <si>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</si>
  <si>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</si>
  <si>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</si>
  <si>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</si>
  <si>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</si>
  <si>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</si>
  <si>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</si>
  <si>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</si>
  <si>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</si>
  <si>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</si>
  <si>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</si>
  <si>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</si>
  <si>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</si>
  <si>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</si>
  <si>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</si>
  <si>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</si>
  <si>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</si>
  <si>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</si>
  <si>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</si>
  <si>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</si>
  <si>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</si>
  <si>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</si>
  <si>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</si>
  <si>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</si>
  <si>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</si>
  <si>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</si>
  <si>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</si>
  <si>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</si>
  <si>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</si>
  <si>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</si>
  <si>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</si>
  <si>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</si>
  <si>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</si>
  <si>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</si>
  <si>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</si>
  <si>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</si>
  <si>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</si>
  <si>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</si>
  <si>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</si>
  <si>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</si>
  <si>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</si>
  <si>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</si>
  <si>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</si>
  <si>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</si>
  <si>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</si>
  <si>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</si>
  <si>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</si>
  <si>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</si>
  <si>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</si>
  <si>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</si>
  <si>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</si>
  <si>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</si>
  <si>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</si>
  <si>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</si>
  <si>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</si>
  <si>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</si>
  <si>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</si>
  <si>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</si>
  <si>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</si>
  <si>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</si>
  <si>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</si>
  <si>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</si>
  <si>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</si>
  <si>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</si>
  <si>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</si>
  <si>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</si>
  <si>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</si>
  <si>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</si>
  <si>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</si>
  <si>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</si>
  <si>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</si>
  <si>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</si>
  <si>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</si>
  <si>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</si>
  <si>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</si>
  <si>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</si>
  <si>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</si>
  <si>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</si>
  <si>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</si>
  <si>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</si>
  <si>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</si>
  <si>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</si>
  <si>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</si>
  <si>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</si>
  <si>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</si>
  <si>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</si>
  <si>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</si>
  <si>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</si>
  <si>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</si>
  <si>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</si>
  <si>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</si>
  <si>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</si>
  <si>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</si>
  <si>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</si>
  <si>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</si>
  <si>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</si>
  <si>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</si>
  <si>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</si>
  <si>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</si>
  <si>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</si>
  <si>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</si>
  <si>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</si>
  <si>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</si>
  <si>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</si>
  <si>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</si>
  <si>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</si>
  <si>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</si>
  <si>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</si>
  <si>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</si>
  <si>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</si>
  <si>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</si>
  <si>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</si>
  <si>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</si>
  <si>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</si>
  <si>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</si>
  <si>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</si>
  <si>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</si>
  <si>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</si>
  <si>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</si>
  <si>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</si>
  <si>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</si>
  <si>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</si>
  <si>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</si>
  <si>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</si>
  <si>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</si>
  <si>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</si>
  <si>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</si>
  <si>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</si>
  <si>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</si>
  <si>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</si>
  <si>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</si>
  <si>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</si>
  <si>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</si>
  <si>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</si>
  <si>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</si>
  <si>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</si>
  <si>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</si>
  <si>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</si>
  <si>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</si>
  <si>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</si>
  <si>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</si>
  <si>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</si>
  <si>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</si>
  <si>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</si>
  <si>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</si>
  <si>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</si>
  <si>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</si>
  <si>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</si>
  <si>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</si>
  <si>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</si>
  <si>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</si>
  <si>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</si>
  <si>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</si>
  <si>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</si>
  <si>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</si>
  <si>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</si>
  <si>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</si>
  <si>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</si>
  <si>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</si>
  <si>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</si>
  <si>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</si>
  <si>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</si>
  <si>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</si>
  <si>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</si>
  <si>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</si>
  <si>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</si>
  <si>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</si>
  <si>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</si>
  <si>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</si>
  <si>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</si>
  <si>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</si>
  <si>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</si>
  <si>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</si>
  <si>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</si>
  <si>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</si>
  <si>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</si>
  <si>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</si>
  <si>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</si>
  <si>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</si>
  <si>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</si>
  <si>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</si>
  <si>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</si>
  <si>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</si>
  <si>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</si>
  <si>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</si>
  <si>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</si>
  <si>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</si>
  <si>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</si>
  <si>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</si>
  <si>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</si>
  <si>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</si>
  <si>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</si>
  <si>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</si>
  <si>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</si>
  <si>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</si>
  <si>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</si>
  <si>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</si>
  <si>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</si>
  <si>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</si>
  <si>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</si>
  <si>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</si>
  <si>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</si>
  <si>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</si>
  <si>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</si>
  <si>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</si>
  <si>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</si>
  <si>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</si>
  <si>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</si>
  <si>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</si>
  <si>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</si>
  <si>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</si>
  <si>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</si>
  <si>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</si>
  <si>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</si>
  <si>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</si>
  <si>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</si>
  <si>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</si>
  <si>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</si>
  <si>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</si>
  <si>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</si>
  <si>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</si>
  <si>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</si>
  <si>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</si>
  <si>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</si>
  <si>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</si>
  <si>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</si>
  <si>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</si>
  <si>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</si>
  <si>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</si>
  <si>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</si>
  <si>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</si>
  <si>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</si>
  <si>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</si>
  <si>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</si>
  <si>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</si>
  <si>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</si>
  <si>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</si>
  <si>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</si>
  <si>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</si>
  <si>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</si>
  <si>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</si>
  <si>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</si>
  <si>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</si>
  <si>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</si>
  <si>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</si>
  <si>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</si>
  <si>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</si>
  <si>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</si>
  <si>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</si>
  <si>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</si>
  <si>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</si>
  <si>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</si>
  <si>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</si>
  <si>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</si>
  <si>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</si>
  <si>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</si>
  <si>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</si>
  <si>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</si>
  <si>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</si>
  <si>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</si>
  <si>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</si>
  <si>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</si>
  <si>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</si>
  <si>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</si>
  <si>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</si>
  <si>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</si>
  <si>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</si>
  <si>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</si>
  <si>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</si>
  <si>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</si>
  <si>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</si>
  <si>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</si>
  <si>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</si>
  <si>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</si>
  <si>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</si>
  <si>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</si>
  <si>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</si>
  <si>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</si>
  <si>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</si>
  <si>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</si>
  <si>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</si>
  <si>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</si>
  <si>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</si>
  <si>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</si>
  <si>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</si>
  <si>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</si>
  <si>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</si>
  <si>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</si>
  <si>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</si>
  <si>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</si>
  <si>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</si>
  <si>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</si>
  <si>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</si>
  <si>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</si>
  <si>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</si>
  <si>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</si>
  <si>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</si>
  <si>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</si>
  <si>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</si>
  <si>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</si>
  <si>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</si>
  <si>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</si>
  <si>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</si>
  <si>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</si>
  <si>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</si>
  <si>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</si>
  <si>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</si>
  <si>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</si>
  <si>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</si>
  <si>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</si>
  <si>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</si>
  <si>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</si>
  <si>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</si>
  <si>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</si>
  <si>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</si>
  <si>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</si>
  <si>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</si>
  <si>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</si>
  <si>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</si>
  <si>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</si>
  <si>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</si>
  <si>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</si>
  <si>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</si>
  <si>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</si>
  <si>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</si>
  <si>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</si>
  <si>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</si>
  <si>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</si>
  <si>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</si>
  <si>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</si>
  <si>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</si>
  <si>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</si>
  <si>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</si>
  <si>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</si>
  <si>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</si>
  <si>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</si>
  <si>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</si>
  <si>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</si>
  <si>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</si>
  <si>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</si>
  <si>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</si>
  <si>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</si>
  <si>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</si>
  <si>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</si>
  <si>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</si>
  <si>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</si>
  <si>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</si>
  <si>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</si>
  <si>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</si>
  <si>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</si>
  <si>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</si>
  <si>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</si>
  <si>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</si>
  <si>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</si>
  <si>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</si>
  <si>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</si>
  <si>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</si>
  <si>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</si>
  <si>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</si>
  <si>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</si>
  <si>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</si>
  <si>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</si>
  <si>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</si>
  <si>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</si>
  <si>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</si>
  <si>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</si>
  <si>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</si>
  <si>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</si>
  <si>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</si>
  <si>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</si>
  <si>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</si>
  <si>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</si>
  <si>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</si>
  <si>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</si>
  <si>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</si>
  <si>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</si>
  <si>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</si>
  <si>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</si>
  <si>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</si>
  <si>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</si>
  <si>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</si>
  <si>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</si>
  <si>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</si>
  <si>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</si>
  <si>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</si>
  <si>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</si>
  <si>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</si>
  <si>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</si>
  <si>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</si>
  <si>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</si>
  <si>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</si>
  <si>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</si>
  <si>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</si>
  <si>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</si>
  <si>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</si>
  <si>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</si>
  <si>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</si>
  <si>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</si>
  <si>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</si>
  <si>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</si>
  <si>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</si>
  <si>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</si>
  <si>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</si>
  <si>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</si>
  <si>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</si>
  <si>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</si>
  <si>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</si>
  <si>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</si>
  <si>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</si>
  <si>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</si>
  <si>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</si>
  <si>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</si>
  <si>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</si>
  <si>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</si>
  <si>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</si>
  <si>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</si>
  <si>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</si>
  <si>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</si>
  <si>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</si>
  <si>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</si>
  <si>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</si>
  <si>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</si>
  <si>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</si>
  <si>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</si>
  <si>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</si>
  <si>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</si>
  <si>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</si>
  <si>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</si>
  <si>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</si>
  <si>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</si>
  <si>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</si>
  <si>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</si>
  <si>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</si>
  <si>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</si>
  <si>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</si>
  <si>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</si>
  <si>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</si>
  <si>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</si>
  <si>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</si>
  <si>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</si>
  <si>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</si>
  <si>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</si>
  <si>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</si>
  <si>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</si>
  <si>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</si>
  <si>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</si>
  <si>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</si>
  <si>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</si>
  <si>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</si>
  <si>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</si>
  <si>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</si>
  <si>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</si>
  <si>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</si>
  <si>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</si>
  <si>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</si>
  <si>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</si>
  <si>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</si>
  <si>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</si>
  <si>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</si>
  <si>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</si>
  <si>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</si>
  <si>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</si>
  <si>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</si>
  <si>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</si>
  <si>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</si>
  <si>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</si>
  <si>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</si>
  <si>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</si>
  <si>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</si>
  <si>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</si>
  <si>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</si>
  <si>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</si>
  <si>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</si>
  <si>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</si>
  <si>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</si>
  <si>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</si>
  <si>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</si>
  <si>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</si>
  <si>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</si>
  <si>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</si>
  <si>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</si>
  <si>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</si>
  <si>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</si>
  <si>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</si>
  <si>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</si>
  <si>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</si>
  <si>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</si>
  <si>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</si>
  <si>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</si>
  <si>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</si>
  <si>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</si>
  <si>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</si>
  <si>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</si>
  <si>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</si>
  <si>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</si>
  <si>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</si>
  <si>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</si>
  <si>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</si>
  <si>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</si>
  <si>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</si>
  <si>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</si>
  <si>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</si>
  <si>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</si>
  <si>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</si>
  <si>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</si>
  <si>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</si>
  <si>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</si>
  <si>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</si>
  <si>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</si>
  <si>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</si>
  <si>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</si>
  <si>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</si>
  <si>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</si>
  <si>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</si>
  <si>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</si>
  <si>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</si>
  <si>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</si>
  <si>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</si>
  <si>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</si>
  <si>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</si>
  <si>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</si>
  <si>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</si>
  <si>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</si>
  <si>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</si>
  <si>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</si>
  <si>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</si>
  <si>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</si>
  <si>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</si>
  <si>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</si>
  <si>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</si>
  <si>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</si>
  <si>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</si>
  <si>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</si>
  <si>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</si>
  <si>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</si>
  <si>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</si>
  <si>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</si>
  <si>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</si>
  <si>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</si>
  <si>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</si>
  <si>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</si>
  <si>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</si>
  <si>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</si>
  <si>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</si>
  <si>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</si>
  <si>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</si>
  <si>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</si>
  <si>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</si>
  <si>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</si>
  <si>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</si>
  <si>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</si>
  <si>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</si>
  <si>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</si>
  <si>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</si>
  <si>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</si>
  <si>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</si>
  <si>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</si>
  <si>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</si>
  <si>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</si>
  <si>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</si>
  <si>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</si>
  <si>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</si>
  <si>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</si>
  <si>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</si>
  <si>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</si>
  <si>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</si>
  <si>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</si>
  <si>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</si>
  <si>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</si>
  <si>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</si>
  <si>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</si>
  <si>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</si>
  <si>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</si>
  <si>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</si>
  <si>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</si>
  <si>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</si>
  <si>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</si>
  <si>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</si>
  <si>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</si>
  <si>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</si>
  <si>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</si>
  <si>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</si>
  <si>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</si>
  <si>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</si>
  <si>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</si>
  <si>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</si>
  <si>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</si>
  <si>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</si>
  <si>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</si>
  <si>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</si>
  <si>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</si>
  <si>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</si>
  <si>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</si>
  <si>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</si>
  <si>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</si>
  <si>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</si>
  <si>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</si>
  <si>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</si>
  <si>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</si>
  <si>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</si>
  <si>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</si>
  <si>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</si>
  <si>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</si>
  <si>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</si>
  <si>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</si>
  <si>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</si>
  <si>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</si>
  <si>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</si>
  <si>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</si>
  <si>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</si>
  <si>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</si>
  <si>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</si>
  <si>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</si>
  <si>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</si>
  <si>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</si>
  <si>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</si>
  <si>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</si>
  <si>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</si>
  <si>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</si>
  <si>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</si>
  <si>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</si>
  <si>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</si>
  <si>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</si>
  <si>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</si>
  <si>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</si>
  <si>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</si>
  <si>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</si>
  <si>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</si>
  <si>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</si>
  <si>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</si>
  <si>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</si>
  <si>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</si>
  <si>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</si>
  <si>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</si>
  <si>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</si>
  <si>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</si>
  <si>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</si>
  <si>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</si>
  <si>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</si>
  <si>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</si>
  <si>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</si>
  <si>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</si>
  <si>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</si>
  <si>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</si>
  <si>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</si>
  <si>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</si>
  <si>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</si>
  <si>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</si>
  <si>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</si>
  <si>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</si>
  <si>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</si>
  <si>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</si>
  <si>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</si>
  <si>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</si>
  <si>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</si>
  <si>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</si>
  <si>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</si>
  <si>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</si>
  <si>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</si>
  <si>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</si>
  <si>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</si>
  <si>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</si>
  <si>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</si>
  <si>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</si>
  <si>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</si>
  <si>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</si>
  <si>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</si>
  <si>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</si>
  <si>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</si>
  <si>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</si>
  <si>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</si>
  <si>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</si>
  <si>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</si>
  <si>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</si>
  <si>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</si>
  <si>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</si>
  <si>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</si>
  <si>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</si>
  <si>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</si>
  <si>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</si>
  <si>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</si>
  <si>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</si>
  <si>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</si>
  <si>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</si>
  <si>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</si>
  <si>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</si>
  <si>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</si>
  <si>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</si>
  <si>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</si>
  <si>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</si>
  <si>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</si>
  <si>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</si>
  <si>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</si>
  <si>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</si>
  <si>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</si>
  <si>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</si>
  <si>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</si>
  <si>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</si>
  <si>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</si>
  <si>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</si>
  <si>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</si>
  <si>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</si>
  <si>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</si>
  <si>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</si>
  <si>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</si>
  <si>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</si>
  <si>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</si>
  <si>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</si>
  <si>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</si>
  <si>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</si>
  <si>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</si>
  <si>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</si>
  <si>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</si>
  <si>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</si>
  <si>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</si>
  <si>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</si>
  <si>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</si>
  <si>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</si>
  <si>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</si>
  <si>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</si>
  <si>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</si>
  <si>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</si>
  <si>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</si>
  <si>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</si>
  <si>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</si>
  <si>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</si>
  <si>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</si>
  <si>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</si>
  <si>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</si>
  <si>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</si>
  <si>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</si>
  <si>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</si>
  <si>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</si>
  <si>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</si>
  <si>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</si>
  <si>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</si>
  <si>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</si>
  <si>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</si>
  <si>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</si>
  <si>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</si>
  <si>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</si>
  <si>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</si>
  <si>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</si>
  <si>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</si>
  <si>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</si>
  <si>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</si>
  <si>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</si>
  <si>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</si>
  <si>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</si>
  <si>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</si>
  <si>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</si>
  <si>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</si>
  <si>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</si>
  <si>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</si>
  <si>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</si>
  <si>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</si>
  <si>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</si>
  <si>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</si>
  <si>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</si>
  <si>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</si>
  <si>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</si>
  <si>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</si>
  <si>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</si>
  <si>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</si>
  <si>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</si>
  <si>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</si>
  <si>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</si>
  <si>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</si>
  <si>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</si>
  <si>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</si>
  <si>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</si>
  <si>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</si>
  <si>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</si>
  <si>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</si>
  <si>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</si>
  <si>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</si>
  <si>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</si>
  <si>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</si>
  <si>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</si>
  <si>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</si>
  <si>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</si>
  <si>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</si>
  <si>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</si>
  <si>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</si>
  <si>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</si>
  <si>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</si>
  <si>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</si>
  <si>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</si>
  <si>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</si>
  <si>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</si>
  <si>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</si>
  <si>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</si>
  <si>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</si>
  <si>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</si>
  <si>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</si>
  <si>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</si>
  <si>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</si>
  <si>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</si>
  <si>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</si>
  <si>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</si>
  <si>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</si>
  <si>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</si>
  <si>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</si>
  <si>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</si>
  <si>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</si>
  <si>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</si>
  <si>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</si>
  <si>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</si>
  <si>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</si>
  <si>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</si>
  <si>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</si>
  <si>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</si>
  <si>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</si>
  <si>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</si>
  <si>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</si>
  <si>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</si>
  <si>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</si>
  <si>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</si>
  <si>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</si>
  <si>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</si>
  <si>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</si>
  <si>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</si>
  <si>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</si>
  <si>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</si>
  <si>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</si>
  <si>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</si>
  <si>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</si>
  <si>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</si>
  <si>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</si>
  <si>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</si>
  <si>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</si>
  <si>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</si>
  <si>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</si>
  <si>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</si>
  <si>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</si>
  <si>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</si>
  <si>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</si>
  <si>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</si>
  <si>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</si>
  <si>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</si>
  <si>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</si>
  <si>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</si>
  <si>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</si>
  <si>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</si>
  <si>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</si>
  <si>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</si>
  <si>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</si>
  <si>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</si>
  <si>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</si>
  <si>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</si>
  <si>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</si>
  <si>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</si>
  <si>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</si>
  <si>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</si>
  <si>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</si>
  <si>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</si>
  <si>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</si>
  <si>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</si>
  <si>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</si>
  <si>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</si>
  <si>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</si>
  <si>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</si>
  <si>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</si>
  <si>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</si>
  <si>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</si>
  <si>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</si>
  <si>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</si>
  <si>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</si>
  <si>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</si>
  <si>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</si>
  <si>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</si>
  <si>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</si>
  <si>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</si>
  <si>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</si>
  <si>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</si>
  <si>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</si>
  <si>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</si>
  <si>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</si>
  <si>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</si>
  <si>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</si>
  <si>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</si>
  <si>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</si>
  <si>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</si>
  <si>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</si>
  <si>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</si>
  <si>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</si>
  <si>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</si>
  <si>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</si>
  <si>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</si>
  <si>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</si>
  <si>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</si>
  <si>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</si>
  <si>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</si>
  <si>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</si>
  <si>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</si>
  <si>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</si>
  <si>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</si>
  <si>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</si>
  <si>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</si>
  <si>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</si>
  <si>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</si>
  <si>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</si>
  <si>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</si>
  <si>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</si>
  <si>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</si>
  <si>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</si>
  <si>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</si>
  <si>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</si>
  <si>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</si>
  <si>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</si>
  <si>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</si>
  <si>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</si>
  <si>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</si>
  <si>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</si>
  <si>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</si>
  <si>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</si>
  <si>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</si>
  <si>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</si>
  <si>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</si>
  <si>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</si>
  <si>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</si>
  <si>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</si>
  <si>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</si>
  <si>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</si>
  <si>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</si>
  <si>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</si>
  <si>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</si>
  <si>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</si>
  <si>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</si>
  <si>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</si>
  <si>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</si>
  <si>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</si>
  <si>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</si>
  <si>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</si>
  <si>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</si>
  <si>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</si>
  <si>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</si>
  <si>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</si>
  <si>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</si>
  <si>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</si>
  <si>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</si>
  <si>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</si>
  <si>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</si>
  <si>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</si>
  <si>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</si>
  <si>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</si>
  <si>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</si>
  <si>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</si>
  <si>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</si>
  <si>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</si>
  <si>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</si>
  <si>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</si>
  <si>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</si>
  <si>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</si>
  <si>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</si>
  <si>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</si>
  <si>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</si>
  <si>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</si>
  <si>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</si>
  <si>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</si>
  <si>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</si>
  <si>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</si>
  <si>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</si>
  <si>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</si>
  <si>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</si>
  <si>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</si>
  <si>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</si>
  <si>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</si>
  <si>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</si>
  <si>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</si>
  <si>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</si>
  <si>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</si>
  <si>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</si>
  <si>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</si>
  <si>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</si>
  <si>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</si>
  <si>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</si>
  <si>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</si>
  <si>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</si>
  <si>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</si>
  <si>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</si>
  <si>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</si>
  <si>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</si>
  <si>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</si>
  <si>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</si>
  <si>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</si>
  <si>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</si>
  <si>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</si>
  <si>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</si>
  <si>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</si>
  <si>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</si>
  <si>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</si>
  <si>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</si>
  <si>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</si>
  <si>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</si>
  <si>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</si>
  <si>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</si>
  <si>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</si>
  <si>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</si>
  <si>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</si>
  <si>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</si>
  <si>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</si>
  <si>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</si>
  <si>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</si>
  <si>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</si>
  <si>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</si>
  <si>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</si>
  <si>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</si>
  <si>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</si>
  <si>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</si>
  <si>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</si>
  <si>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</si>
  <si>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</si>
  <si>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</si>
  <si>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</si>
  <si>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</si>
  <si>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</si>
  <si>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</si>
  <si>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</si>
  <si>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</si>
  <si>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</si>
  <si>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</si>
  <si>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</si>
  <si>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</si>
  <si>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</si>
  <si>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</si>
  <si>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</si>
  <si>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</si>
  <si>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</si>
  <si>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</si>
  <si>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</si>
  <si>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</si>
  <si>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</si>
  <si>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</si>
  <si>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</si>
  <si>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</si>
  <si>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</si>
  <si>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</si>
  <si>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</si>
  <si>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</si>
  <si>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</si>
  <si>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</si>
  <si>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</si>
  <si>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</si>
  <si>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</si>
  <si>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</si>
  <si>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</si>
  <si>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</si>
  <si>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</si>
  <si>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</si>
  <si>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</si>
  <si>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</si>
  <si>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</si>
  <si>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</si>
  <si>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</si>
  <si>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</si>
  <si>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</si>
  <si>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</si>
  <si>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</si>
  <si>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</si>
  <si>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</si>
  <si>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</si>
  <si>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</si>
  <si>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</si>
  <si>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</si>
  <si>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</si>
  <si>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</si>
  <si>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</si>
  <si>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</si>
  <si>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</si>
  <si>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</si>
  <si>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</si>
  <si>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</si>
  <si>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</si>
  <si>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</si>
  <si>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</si>
  <si>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</si>
  <si>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</si>
  <si>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</si>
  <si>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</si>
  <si>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</si>
  <si>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</si>
  <si>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</si>
  <si>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</si>
  <si>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</si>
  <si>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</si>
  <si>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</si>
  <si>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</si>
  <si>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</si>
  <si>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</si>
  <si>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</si>
  <si>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</si>
  <si>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</si>
  <si>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</si>
  <si>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</si>
  <si>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</si>
  <si>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</si>
  <si>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</si>
  <si>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</si>
  <si>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</si>
  <si>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</si>
  <si>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</si>
  <si>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</si>
  <si>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</si>
  <si>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</si>
  <si>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</si>
  <si>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</si>
  <si>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</si>
  <si>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</si>
  <si>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</si>
  <si>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</si>
  <si>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</si>
  <si>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</si>
  <si>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</si>
  <si>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</si>
  <si>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</si>
  <si>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</si>
  <si>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</si>
  <si>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</si>
  <si>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</si>
  <si>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</si>
  <si>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</si>
  <si>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</si>
  <si>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</si>
  <si>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</si>
  <si>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</si>
  <si>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</si>
  <si>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</si>
  <si>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</si>
  <si>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</si>
  <si>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</si>
  <si>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</si>
  <si>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</si>
  <si>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</si>
  <si>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</si>
  <si>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</si>
  <si>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</si>
  <si>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</si>
  <si>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</si>
  <si>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</si>
  <si>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</si>
  <si>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</si>
  <si>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</si>
  <si>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</si>
  <si>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</si>
  <si>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</si>
  <si>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</si>
  <si>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</si>
  <si>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</si>
  <si>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</si>
  <si>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</si>
  <si>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</si>
  <si>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</si>
  <si>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</si>
  <si>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</si>
  <si>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</si>
  <si>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</si>
  <si>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</si>
  <si>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</si>
  <si>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</si>
  <si>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</si>
  <si>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</si>
  <si>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</si>
  <si>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</si>
  <si>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</si>
  <si>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</si>
  <si>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</si>
  <si>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</si>
  <si>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</si>
  <si>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</si>
  <si>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</si>
  <si>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</si>
  <si>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</si>
  <si>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</si>
  <si>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</si>
  <si>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</si>
  <si>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</si>
  <si>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</si>
  <si>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</si>
  <si>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</si>
  <si>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</si>
  <si>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</si>
  <si>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</si>
  <si>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</si>
  <si>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</si>
  <si>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</si>
  <si>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</si>
  <si>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</si>
  <si>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</si>
  <si>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</si>
  <si>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</si>
  <si>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</si>
  <si>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</si>
  <si>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</si>
  <si>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</si>
  <si>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</si>
  <si>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</si>
  <si>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</si>
  <si>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</si>
  <si>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</si>
  <si>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</si>
  <si>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</si>
  <si>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</si>
  <si>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</si>
  <si>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</si>
  <si>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</si>
  <si>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</si>
  <si>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</si>
  <si>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</si>
  <si>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</si>
  <si>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</si>
  <si>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</si>
  <si>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</si>
  <si>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</si>
  <si>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</si>
  <si>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</si>
  <si>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</si>
  <si>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</si>
  <si>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</si>
  <si>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</si>
  <si>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</si>
  <si>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</si>
  <si>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</si>
  <si>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</si>
  <si>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</si>
  <si>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</si>
  <si>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</si>
  <si>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</si>
  <si>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</si>
  <si>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</si>
  <si>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</si>
  <si>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</si>
  <si>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</si>
  <si>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</si>
  <si>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</si>
  <si>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</si>
  <si>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</si>
  <si>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</si>
  <si>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</si>
  <si>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</si>
  <si>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</si>
  <si>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</si>
  <si>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</si>
  <si>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</si>
  <si>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</si>
  <si>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</si>
  <si>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</si>
  <si>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</si>
  <si>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</si>
  <si>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</si>
  <si>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</si>
  <si>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</si>
  <si>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</si>
  <si>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</si>
  <si>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</si>
  <si>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</si>
  <si>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</si>
  <si>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</si>
  <si>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</si>
  <si>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</si>
  <si>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</si>
  <si>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</si>
  <si>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</si>
  <si>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</si>
  <si>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</si>
  <si>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</si>
  <si>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</si>
  <si>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</si>
  <si>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</si>
  <si>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</si>
  <si>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</si>
  <si>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</si>
  <si>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</si>
  <si>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</si>
  <si>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</si>
  <si>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</si>
  <si>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</si>
  <si>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</si>
  <si>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</si>
  <si>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</si>
  <si>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</si>
  <si>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</si>
  <si>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</si>
  <si>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</si>
  <si>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</si>
  <si>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</si>
  <si>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</si>
  <si>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</si>
  <si>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</si>
  <si>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</si>
  <si>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</si>
  <si>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</si>
  <si>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</si>
  <si>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</si>
  <si>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</si>
  <si>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</si>
  <si>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</si>
  <si>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</si>
  <si>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</si>
  <si>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</si>
  <si>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</si>
  <si>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</si>
  <si>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</si>
  <si>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</si>
  <si>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</si>
  <si>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</si>
  <si>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</si>
  <si>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</si>
  <si>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</si>
  <si>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</si>
  <si>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</si>
  <si>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</si>
  <si>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</si>
  <si>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</si>
  <si>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</si>
  <si>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</si>
  <si>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</si>
  <si>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</si>
  <si>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</si>
  <si>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</si>
  <si>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</si>
  <si>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</si>
  <si>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</si>
  <si>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</si>
  <si>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</si>
  <si>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</si>
  <si>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</si>
  <si>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</si>
  <si>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</si>
  <si>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</si>
  <si>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</si>
  <si>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</si>
  <si>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</si>
  <si>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</si>
  <si>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</si>
  <si>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</si>
  <si>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</si>
  <si>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</si>
  <si>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</si>
  <si>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</si>
  <si>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</si>
  <si>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</si>
  <si>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</si>
  <si>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</si>
  <si>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</si>
  <si>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</si>
  <si>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</si>
  <si>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</si>
  <si>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</si>
  <si>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</si>
  <si>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</si>
  <si>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</si>
  <si>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</si>
  <si>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</si>
  <si>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</si>
  <si>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</si>
  <si>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</si>
  <si>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</si>
  <si>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</si>
  <si>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</si>
  <si>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</si>
  <si>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</si>
  <si>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</si>
  <si>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</si>
  <si>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</si>
  <si>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</si>
  <si>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</si>
  <si>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</si>
  <si>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</si>
  <si>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</si>
  <si>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</si>
  <si>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</si>
  <si>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</si>
  <si>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</si>
  <si>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</si>
  <si>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</si>
  <si>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</si>
  <si>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</si>
  <si>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</si>
  <si>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</si>
  <si>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</si>
  <si>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</si>
  <si>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</si>
  <si>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</si>
  <si>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</si>
  <si>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</si>
  <si>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</si>
  <si>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</si>
  <si>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</si>
  <si>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</si>
  <si>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</si>
  <si>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</si>
  <si>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</si>
  <si>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</si>
  <si>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</si>
  <si>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</si>
  <si>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</si>
  <si>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</si>
  <si>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</si>
  <si>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</si>
  <si>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</si>
  <si>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</si>
  <si>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</si>
  <si>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</si>
  <si>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</si>
  <si>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</si>
  <si>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</si>
  <si>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</si>
  <si>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</si>
  <si>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</si>
  <si>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</si>
  <si>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</si>
  <si>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</si>
  <si>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</si>
  <si>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</si>
  <si>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</si>
  <si>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</si>
  <si>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</si>
  <si>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</si>
  <si>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</si>
  <si>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</si>
  <si>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</si>
  <si>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</si>
  <si>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</si>
  <si>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</si>
  <si>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</si>
  <si>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</si>
  <si>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</si>
  <si>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</si>
  <si>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</si>
  <si>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</si>
  <si>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</si>
  <si>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</si>
  <si>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</si>
  <si>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</si>
  <si>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</si>
  <si>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</si>
  <si>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</si>
  <si>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</si>
  <si>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</si>
  <si>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</si>
  <si>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</si>
  <si>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</si>
  <si>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</si>
  <si>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</si>
  <si>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</si>
  <si>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</si>
  <si>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</si>
  <si>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</si>
  <si>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</si>
  <si>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</si>
  <si>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</si>
  <si>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</si>
  <si>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</si>
  <si>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</si>
  <si>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</si>
  <si>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</si>
  <si>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</si>
  <si>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</si>
  <si>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</si>
  <si>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</si>
  <si>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</si>
  <si>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</si>
  <si>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</si>
  <si>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</si>
  <si>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</si>
  <si>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</si>
  <si>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</si>
  <si>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</si>
  <si>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</si>
  <si>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</si>
  <si>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</si>
  <si>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</si>
  <si>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</si>
  <si>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</si>
  <si>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</si>
  <si>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</si>
  <si>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</si>
  <si>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</si>
  <si>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</si>
  <si>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</si>
  <si>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</si>
  <si>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</si>
  <si>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</si>
  <si>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</si>
  <si>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</si>
  <si>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</si>
  <si>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</si>
  <si>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</si>
  <si>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</si>
  <si>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</si>
  <si>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</si>
  <si>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</si>
  <si>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</si>
  <si>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</si>
  <si>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</si>
  <si>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</si>
  <si>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</si>
  <si>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</si>
  <si>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</si>
  <si>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</si>
  <si>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</si>
  <si>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</si>
  <si>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</si>
  <si>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</si>
  <si>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</si>
  <si>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</si>
  <si>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</si>
  <si>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</si>
  <si>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</si>
  <si>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</si>
  <si>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</si>
  <si>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</si>
  <si>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</si>
  <si>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</si>
  <si>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</si>
  <si>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</si>
  <si>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</si>
  <si>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</si>
  <si>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</si>
  <si>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</si>
  <si>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</si>
  <si>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</si>
  <si>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</si>
  <si>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</si>
  <si>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</si>
  <si>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</si>
  <si>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</si>
  <si>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</si>
  <si>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</si>
  <si>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</si>
  <si>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</si>
  <si>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</si>
  <si>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</si>
  <si>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</si>
  <si>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</si>
  <si>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</si>
  <si>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</si>
  <si>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</si>
  <si>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</si>
  <si>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</si>
  <si>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</si>
  <si>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</si>
  <si>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</si>
  <si>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</si>
  <si>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</si>
  <si>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</si>
  <si>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</si>
  <si>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</si>
  <si>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</si>
  <si>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</si>
  <si>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</si>
  <si>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</si>
  <si>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</si>
  <si>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</si>
  <si>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</si>
  <si>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</si>
  <si>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</si>
  <si>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</si>
  <si>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</si>
  <si>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</si>
  <si>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</si>
  <si>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</si>
  <si>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</si>
  <si>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</si>
  <si>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</si>
  <si>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</si>
  <si>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</si>
  <si>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</si>
  <si>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</si>
  <si>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</si>
  <si>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</si>
  <si>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</si>
  <si>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</si>
  <si>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</si>
  <si>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</si>
  <si>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</si>
  <si>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</si>
  <si>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</si>
  <si>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</si>
  <si>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</si>
  <si>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</si>
  <si>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</si>
  <si>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</si>
  <si>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</si>
  <si>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</si>
  <si>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</si>
  <si>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</si>
  <si>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</si>
  <si>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</si>
  <si>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</si>
  <si>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</si>
  <si>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</si>
  <si>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</si>
  <si>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</si>
  <si>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</si>
  <si>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</si>
  <si>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</si>
  <si>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</si>
  <si>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</si>
  <si>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</si>
  <si>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</si>
  <si>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</si>
  <si>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</si>
  <si>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</si>
  <si>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</si>
  <si>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</si>
  <si>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</si>
  <si>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</si>
  <si>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</si>
  <si>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</si>
  <si>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</si>
  <si>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</si>
  <si>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</si>
  <si>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</si>
  <si>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</si>
  <si>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</si>
  <si>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</si>
  <si>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</si>
  <si>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</si>
  <si>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</si>
  <si>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</si>
  <si>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</si>
  <si>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</si>
  <si>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</si>
  <si>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</si>
  <si>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</si>
  <si>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</si>
  <si>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</si>
  <si>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</si>
  <si>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</si>
  <si>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</si>
  <si>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</si>
  <si>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</si>
  <si>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</si>
  <si>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</si>
  <si>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</si>
  <si>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</si>
  <si>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</si>
  <si>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</si>
  <si>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</si>
  <si>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</si>
  <si>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</si>
  <si>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</si>
  <si>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</si>
  <si>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</si>
  <si>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</si>
  <si>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</si>
  <si>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</si>
  <si>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</si>
  <si>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</si>
  <si>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</si>
  <si>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</si>
  <si>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</si>
  <si>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</si>
  <si>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</si>
  <si>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</si>
  <si>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</si>
  <si>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</si>
  <si>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</si>
  <si>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</si>
  <si>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</si>
  <si>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</si>
  <si>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</si>
  <si>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</si>
  <si>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</si>
  <si>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</si>
  <si>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</si>
  <si>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</si>
  <si>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</si>
  <si>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</si>
  <si>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</si>
  <si>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</si>
  <si>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</si>
  <si>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</si>
  <si>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</si>
  <si>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</si>
  <si>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</si>
  <si>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</si>
  <si>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</si>
  <si>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</si>
  <si>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</si>
  <si>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</si>
  <si>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</si>
  <si>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</si>
  <si>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</si>
  <si>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</si>
  <si>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</si>
  <si>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</si>
  <si>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</si>
  <si>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</si>
  <si>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</si>
  <si>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</si>
  <si>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</si>
  <si>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</si>
  <si>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</si>
  <si>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</si>
  <si>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</si>
  <si>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</si>
  <si>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</si>
  <si>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</si>
  <si>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</si>
  <si>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</si>
  <si>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</si>
  <si>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</si>
  <si>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</si>
  <si>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</si>
  <si>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</si>
  <si>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</si>
  <si>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</si>
  <si>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</si>
  <si>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</si>
  <si>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</si>
  <si>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</si>
  <si>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</si>
  <si>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</si>
  <si>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</si>
  <si>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</si>
  <si>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</si>
  <si>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</si>
  <si>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</si>
  <si>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</si>
  <si>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</si>
  <si>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</si>
  <si>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</si>
  <si>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</si>
  <si>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</si>
  <si>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</si>
  <si>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</si>
  <si>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</si>
  <si>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</si>
  <si>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</si>
  <si>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</si>
  <si>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</si>
  <si>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</si>
  <si>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</si>
  <si>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</si>
  <si>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</si>
  <si>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</si>
  <si>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</si>
  <si>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</si>
  <si>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</si>
  <si>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</si>
  <si>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</si>
  <si>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</si>
  <si>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</si>
  <si>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</si>
  <si>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</si>
  <si>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</si>
  <si>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</si>
  <si>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</si>
  <si>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</si>
  <si>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</si>
  <si>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</si>
  <si>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</si>
  <si>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</si>
  <si>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</si>
  <si>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</si>
  <si>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</si>
  <si>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</si>
  <si>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</si>
  <si>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</si>
  <si>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</si>
  <si>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</si>
  <si>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</si>
  <si>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</si>
  <si>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</si>
  <si>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</si>
  <si>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</si>
  <si>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</si>
  <si>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</si>
  <si>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</si>
  <si>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</si>
  <si>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</si>
  <si>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</si>
  <si>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</si>
  <si>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</si>
  <si>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</si>
  <si>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</si>
  <si>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</si>
  <si>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</si>
  <si>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</si>
  <si>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</si>
  <si>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</si>
  <si>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</si>
  <si>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</si>
  <si>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</si>
  <si>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</si>
  <si>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</si>
  <si>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</si>
  <si>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</si>
  <si>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</si>
  <si>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</si>
  <si>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</si>
  <si>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</si>
  <si>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</si>
  <si>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</si>
  <si>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</si>
  <si>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</si>
  <si>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</si>
  <si>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</si>
  <si>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</si>
  <si>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</si>
  <si>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</si>
  <si>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</si>
  <si>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</si>
  <si>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</si>
  <si>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</si>
  <si>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</si>
  <si>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</si>
  <si>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size updated</t>
  </si>
  <si>
    <t>Customer_rating_updated</t>
  </si>
  <si>
    <t>1) Updated blank size - with one size</t>
  </si>
  <si>
    <t>Action</t>
  </si>
  <si>
    <t>Formula used</t>
  </si>
  <si>
    <t>IF(ISBLANK(F4),"OS",F4)</t>
  </si>
  <si>
    <t xml:space="preserve">2) Updated customer rating </t>
  </si>
  <si>
    <t>IF(ISBLANK(N11), 0, N10)</t>
  </si>
  <si>
    <t>Markdown percentage updated</t>
  </si>
  <si>
    <t>3)updated markdown to percentage</t>
  </si>
  <si>
    <t>by deviding by 100 and then converting to percentage</t>
  </si>
  <si>
    <t>4) Price changed to $ currency</t>
  </si>
  <si>
    <t>Covert to table format</t>
  </si>
  <si>
    <t>Return Status</t>
  </si>
  <si>
    <t>Markdown profit risk</t>
  </si>
  <si>
    <t>Discount Amount</t>
  </si>
  <si>
    <t xml:space="preserve">Profit / loss </t>
  </si>
  <si>
    <t>Stock status</t>
  </si>
  <si>
    <t xml:space="preserve">Added calculated colums </t>
  </si>
  <si>
    <t>Profit  amount</t>
  </si>
  <si>
    <t>Profit Status</t>
  </si>
  <si>
    <t>Stock Status</t>
  </si>
  <si>
    <t>Maekdown risk</t>
  </si>
  <si>
    <t>Row Labels</t>
  </si>
  <si>
    <t>Grand Total</t>
  </si>
  <si>
    <t>Sum of current_price</t>
  </si>
  <si>
    <t>Sales  by  Category</t>
  </si>
  <si>
    <t>Column Labels</t>
  </si>
  <si>
    <t>sales by brand</t>
  </si>
  <si>
    <t>Count of Return Status</t>
  </si>
  <si>
    <t>Return Status - reasons &amp;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</si>
</sst>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;\-&quot;$&quot;#,##0.00"/>
    <numFmt numFmtId="44" formatCode="_-&quot;$&quot;* #,##0.00_-;\-&quot;$&quot;* #,##0.00_-;_-&quot;$&quot;* &quot;-&quot;??_-;_-@_-"/>
    <numFmt numFmtId="164" formatCode="0.0"/>
    <numFmt numFmtId="165" formatCode="0.0000"/>
    <numFmt numFmtId="166" formatCode="&quot;$&quot;#,##0.00"/>
    <numFmt numFmtId="167" formatCode="yyyy/mm/dd;@"/>
    <numFmt numFmtId="168" formatCode="[$$-409]#,##0.00_ ;\-[$$-409]#,##0.00\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0" fillId="33" borderId="0" xfId="0" applyFill="1"/>
    <xf numFmtId="10" fontId="0" fillId="0" borderId="0" xfId="2" applyNumberFormat="1" applyFont="1"/>
    <xf numFmtId="2" fontId="0" fillId="0" borderId="0" xfId="2" applyNumberFormat="1" applyFont="1"/>
    <xf numFmtId="165" fontId="0" fillId="0" borderId="0" xfId="2" applyNumberFormat="1" applyFont="1"/>
    <xf numFmtId="166" fontId="0" fillId="0" borderId="0" xfId="0" applyNumberFormat="1"/>
    <xf numFmtId="167" fontId="0" fillId="0" borderId="0" xfId="0" applyNumberFormat="1"/>
    <xf numFmtId="7" fontId="0" fillId="0" borderId="0" xfId="1" applyNumberFormat="1" applyFont="1"/>
    <xf numFmtId="14" fontId="0" fillId="0" borderId="0" xfId="0" applyNumberFormat="1"/>
    <xf numFmtId="22" fontId="0" fillId="0" borderId="0" xfId="0" applyNumberFormat="1"/>
    <xf numFmtId="168" fontId="0" fillId="0" borderId="0" xfId="2" applyNumberFormat="1" applyFont="1"/>
    <xf numFmtId="168" fontId="0" fillId="0" borderId="0" xfId="0" applyNumberFormat="1"/>
    <xf numFmtId="0" fontId="0" fillId="34" borderId="0" xfId="0" applyFill="1"/>
    <xf numFmtId="0" fontId="0" fillId="35" borderId="0" xfId="0" applyFill="1"/>
    <xf numFmtId="10" fontId="0" fillId="35" borderId="0" xfId="2" applyNumberFormat="1" applyFont="1" applyFill="1"/>
    <xf numFmtId="0" fontId="0" fillId="36" borderId="0" xfId="0" applyFill="1"/>
    <xf numFmtId="0" fontId="0" fillId="3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8" borderId="0" xfId="0" applyFill="1" applyAlignment="1">
      <alignment horizontal="center"/>
    </xf>
    <xf numFmtId="0" fontId="0" fillId="0" borderId="0" xfId="0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4" formatCode="0.0"/>
    </dxf>
    <dxf>
      <numFmt numFmtId="0" formatCode="General"/>
    </dxf>
    <dxf>
      <numFmt numFmtId="167" formatCode="yyyy/mm/dd;@"/>
    </dxf>
    <dxf>
      <numFmt numFmtId="166" formatCode="&quot;$&quot;#,##0.00"/>
    </dxf>
    <dxf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[$$-409]#,##0.00_ ;\-[$$-409]#,##0.00\ "/>
    </dxf>
    <dxf>
      <numFmt numFmtId="2" formatCode="0.00"/>
    </dxf>
    <dxf>
      <numFmt numFmtId="14" formatCode="0.00%"/>
    </dxf>
    <dxf>
      <numFmt numFmtId="11" formatCode="&quot;$&quot;#,##0.00;\-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botuque cleaned data set.xlsx]Sheet1!PivotTable1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18-4E97-8D4A-101E3C6342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18-4E97-8D4A-101E3C6342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18-4E97-8D4A-101E3C6342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18-4E97-8D4A-101E3C6342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18-4E97-8D4A-101E3C6342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18-4E97-8D4A-101E3C6342DB}"/>
              </c:ext>
            </c:extLst>
          </c:dPt>
          <c:cat>
            <c:strRef>
              <c:f>Sheet1!$A$4:$A$10</c:f>
              <c:strCache>
                <c:ptCount val="6"/>
                <c:pt idx="0">
                  <c:v>Accessories</c:v>
                </c:pt>
                <c:pt idx="1">
                  <c:v>Bottoms</c:v>
                </c:pt>
                <c:pt idx="2">
                  <c:v>Dresses</c:v>
                </c:pt>
                <c:pt idx="3">
                  <c:v>Outerwear</c:v>
                </c:pt>
                <c:pt idx="4">
                  <c:v>Shoes</c:v>
                </c:pt>
                <c:pt idx="5">
                  <c:v>Tops</c:v>
                </c:pt>
              </c:strCache>
            </c:strRef>
          </c:cat>
          <c:val>
            <c:numRef>
              <c:f>Sheet1!$B$4:$B$10</c:f>
              <c:numCache>
                <c:formatCode>"$"#,##0.00</c:formatCode>
                <c:ptCount val="6"/>
                <c:pt idx="0">
                  <c:v>17393.880000000008</c:v>
                </c:pt>
                <c:pt idx="1">
                  <c:v>24079.389999999996</c:v>
                </c:pt>
                <c:pt idx="2">
                  <c:v>31028.350000000002</c:v>
                </c:pt>
                <c:pt idx="3">
                  <c:v>48672.81</c:v>
                </c:pt>
                <c:pt idx="4">
                  <c:v>41152.779999999948</c:v>
                </c:pt>
                <c:pt idx="5">
                  <c:v>23719.909999999989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2-4821-B8C6-7513F1714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botuque cleaned data set.xlsx]Sheet2!PivotTable3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Ann Taylor</c:v>
                </c:pt>
                <c:pt idx="1">
                  <c:v>Banana Republic</c:v>
                </c:pt>
                <c:pt idx="2">
                  <c:v>Forever21</c:v>
                </c:pt>
                <c:pt idx="3">
                  <c:v>Gap</c:v>
                </c:pt>
                <c:pt idx="4">
                  <c:v>H&amp;M</c:v>
                </c:pt>
                <c:pt idx="5">
                  <c:v>Mango</c:v>
                </c:pt>
                <c:pt idx="6">
                  <c:v>Uniqlo</c:v>
                </c:pt>
                <c:pt idx="7">
                  <c:v>Zara</c:v>
                </c:pt>
              </c:strCache>
            </c:strRef>
          </c:cat>
          <c:val>
            <c:numRef>
              <c:f>Sheet2!$B$4:$B$12</c:f>
              <c:numCache>
                <c:formatCode>"$"#,##0.00</c:formatCode>
                <c:ptCount val="8"/>
                <c:pt idx="0">
                  <c:v>21685.289999999994</c:v>
                </c:pt>
                <c:pt idx="1">
                  <c:v>25556.000000000018</c:v>
                </c:pt>
                <c:pt idx="2">
                  <c:v>20061.699999999997</c:v>
                </c:pt>
                <c:pt idx="3">
                  <c:v>18986.280000000006</c:v>
                </c:pt>
                <c:pt idx="4">
                  <c:v>24283.710000000003</c:v>
                </c:pt>
                <c:pt idx="5">
                  <c:v>25100.039999999994</c:v>
                </c:pt>
                <c:pt idx="6">
                  <c:v>23830.509999999995</c:v>
                </c:pt>
                <c:pt idx="7">
                  <c:v>26543.589999999997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9-4F38-8356-53697F643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029824"/>
        <c:axId val="19718032"/>
      </c:barChart>
      <c:catAx>
        <c:axId val="1682029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032"/>
        <c:crosses val="autoZero"/>
        <c:auto val="1"/>
        <c:lblAlgn val="ctr"/>
        <c:lblOffset val="100"/>
        <c:noMultiLvlLbl val="0"/>
      </c:catAx>
      <c:valAx>
        <c:axId val="1971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02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 botuque cleaned data set.xlsx]Sheet3!PivotTable4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Ann Taylor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Sheet3!$A$5:$A$11</c:f>
              <c:strCache>
                <c:ptCount val="6"/>
                <c:pt idx="0">
                  <c:v>Changed Mind</c:v>
                </c:pt>
                <c:pt idx="1">
                  <c:v>Color Mismatch</c:v>
                </c:pt>
                <c:pt idx="2">
                  <c:v>Damaged</c:v>
                </c:pt>
                <c:pt idx="3">
                  <c:v>Quality Issue</c:v>
                </c:pt>
                <c:pt idx="4">
                  <c:v>Size Issue</c:v>
                </c:pt>
                <c:pt idx="5">
                  <c:v>Wrong Item</c:v>
                </c:pt>
              </c:strCache>
            </c:strRef>
          </c:cat>
          <c:val>
            <c:numRef>
              <c:f>Sheet3!$B$5:$B$11</c:f>
              <c:numCache>
                <c:formatCode>General</c:formatCode>
                <c:ptCount val="6"/>
                <c:pt idx="0">
                  <c:v>12</c:v>
                </c:pt>
                <c:pt idx="1">
                  <c:v>7</c:v>
                </c:pt>
                <c:pt idx="2">
                  <c:v>3</c:v>
                </c:pt>
                <c:pt idx="3">
                  <c:v>9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1-40FB-917A-551C936CD6D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Banana Republic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Sheet3!$A$5:$A$11</c:f>
              <c:strCache>
                <c:ptCount val="6"/>
                <c:pt idx="0">
                  <c:v>Changed Mind</c:v>
                </c:pt>
                <c:pt idx="1">
                  <c:v>Color Mismatch</c:v>
                </c:pt>
                <c:pt idx="2">
                  <c:v>Damaged</c:v>
                </c:pt>
                <c:pt idx="3">
                  <c:v>Quality Issue</c:v>
                </c:pt>
                <c:pt idx="4">
                  <c:v>Size Issue</c:v>
                </c:pt>
                <c:pt idx="5">
                  <c:v>Wrong Item</c:v>
                </c:pt>
              </c:strCache>
            </c:strRef>
          </c:cat>
          <c:val>
            <c:numRef>
              <c:f>Sheet3!$C$5:$C$11</c:f>
              <c:numCache>
                <c:formatCode>General</c:formatCode>
                <c:ptCount val="6"/>
                <c:pt idx="0">
                  <c:v>12</c:v>
                </c:pt>
                <c:pt idx="1">
                  <c:v>4</c:v>
                </c:pt>
                <c:pt idx="2">
                  <c:v>4</c:v>
                </c:pt>
                <c:pt idx="3">
                  <c:v>12</c:v>
                </c:pt>
                <c:pt idx="4">
                  <c:v>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1-40FB-917A-551C936CD6D9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Forever21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Sheet3!$A$5:$A$11</c:f>
              <c:strCache>
                <c:ptCount val="6"/>
                <c:pt idx="0">
                  <c:v>Changed Mind</c:v>
                </c:pt>
                <c:pt idx="1">
                  <c:v>Color Mismatch</c:v>
                </c:pt>
                <c:pt idx="2">
                  <c:v>Damaged</c:v>
                </c:pt>
                <c:pt idx="3">
                  <c:v>Quality Issue</c:v>
                </c:pt>
                <c:pt idx="4">
                  <c:v>Size Issue</c:v>
                </c:pt>
                <c:pt idx="5">
                  <c:v>Wrong Item</c:v>
                </c:pt>
              </c:strCache>
            </c:strRef>
          </c:cat>
          <c:val>
            <c:numRef>
              <c:f>Sheet3!$D$5:$D$11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71-40FB-917A-551C936CD6D9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Sheet3!$A$5:$A$11</c:f>
              <c:strCache>
                <c:ptCount val="6"/>
                <c:pt idx="0">
                  <c:v>Changed Mind</c:v>
                </c:pt>
                <c:pt idx="1">
                  <c:v>Color Mismatch</c:v>
                </c:pt>
                <c:pt idx="2">
                  <c:v>Damaged</c:v>
                </c:pt>
                <c:pt idx="3">
                  <c:v>Quality Issue</c:v>
                </c:pt>
                <c:pt idx="4">
                  <c:v>Size Issue</c:v>
                </c:pt>
                <c:pt idx="5">
                  <c:v>Wrong Item</c:v>
                </c:pt>
              </c:strCache>
            </c:strRef>
          </c:cat>
          <c:val>
            <c:numRef>
              <c:f>Sheet3!$E$5:$E$11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71-40FB-917A-551C936CD6D9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H&amp;M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Sheet3!$A$5:$A$11</c:f>
              <c:strCache>
                <c:ptCount val="6"/>
                <c:pt idx="0">
                  <c:v>Changed Mind</c:v>
                </c:pt>
                <c:pt idx="1">
                  <c:v>Color Mismatch</c:v>
                </c:pt>
                <c:pt idx="2">
                  <c:v>Damaged</c:v>
                </c:pt>
                <c:pt idx="3">
                  <c:v>Quality Issue</c:v>
                </c:pt>
                <c:pt idx="4">
                  <c:v>Size Issue</c:v>
                </c:pt>
                <c:pt idx="5">
                  <c:v>Wrong Item</c:v>
                </c:pt>
              </c:strCache>
            </c:strRef>
          </c:cat>
          <c:val>
            <c:numRef>
              <c:f>Sheet3!$F$5:$F$11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71-40FB-917A-551C936CD6D9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Sheet3!$A$5:$A$11</c:f>
              <c:strCache>
                <c:ptCount val="6"/>
                <c:pt idx="0">
                  <c:v>Changed Mind</c:v>
                </c:pt>
                <c:pt idx="1">
                  <c:v>Color Mismatch</c:v>
                </c:pt>
                <c:pt idx="2">
                  <c:v>Damaged</c:v>
                </c:pt>
                <c:pt idx="3">
                  <c:v>Quality Issue</c:v>
                </c:pt>
                <c:pt idx="4">
                  <c:v>Size Issue</c:v>
                </c:pt>
                <c:pt idx="5">
                  <c:v>Wrong Item</c:v>
                </c:pt>
              </c:strCache>
            </c:strRef>
          </c:cat>
          <c:val>
            <c:numRef>
              <c:f>Sheet3!$G$5:$G$11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71-40FB-917A-551C936CD6D9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Uniqlo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Sheet3!$A$5:$A$11</c:f>
              <c:strCache>
                <c:ptCount val="6"/>
                <c:pt idx="0">
                  <c:v>Changed Mind</c:v>
                </c:pt>
                <c:pt idx="1">
                  <c:v>Color Mismatch</c:v>
                </c:pt>
                <c:pt idx="2">
                  <c:v>Damaged</c:v>
                </c:pt>
                <c:pt idx="3">
                  <c:v>Quality Issue</c:v>
                </c:pt>
                <c:pt idx="4">
                  <c:v>Size Issue</c:v>
                </c:pt>
                <c:pt idx="5">
                  <c:v>Wrong Item</c:v>
                </c:pt>
              </c:strCache>
            </c:strRef>
          </c:cat>
          <c:val>
            <c:numRef>
              <c:f>Sheet3!$H$5:$H$11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71-40FB-917A-551C936CD6D9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Zara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Sheet3!$A$5:$A$11</c:f>
              <c:strCache>
                <c:ptCount val="6"/>
                <c:pt idx="0">
                  <c:v>Changed Mind</c:v>
                </c:pt>
                <c:pt idx="1">
                  <c:v>Color Mismatch</c:v>
                </c:pt>
                <c:pt idx="2">
                  <c:v>Damaged</c:v>
                </c:pt>
                <c:pt idx="3">
                  <c:v>Quality Issue</c:v>
                </c:pt>
                <c:pt idx="4">
                  <c:v>Size Issue</c:v>
                </c:pt>
                <c:pt idx="5">
                  <c:v>Wrong Item</c:v>
                </c:pt>
              </c:strCache>
            </c:strRef>
          </c:cat>
          <c:val>
            <c:numRef>
              <c:f>Sheet3!$I$5:$I$11</c:f>
              <c:numCache>
                <c:formatCode>General</c:formatCode>
                <c:ptCount val="6"/>
                <c:pt idx="0">
                  <c:v>10</c:v>
                </c:pt>
                <c:pt idx="1">
                  <c:v>7</c:v>
                </c:pt>
                <c:pt idx="2">
                  <c:v>11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71-40FB-917A-551C936CD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852479"/>
        <c:axId val="1080930831"/>
      </c:barChart>
      <c:catAx>
        <c:axId val="108085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930831"/>
        <c:crosses val="autoZero"/>
        <c:auto val="1"/>
        <c:lblAlgn val="ctr"/>
        <c:lblOffset val="100"/>
        <c:noMultiLvlLbl val="0"/>
      </c:catAx>
      <c:valAx>
        <c:axId val="108093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5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6</xdr:row>
      <xdr:rowOff>41910</xdr:rowOff>
    </xdr:from>
    <xdr:to>
      <xdr:col>11</xdr:col>
      <xdr:colOff>106680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7ECAB4-4BAC-118C-38CF-54329DF6E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2</xdr:row>
      <xdr:rowOff>64770</xdr:rowOff>
    </xdr:from>
    <xdr:to>
      <xdr:col>12</xdr:col>
      <xdr:colOff>53340</xdr:colOff>
      <xdr:row>17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D8934-3325-37DC-4F74-C6D85CA00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160020</xdr:colOff>
      <xdr:row>1</xdr:row>
      <xdr:rowOff>118110</xdr:rowOff>
    </xdr:from>
    <xdr:to>
      <xdr:col>17</xdr:col>
      <xdr:colOff>464820</xdr:colOff>
      <xdr:row>16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EBD67E-1DE6-F40B-49D1-9B0F8E822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ni Jayanth" refreshedDate="46157.686498958334" createdVersion="8" refreshedVersion="8" minRefreshableVersion="3" recordCount="2176" xr:uid="{E2F56726-2C66-48B4-8F6F-89B78DF7B202}">
  <cacheSource type="worksheet">
    <worksheetSource name="Table1"/>
  </cacheSource>
  <cacheFields count="22">
    <cacheField name="product_id" numFmtId="0">
      <sharedItems/>
    </cacheField>
    <cacheField name="category" numFmtId="0">
      <sharedItems count="6">
        <s v="Outerwear"/>
        <s v="Tops"/>
        <s v="Accessories"/>
        <s v="Shoes"/>
        <s v="Bottoms"/>
        <s v="Dresses"/>
      </sharedItems>
    </cacheField>
    <cacheField name="brand" numFmtId="0">
      <sharedItems count="8">
        <s v="Zara"/>
        <s v="Uniqlo"/>
        <s v="Banana Republic"/>
        <s v="Mango"/>
        <s v="H&amp;M"/>
        <s v="Ann Taylor"/>
        <s v="Gap"/>
        <s v="Forever21"/>
      </sharedItems>
    </cacheField>
    <cacheField name="season" numFmtId="0">
      <sharedItems count="4">
        <s v="Spring"/>
        <s v="Winter"/>
        <s v="Fall"/>
        <s v="Summer"/>
      </sharedItems>
    </cacheField>
    <cacheField name="size updated" numFmtId="0">
      <sharedItems/>
    </cacheField>
    <cacheField name="size" numFmtId="0">
      <sharedItems containsBlank="1"/>
    </cacheField>
    <cacheField name="color" numFmtId="0">
      <sharedItems/>
    </cacheField>
    <cacheField name="original_price" numFmtId="7">
      <sharedItems containsSemiMixedTypes="0" containsString="0" containsNumber="1" minValue="15.14" maxValue="249.98"/>
    </cacheField>
    <cacheField name="Markdown percentage updated" numFmtId="10">
      <sharedItems containsSemiMixedTypes="0" containsString="0" containsNumber="1" minValue="0" maxValue="0.59899999999999998"/>
    </cacheField>
    <cacheField name="markdown_percentage" numFmtId="2">
      <sharedItems containsSemiMixedTypes="0" containsString="0" containsNumber="1" minValue="0" maxValue="59.9"/>
    </cacheField>
    <cacheField name="Discount Amount" numFmtId="168">
      <sharedItems containsSemiMixedTypes="0" containsString="0" containsNumber="1" minValue="0" maxValue="132.06"/>
    </cacheField>
    <cacheField name="Markdown profit risk" numFmtId="2">
      <sharedItems/>
    </cacheField>
    <cacheField name="current_price" numFmtId="166">
      <sharedItems containsSemiMixedTypes="0" containsString="0" containsNumber="1" minValue="7.29" maxValue="249.98"/>
    </cacheField>
    <cacheField name="Profit / loss " numFmtId="166">
      <sharedItems/>
    </cacheField>
    <cacheField name="purchase_date" numFmtId="167">
      <sharedItems containsSemiMixedTypes="0" containsNonDate="0" containsDate="1" containsString="0" minDate="2024-08-06T00:00:00" maxDate="2025-08-07T00:00:00"/>
    </cacheField>
    <cacheField name="stock_quantity" numFmtId="0">
      <sharedItems containsSemiMixedTypes="0" containsString="0" containsNumber="1" containsInteger="1" minValue="0" maxValue="50"/>
    </cacheField>
    <cacheField name="Stock status" numFmtId="0">
      <sharedItems/>
    </cacheField>
    <cacheField name="Customer_rating_updated" numFmtId="164">
      <sharedItems containsSemiMixedTypes="0" containsString="0" containsNumber="1" minValue="0" maxValue="5"/>
    </cacheField>
    <cacheField name="customer_rating" numFmtId="0">
      <sharedItems containsString="0" containsBlank="1" containsNumber="1" minValue="1" maxValue="5"/>
    </cacheField>
    <cacheField name="is_returned" numFmtId="0">
      <sharedItems/>
    </cacheField>
    <cacheField name="Return Status" numFmtId="0">
      <sharedItems count="7">
        <s v="No Return"/>
        <s v="Color Mismatch"/>
        <s v="Size Issue"/>
        <s v="Damaged"/>
        <s v="Quality Issue"/>
        <s v="Changed Mind"/>
        <s v="Wrong Item"/>
      </sharedItems>
    </cacheField>
    <cacheField name="return_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6">
  <r>
    <s v="FB000001"/>
    <x v="0"/>
    <x v="0"/>
    <x v="0"/>
    <s v="XL"/>
    <s v="XL"/>
    <s v="Red"/>
    <n v="196.01"/>
    <n v="0"/>
    <n v="0"/>
    <n v="0"/>
    <s v="No Discount"/>
    <n v="196.01"/>
    <s v="No Loss"/>
    <d v="2025-07-05T00:00:00"/>
    <n v="37"/>
    <s v="IN STOCK"/>
    <n v="3"/>
    <n v="3"/>
    <b v="0"/>
    <x v="0"/>
    <m/>
  </r>
  <r>
    <s v="FB000002"/>
    <x v="1"/>
    <x v="1"/>
    <x v="1"/>
    <s v="XL"/>
    <s v="L"/>
    <s v="Pink"/>
    <n v="119.64"/>
    <n v="0"/>
    <n v="0"/>
    <n v="0"/>
    <s v="No Discount"/>
    <n v="119.64"/>
    <s v="No Loss"/>
    <d v="2025-08-06T00:00:00"/>
    <n v="2"/>
    <s v="LOW STOCK"/>
    <n v="2.5"/>
    <n v="2.5"/>
    <b v="0"/>
    <x v="0"/>
    <m/>
  </r>
  <r>
    <s v="FB000003"/>
    <x v="2"/>
    <x v="1"/>
    <x v="1"/>
    <s v="OS"/>
    <m/>
    <s v="Black"/>
    <n v="33.799999999999997"/>
    <n v="0"/>
    <n v="0"/>
    <n v="0"/>
    <s v="No Discount"/>
    <n v="33.799999999999997"/>
    <s v="No Loss"/>
    <d v="2025-08-06T00:00:00"/>
    <n v="22"/>
    <s v="IN STOCK"/>
    <n v="4.3"/>
    <n v="4.3"/>
    <b v="0"/>
    <x v="0"/>
    <m/>
  </r>
  <r>
    <s v="FB000004"/>
    <x v="3"/>
    <x v="1"/>
    <x v="0"/>
    <s v="S"/>
    <s v="XL"/>
    <s v="Black"/>
    <n v="75.36"/>
    <n v="0"/>
    <n v="0"/>
    <n v="0"/>
    <s v="No Discount"/>
    <n v="75.36"/>
    <s v="No Loss"/>
    <d v="2025-07-07T00:00:00"/>
    <n v="48"/>
    <s v="IN STOCK"/>
    <n v="2.6"/>
    <n v="2.6"/>
    <b v="0"/>
    <x v="0"/>
    <m/>
  </r>
  <r>
    <s v="FB000005"/>
    <x v="1"/>
    <x v="2"/>
    <x v="1"/>
    <s v="XL"/>
    <s v="XL"/>
    <s v="Black"/>
    <n v="105.02"/>
    <n v="0"/>
    <n v="0"/>
    <n v="0"/>
    <s v="No Discount"/>
    <n v="105.02"/>
    <s v="No Loss"/>
    <d v="2025-08-06T00:00:00"/>
    <n v="10"/>
    <s v="LOW STOCK"/>
    <n v="0"/>
    <m/>
    <b v="0"/>
    <x v="0"/>
    <m/>
  </r>
  <r>
    <s v="FB000006"/>
    <x v="2"/>
    <x v="0"/>
    <x v="2"/>
    <s v="XL"/>
    <m/>
    <s v="White"/>
    <n v="35.03"/>
    <n v="0.35399999999999998"/>
    <n v="35.4"/>
    <n v="12.40062"/>
    <s v="high Discount"/>
    <n v="22.63"/>
    <s v="Medium Loss"/>
    <d v="2025-08-06T00:00:00"/>
    <n v="38"/>
    <s v="IN STOCK"/>
    <n v="2.9"/>
    <n v="2.9"/>
    <b v="1"/>
    <x v="1"/>
    <s v="Color Mismatch"/>
  </r>
  <r>
    <s v="FB000007"/>
    <x v="4"/>
    <x v="0"/>
    <x v="0"/>
    <s v="XXL"/>
    <s v="S"/>
    <s v="Gray"/>
    <n v="53.83"/>
    <n v="0.54500000000000004"/>
    <n v="54.5"/>
    <n v="29.337350000000001"/>
    <s v="high Discount"/>
    <n v="24.49"/>
    <s v="High Loss"/>
    <d v="2024-10-29T00:00:00"/>
    <n v="38"/>
    <s v="IN STOCK"/>
    <n v="2.6"/>
    <n v="2.6"/>
    <b v="0"/>
    <x v="0"/>
    <m/>
  </r>
  <r>
    <s v="FB000008"/>
    <x v="5"/>
    <x v="3"/>
    <x v="1"/>
    <s v="L"/>
    <s v="XL"/>
    <s v="Blue"/>
    <n v="91.55"/>
    <n v="0.221"/>
    <n v="22.1"/>
    <n v="20.23255"/>
    <s v="Medium Discount"/>
    <n v="71.319999999999993"/>
    <s v="High Loss"/>
    <d v="2025-08-06T00:00:00"/>
    <n v="47"/>
    <s v="IN STOCK"/>
    <n v="1.6"/>
    <n v="1.6"/>
    <b v="0"/>
    <x v="0"/>
    <m/>
  </r>
  <r>
    <s v="FB000009"/>
    <x v="0"/>
    <x v="1"/>
    <x v="0"/>
    <s v="S"/>
    <s v="XL"/>
    <s v="Green"/>
    <n v="227.73"/>
    <n v="0.128"/>
    <n v="12.8"/>
    <n v="29.149439999999998"/>
    <s v="Low Discount"/>
    <n v="198.58"/>
    <s v="High Loss"/>
    <d v="2025-03-24T00:00:00"/>
    <n v="14"/>
    <s v="IN STOCK"/>
    <n v="0"/>
    <m/>
    <b v="0"/>
    <x v="0"/>
    <m/>
  </r>
  <r>
    <s v="FB000010"/>
    <x v="0"/>
    <x v="4"/>
    <x v="2"/>
    <s v="S"/>
    <s v="XXL"/>
    <s v="Pink"/>
    <n v="248.41"/>
    <n v="0.109"/>
    <n v="10.9"/>
    <n v="27.076689999999999"/>
    <s v="Low Discount"/>
    <n v="221.33"/>
    <s v="High Loss"/>
    <d v="2025-08-06T00:00:00"/>
    <n v="37"/>
    <s v="IN STOCK"/>
    <n v="0"/>
    <m/>
    <b v="0"/>
    <x v="0"/>
    <m/>
  </r>
  <r>
    <s v="FB000011"/>
    <x v="1"/>
    <x v="3"/>
    <x v="0"/>
    <s v="XS"/>
    <s v="L"/>
    <s v="Black"/>
    <n v="116.84"/>
    <n v="0"/>
    <n v="0"/>
    <n v="0"/>
    <s v="No Discount"/>
    <n v="116.84"/>
    <s v="No Loss"/>
    <d v="2025-04-25T00:00:00"/>
    <n v="3"/>
    <s v="LOW STOCK"/>
    <n v="4.4000000000000004"/>
    <n v="4.4000000000000004"/>
    <b v="0"/>
    <x v="0"/>
    <m/>
  </r>
  <r>
    <s v="FB000012"/>
    <x v="3"/>
    <x v="1"/>
    <x v="1"/>
    <s v="M"/>
    <s v="S"/>
    <s v="Blue"/>
    <n v="146.97999999999999"/>
    <n v="0"/>
    <n v="0"/>
    <n v="0"/>
    <s v="No Discount"/>
    <n v="146.97999999999999"/>
    <s v="No Loss"/>
    <d v="2025-08-06T00:00:00"/>
    <n v="2"/>
    <s v="LOW STOCK"/>
    <n v="3.4"/>
    <n v="3.4"/>
    <b v="0"/>
    <x v="0"/>
    <m/>
  </r>
  <r>
    <s v="FB000013"/>
    <x v="4"/>
    <x v="5"/>
    <x v="0"/>
    <s v="OS"/>
    <s v="S"/>
    <s v="White"/>
    <n v="37.51"/>
    <n v="0"/>
    <n v="0"/>
    <n v="0"/>
    <s v="No Discount"/>
    <n v="37.51"/>
    <s v="No Loss"/>
    <d v="2025-01-04T00:00:00"/>
    <n v="43"/>
    <s v="IN STOCK"/>
    <n v="0"/>
    <m/>
    <b v="0"/>
    <x v="0"/>
    <m/>
  </r>
  <r>
    <s v="FB000014"/>
    <x v="5"/>
    <x v="1"/>
    <x v="2"/>
    <s v="S"/>
    <s v="XS"/>
    <s v="Beige"/>
    <n v="48.15"/>
    <n v="0"/>
    <n v="0"/>
    <n v="0"/>
    <s v="No Discount"/>
    <n v="48.15"/>
    <s v="No Loss"/>
    <d v="2025-08-06T00:00:00"/>
    <n v="39"/>
    <s v="IN STOCK"/>
    <n v="1.6"/>
    <n v="1.6"/>
    <b v="0"/>
    <x v="0"/>
    <m/>
  </r>
  <r>
    <s v="FB000015"/>
    <x v="1"/>
    <x v="3"/>
    <x v="1"/>
    <s v="L"/>
    <s v="M"/>
    <s v="Beige"/>
    <n v="79.66"/>
    <n v="0"/>
    <n v="0"/>
    <n v="0"/>
    <s v="No Discount"/>
    <n v="79.66"/>
    <s v="No Loss"/>
    <d v="2025-08-06T00:00:00"/>
    <n v="7"/>
    <s v="LOW STOCK"/>
    <n v="1.7"/>
    <n v="1.7"/>
    <b v="0"/>
    <x v="0"/>
    <m/>
  </r>
  <r>
    <s v="FB000016"/>
    <x v="2"/>
    <x v="3"/>
    <x v="1"/>
    <s v="M"/>
    <m/>
    <s v="Green"/>
    <n v="67.569999999999993"/>
    <n v="0"/>
    <n v="0"/>
    <n v="0"/>
    <s v="No Discount"/>
    <n v="67.569999999999993"/>
    <s v="No Loss"/>
    <d v="2025-08-06T00:00:00"/>
    <n v="17"/>
    <s v="IN STOCK"/>
    <n v="2.4"/>
    <n v="2.4"/>
    <b v="0"/>
    <x v="0"/>
    <m/>
  </r>
  <r>
    <s v="FB000017"/>
    <x v="3"/>
    <x v="6"/>
    <x v="3"/>
    <s v="XXL"/>
    <s v="S"/>
    <s v="Beige"/>
    <n v="123.53"/>
    <n v="0"/>
    <n v="0"/>
    <n v="0"/>
    <s v="No Discount"/>
    <n v="123.53"/>
    <s v="No Loss"/>
    <d v="2025-08-06T00:00:00"/>
    <n v="14"/>
    <s v="IN STOCK"/>
    <n v="4.5999999999999996"/>
    <n v="4.5999999999999996"/>
    <b v="0"/>
    <x v="0"/>
    <m/>
  </r>
  <r>
    <s v="FB000018"/>
    <x v="1"/>
    <x v="5"/>
    <x v="1"/>
    <s v="L"/>
    <s v="L"/>
    <s v="Navy"/>
    <n v="102.35"/>
    <n v="0"/>
    <n v="0"/>
    <n v="0"/>
    <s v="No Discount"/>
    <n v="102.35"/>
    <s v="No Loss"/>
    <d v="2025-08-06T00:00:00"/>
    <n v="14"/>
    <s v="IN STOCK"/>
    <n v="3.5"/>
    <n v="3.5"/>
    <b v="0"/>
    <x v="0"/>
    <m/>
  </r>
  <r>
    <s v="FB000019"/>
    <x v="0"/>
    <x v="3"/>
    <x v="3"/>
    <s v="OS"/>
    <s v="M"/>
    <s v="Purple"/>
    <n v="137.94999999999999"/>
    <n v="0.58499999999999996"/>
    <n v="58.5"/>
    <n v="80.700749999999985"/>
    <s v="high Discount"/>
    <n v="57.25"/>
    <s v="High Loss"/>
    <d v="2025-08-06T00:00:00"/>
    <n v="16"/>
    <s v="IN STOCK"/>
    <n v="4.0999999999999996"/>
    <n v="4.0999999999999996"/>
    <b v="0"/>
    <x v="0"/>
    <m/>
  </r>
  <r>
    <s v="FB000020"/>
    <x v="0"/>
    <x v="2"/>
    <x v="3"/>
    <s v="OS"/>
    <s v="XXL"/>
    <s v="Gray"/>
    <n v="142.59"/>
    <n v="0"/>
    <n v="0"/>
    <n v="0"/>
    <s v="No Discount"/>
    <n v="142.59"/>
    <s v="No Loss"/>
    <d v="2025-08-06T00:00:00"/>
    <n v="1"/>
    <s v="LOW STOCK"/>
    <n v="3.7"/>
    <n v="3.7"/>
    <b v="0"/>
    <x v="0"/>
    <m/>
  </r>
  <r>
    <s v="FB000021"/>
    <x v="4"/>
    <x v="3"/>
    <x v="2"/>
    <s v="XL"/>
    <s v="L"/>
    <s v="Beige"/>
    <n v="33.33"/>
    <n v="0.218"/>
    <n v="21.8"/>
    <n v="7.2659399999999996"/>
    <s v="Medium Discount"/>
    <n v="26.06"/>
    <s v="Low Loss"/>
    <d v="2025-08-06T00:00:00"/>
    <n v="42"/>
    <s v="IN STOCK"/>
    <n v="0"/>
    <m/>
    <b v="0"/>
    <x v="0"/>
    <m/>
  </r>
  <r>
    <s v="FB000022"/>
    <x v="2"/>
    <x v="0"/>
    <x v="0"/>
    <s v="XS"/>
    <m/>
    <s v="Brown"/>
    <n v="62.3"/>
    <n v="0"/>
    <n v="0"/>
    <n v="0"/>
    <s v="No Discount"/>
    <n v="62.3"/>
    <s v="No Loss"/>
    <d v="2024-09-24T00:00:00"/>
    <n v="10"/>
    <s v="LOW STOCK"/>
    <n v="2.5"/>
    <n v="2.5"/>
    <b v="0"/>
    <x v="0"/>
    <m/>
  </r>
  <r>
    <s v="FB000023"/>
    <x v="2"/>
    <x v="0"/>
    <x v="1"/>
    <s v="M"/>
    <m/>
    <s v="Pink"/>
    <n v="38.479999999999997"/>
    <n v="0"/>
    <n v="0"/>
    <n v="0"/>
    <s v="No Discount"/>
    <n v="38.479999999999997"/>
    <s v="No Loss"/>
    <d v="2025-08-06T00:00:00"/>
    <n v="46"/>
    <s v="IN STOCK"/>
    <n v="1.2"/>
    <n v="1.2"/>
    <b v="0"/>
    <x v="0"/>
    <m/>
  </r>
  <r>
    <s v="FB000024"/>
    <x v="5"/>
    <x v="2"/>
    <x v="3"/>
    <s v="L"/>
    <s v="XL"/>
    <s v="Green"/>
    <n v="91.36"/>
    <n v="0"/>
    <n v="0"/>
    <n v="0"/>
    <s v="No Discount"/>
    <n v="91.36"/>
    <s v="No Loss"/>
    <d v="2025-08-06T00:00:00"/>
    <n v="37"/>
    <s v="IN STOCK"/>
    <n v="1.2"/>
    <n v="1.2"/>
    <b v="1"/>
    <x v="2"/>
    <s v="Size Issue"/>
  </r>
  <r>
    <s v="FB000025"/>
    <x v="1"/>
    <x v="7"/>
    <x v="2"/>
    <s v="M"/>
    <s v="XS"/>
    <s v="Blue"/>
    <n v="80.47"/>
    <n v="0.29100000000000004"/>
    <n v="29.1"/>
    <n v="23.416770000000003"/>
    <s v="Medium Discount"/>
    <n v="57.05"/>
    <s v="High Loss"/>
    <d v="2025-08-06T00:00:00"/>
    <n v="38"/>
    <s v="IN STOCK"/>
    <n v="3.6"/>
    <n v="3.6"/>
    <b v="0"/>
    <x v="0"/>
    <m/>
  </r>
  <r>
    <s v="FB000026"/>
    <x v="4"/>
    <x v="1"/>
    <x v="0"/>
    <s v="L"/>
    <s v="M"/>
    <s v="Red"/>
    <n v="40.89"/>
    <n v="0.34"/>
    <n v="34"/>
    <n v="13.902600000000001"/>
    <s v="high Discount"/>
    <n v="26.99"/>
    <s v="Medium Loss"/>
    <d v="2025-06-11T00:00:00"/>
    <n v="16"/>
    <s v="IN STOCK"/>
    <n v="3.7"/>
    <n v="3.7"/>
    <b v="0"/>
    <x v="0"/>
    <m/>
  </r>
  <r>
    <s v="FB000027"/>
    <x v="4"/>
    <x v="2"/>
    <x v="3"/>
    <s v="XL"/>
    <s v="L"/>
    <s v="Red"/>
    <n v="47.04"/>
    <n v="0.36"/>
    <n v="36"/>
    <n v="16.9344"/>
    <s v="high Discount"/>
    <n v="30.11"/>
    <s v="Medium Loss"/>
    <d v="2025-08-06T00:00:00"/>
    <n v="25"/>
    <s v="IN STOCK"/>
    <n v="1.1000000000000001"/>
    <n v="1.1000000000000001"/>
    <b v="1"/>
    <x v="3"/>
    <s v="Damaged"/>
  </r>
  <r>
    <s v="FB000028"/>
    <x v="4"/>
    <x v="6"/>
    <x v="3"/>
    <s v="S"/>
    <s v="M"/>
    <s v="Blue"/>
    <n v="53.37"/>
    <n v="0"/>
    <n v="0"/>
    <n v="0"/>
    <s v="No Discount"/>
    <n v="53.37"/>
    <s v="No Loss"/>
    <d v="2025-08-06T00:00:00"/>
    <n v="28"/>
    <s v="IN STOCK"/>
    <n v="3.8"/>
    <n v="3.8"/>
    <b v="0"/>
    <x v="0"/>
    <m/>
  </r>
  <r>
    <s v="FB000029"/>
    <x v="5"/>
    <x v="5"/>
    <x v="3"/>
    <s v="L"/>
    <s v="L"/>
    <s v="White"/>
    <n v="114.35"/>
    <n v="0"/>
    <n v="0"/>
    <n v="0"/>
    <s v="No Discount"/>
    <n v="114.35"/>
    <s v="No Loss"/>
    <d v="2025-08-06T00:00:00"/>
    <n v="6"/>
    <s v="LOW STOCK"/>
    <n v="1.2"/>
    <n v="1.2"/>
    <b v="0"/>
    <x v="0"/>
    <m/>
  </r>
  <r>
    <s v="FB000030"/>
    <x v="3"/>
    <x v="6"/>
    <x v="0"/>
    <s v="XL"/>
    <s v="XL"/>
    <s v="Red"/>
    <n v="77.63"/>
    <n v="0"/>
    <n v="0"/>
    <n v="0"/>
    <s v="No Discount"/>
    <n v="77.63"/>
    <s v="No Loss"/>
    <d v="2024-10-24T00:00:00"/>
    <n v="1"/>
    <s v="LOW STOCK"/>
    <n v="0"/>
    <m/>
    <b v="0"/>
    <x v="0"/>
    <m/>
  </r>
  <r>
    <s v="FB000031"/>
    <x v="3"/>
    <x v="1"/>
    <x v="3"/>
    <s v="XL"/>
    <s v="S"/>
    <s v="Red"/>
    <n v="71.290000000000006"/>
    <n v="0"/>
    <n v="0"/>
    <n v="0"/>
    <s v="No Discount"/>
    <n v="71.290000000000006"/>
    <s v="No Loss"/>
    <d v="2025-08-06T00:00:00"/>
    <n v="37"/>
    <s v="IN STOCK"/>
    <n v="4.0999999999999996"/>
    <n v="4.0999999999999996"/>
    <b v="1"/>
    <x v="4"/>
    <s v="Quality Issue"/>
  </r>
  <r>
    <s v="FB000032"/>
    <x v="1"/>
    <x v="6"/>
    <x v="0"/>
    <s v="OS"/>
    <s v="L"/>
    <s v="Purple"/>
    <n v="37.43"/>
    <n v="0.24399999999999999"/>
    <n v="24.4"/>
    <n v="9.1329200000000004"/>
    <s v="Medium Discount"/>
    <n v="28.3"/>
    <s v="Low Loss"/>
    <d v="2025-04-16T00:00:00"/>
    <n v="5"/>
    <s v="LOW STOCK"/>
    <n v="0"/>
    <m/>
    <b v="0"/>
    <x v="0"/>
    <m/>
  </r>
  <r>
    <s v="FB000033"/>
    <x v="3"/>
    <x v="0"/>
    <x v="0"/>
    <s v="XXL"/>
    <s v="XL"/>
    <s v="Purple"/>
    <n v="143.78"/>
    <n v="0"/>
    <n v="0"/>
    <n v="0"/>
    <s v="No Discount"/>
    <n v="143.78"/>
    <s v="No Loss"/>
    <d v="2024-10-16T00:00:00"/>
    <n v="43"/>
    <s v="IN STOCK"/>
    <n v="1.1000000000000001"/>
    <n v="1.1000000000000001"/>
    <b v="0"/>
    <x v="0"/>
    <m/>
  </r>
  <r>
    <s v="FB000034"/>
    <x v="1"/>
    <x v="2"/>
    <x v="3"/>
    <s v="XXL"/>
    <s v="XL"/>
    <s v="Gray"/>
    <n v="88.23"/>
    <n v="0"/>
    <n v="0"/>
    <n v="0"/>
    <s v="No Discount"/>
    <n v="88.23"/>
    <s v="No Loss"/>
    <d v="2025-08-06T00:00:00"/>
    <n v="44"/>
    <s v="IN STOCK"/>
    <n v="1.6"/>
    <n v="1.6"/>
    <b v="0"/>
    <x v="0"/>
    <m/>
  </r>
  <r>
    <s v="FB000035"/>
    <x v="2"/>
    <x v="7"/>
    <x v="2"/>
    <s v="L"/>
    <m/>
    <s v="Navy"/>
    <n v="58.57"/>
    <n v="0"/>
    <n v="0"/>
    <n v="0"/>
    <s v="No Discount"/>
    <n v="58.57"/>
    <s v="No Loss"/>
    <d v="2025-08-06T00:00:00"/>
    <n v="38"/>
    <s v="IN STOCK"/>
    <n v="1.5"/>
    <n v="1.5"/>
    <b v="0"/>
    <x v="0"/>
    <m/>
  </r>
  <r>
    <s v="FB000036"/>
    <x v="1"/>
    <x v="1"/>
    <x v="1"/>
    <s v="XS"/>
    <s v="XXL"/>
    <s v="White"/>
    <n v="119.7"/>
    <n v="5.7000000000000002E-2"/>
    <n v="5.7"/>
    <n v="6.8229000000000006"/>
    <s v="Low Discount"/>
    <n v="112.88"/>
    <s v="Low Loss"/>
    <d v="2025-08-06T00:00:00"/>
    <n v="37"/>
    <s v="IN STOCK"/>
    <n v="4.9000000000000004"/>
    <n v="4.9000000000000004"/>
    <b v="0"/>
    <x v="0"/>
    <m/>
  </r>
  <r>
    <s v="FB000037"/>
    <x v="4"/>
    <x v="2"/>
    <x v="2"/>
    <s v="OS"/>
    <s v="XXL"/>
    <s v="Green"/>
    <n v="97.06"/>
    <n v="0.47799999999999998"/>
    <n v="47.8"/>
    <n v="46.394680000000001"/>
    <s v="high Discount"/>
    <n v="50.67"/>
    <s v="High Loss"/>
    <d v="2025-08-06T00:00:00"/>
    <n v="31"/>
    <s v="IN STOCK"/>
    <n v="4.0999999999999996"/>
    <n v="4.0999999999999996"/>
    <b v="0"/>
    <x v="0"/>
    <m/>
  </r>
  <r>
    <s v="FB000038"/>
    <x v="5"/>
    <x v="2"/>
    <x v="3"/>
    <s v="S"/>
    <s v="L"/>
    <s v="White"/>
    <n v="110.09"/>
    <n v="0"/>
    <n v="0"/>
    <n v="0"/>
    <s v="No Discount"/>
    <n v="110.09"/>
    <s v="No Loss"/>
    <d v="2025-08-06T00:00:00"/>
    <n v="32"/>
    <s v="IN STOCK"/>
    <n v="3.4"/>
    <n v="3.4"/>
    <b v="0"/>
    <x v="0"/>
    <m/>
  </r>
  <r>
    <s v="FB000039"/>
    <x v="3"/>
    <x v="0"/>
    <x v="1"/>
    <s v="M"/>
    <s v="XS"/>
    <s v="Green"/>
    <n v="198.42"/>
    <n v="0.14199999999999999"/>
    <n v="14.2"/>
    <n v="28.175639999999994"/>
    <s v="Low Discount"/>
    <n v="170.24"/>
    <s v="High Loss"/>
    <d v="2025-08-06T00:00:00"/>
    <n v="10"/>
    <s v="LOW STOCK"/>
    <n v="0"/>
    <m/>
    <b v="0"/>
    <x v="0"/>
    <m/>
  </r>
  <r>
    <s v="FB000040"/>
    <x v="4"/>
    <x v="2"/>
    <x v="1"/>
    <s v="XS"/>
    <m/>
    <s v="Purple"/>
    <n v="101.72"/>
    <n v="0"/>
    <n v="0"/>
    <n v="0"/>
    <s v="No Discount"/>
    <n v="101.72"/>
    <s v="No Loss"/>
    <d v="2025-08-06T00:00:00"/>
    <n v="40"/>
    <s v="IN STOCK"/>
    <n v="0"/>
    <m/>
    <b v="0"/>
    <x v="0"/>
    <m/>
  </r>
  <r>
    <s v="FB000041"/>
    <x v="1"/>
    <x v="1"/>
    <x v="3"/>
    <s v="XL"/>
    <s v="S"/>
    <s v="White"/>
    <n v="117.86"/>
    <n v="0"/>
    <n v="0"/>
    <n v="0"/>
    <s v="No Discount"/>
    <n v="117.86"/>
    <s v="No Loss"/>
    <d v="2025-08-06T00:00:00"/>
    <n v="6"/>
    <s v="LOW STOCK"/>
    <n v="0"/>
    <m/>
    <b v="0"/>
    <x v="0"/>
    <m/>
  </r>
  <r>
    <s v="FB000042"/>
    <x v="1"/>
    <x v="5"/>
    <x v="3"/>
    <s v="XXL"/>
    <s v="M"/>
    <s v="Green"/>
    <n v="78.86"/>
    <n v="0"/>
    <n v="0"/>
    <n v="0"/>
    <s v="No Discount"/>
    <n v="78.86"/>
    <s v="No Loss"/>
    <d v="2025-08-06T00:00:00"/>
    <n v="22"/>
    <s v="IN STOCK"/>
    <n v="4.3"/>
    <n v="4.3"/>
    <b v="0"/>
    <x v="0"/>
    <m/>
  </r>
  <r>
    <s v="FB000043"/>
    <x v="0"/>
    <x v="0"/>
    <x v="1"/>
    <s v="XL"/>
    <s v="XS"/>
    <s v="Navy"/>
    <n v="216.16"/>
    <n v="0.51400000000000001"/>
    <n v="51.4"/>
    <n v="111.10624"/>
    <s v="high Discount"/>
    <n v="105.05"/>
    <s v="High Loss"/>
    <d v="2025-08-06T00:00:00"/>
    <n v="36"/>
    <s v="IN STOCK"/>
    <n v="4"/>
    <n v="4"/>
    <b v="0"/>
    <x v="0"/>
    <m/>
  </r>
  <r>
    <s v="FB000044"/>
    <x v="3"/>
    <x v="0"/>
    <x v="0"/>
    <s v="L"/>
    <s v="XL"/>
    <s v="Pink"/>
    <n v="129.85"/>
    <n v="0"/>
    <n v="0"/>
    <n v="0"/>
    <s v="No Discount"/>
    <n v="129.85"/>
    <s v="No Loss"/>
    <d v="2025-04-25T00:00:00"/>
    <n v="36"/>
    <s v="IN STOCK"/>
    <n v="3.3"/>
    <n v="3.3"/>
    <b v="0"/>
    <x v="0"/>
    <m/>
  </r>
  <r>
    <s v="FB000045"/>
    <x v="1"/>
    <x v="2"/>
    <x v="1"/>
    <s v="OS"/>
    <s v="XXL"/>
    <s v="Green"/>
    <n v="111.3"/>
    <n v="0"/>
    <n v="0"/>
    <n v="0"/>
    <s v="No Discount"/>
    <n v="111.3"/>
    <s v="No Loss"/>
    <d v="2025-08-06T00:00:00"/>
    <n v="11"/>
    <s v="IN STOCK"/>
    <n v="1.7"/>
    <n v="1.7"/>
    <b v="0"/>
    <x v="0"/>
    <m/>
  </r>
  <r>
    <s v="FB000046"/>
    <x v="5"/>
    <x v="1"/>
    <x v="3"/>
    <s v="XL"/>
    <s v="XL"/>
    <s v="Brown"/>
    <n v="73.650000000000006"/>
    <n v="0"/>
    <n v="0"/>
    <n v="0"/>
    <s v="No Discount"/>
    <n v="73.650000000000006"/>
    <s v="No Loss"/>
    <d v="2025-08-06T00:00:00"/>
    <n v="33"/>
    <s v="IN STOCK"/>
    <n v="3.6"/>
    <n v="3.6"/>
    <b v="0"/>
    <x v="0"/>
    <m/>
  </r>
  <r>
    <s v="FB000047"/>
    <x v="3"/>
    <x v="3"/>
    <x v="3"/>
    <s v="OS"/>
    <s v="L"/>
    <s v="Pink"/>
    <n v="147.13"/>
    <n v="0.30299999999999999"/>
    <n v="30.3"/>
    <n v="44.580389999999994"/>
    <s v="high Discount"/>
    <n v="102.55"/>
    <s v="High Loss"/>
    <d v="2025-08-06T00:00:00"/>
    <n v="13"/>
    <s v="IN STOCK"/>
    <n v="4.4000000000000004"/>
    <n v="4.4000000000000004"/>
    <b v="0"/>
    <x v="0"/>
    <m/>
  </r>
  <r>
    <s v="FB000048"/>
    <x v="2"/>
    <x v="5"/>
    <x v="1"/>
    <s v="M"/>
    <m/>
    <s v="Green"/>
    <n v="44.6"/>
    <n v="0.53900000000000003"/>
    <n v="53.9"/>
    <n v="24.039400000000001"/>
    <s v="high Discount"/>
    <n v="20.56"/>
    <s v="High Loss"/>
    <d v="2025-08-06T00:00:00"/>
    <n v="42"/>
    <s v="IN STOCK"/>
    <n v="2.4"/>
    <n v="2.4"/>
    <b v="0"/>
    <x v="0"/>
    <m/>
  </r>
  <r>
    <s v="FB000049"/>
    <x v="4"/>
    <x v="7"/>
    <x v="3"/>
    <s v="S"/>
    <s v="XL"/>
    <s v="White"/>
    <n v="101.8"/>
    <n v="0"/>
    <n v="0"/>
    <n v="0"/>
    <s v="No Discount"/>
    <n v="101.8"/>
    <s v="No Loss"/>
    <d v="2025-08-06T00:00:00"/>
    <n v="7"/>
    <s v="LOW STOCK"/>
    <n v="2.8"/>
    <n v="2.8"/>
    <b v="0"/>
    <x v="0"/>
    <m/>
  </r>
  <r>
    <s v="FB000050"/>
    <x v="2"/>
    <x v="2"/>
    <x v="3"/>
    <s v="S"/>
    <m/>
    <s v="Brown"/>
    <n v="16.52"/>
    <n v="0.55899999999999994"/>
    <n v="55.9"/>
    <n v="9.2346799999999991"/>
    <s v="high Discount"/>
    <n v="7.29"/>
    <s v="Low Loss"/>
    <d v="2025-08-06T00:00:00"/>
    <n v="43"/>
    <s v="IN STOCK"/>
    <n v="0"/>
    <m/>
    <b v="0"/>
    <x v="0"/>
    <m/>
  </r>
  <r>
    <s v="FB000051"/>
    <x v="4"/>
    <x v="4"/>
    <x v="2"/>
    <s v="S"/>
    <s v="M"/>
    <s v="Beige"/>
    <n v="50.91"/>
    <n v="0"/>
    <n v="0"/>
    <n v="0"/>
    <s v="No Discount"/>
    <n v="50.91"/>
    <s v="No Loss"/>
    <d v="2025-08-06T00:00:00"/>
    <n v="3"/>
    <s v="LOW STOCK"/>
    <n v="1.8"/>
    <n v="1.8"/>
    <b v="0"/>
    <x v="0"/>
    <m/>
  </r>
  <r>
    <s v="FB000052"/>
    <x v="0"/>
    <x v="7"/>
    <x v="0"/>
    <s v="OS"/>
    <s v="S"/>
    <s v="White"/>
    <n v="222.26"/>
    <n v="0"/>
    <n v="0"/>
    <n v="0"/>
    <s v="No Discount"/>
    <n v="222.26"/>
    <s v="No Loss"/>
    <d v="2025-05-03T00:00:00"/>
    <n v="50"/>
    <s v="IN STOCK"/>
    <n v="4.5"/>
    <n v="4.5"/>
    <b v="0"/>
    <x v="0"/>
    <m/>
  </r>
  <r>
    <s v="FB000053"/>
    <x v="3"/>
    <x v="6"/>
    <x v="3"/>
    <s v="S"/>
    <s v="S"/>
    <s v="Navy"/>
    <n v="104.14"/>
    <n v="0.57100000000000006"/>
    <n v="57.1"/>
    <n v="59.463940000000008"/>
    <s v="high Discount"/>
    <n v="44.68"/>
    <s v="High Loss"/>
    <d v="2025-08-06T00:00:00"/>
    <n v="14"/>
    <s v="IN STOCK"/>
    <n v="1.8"/>
    <n v="1.8"/>
    <b v="0"/>
    <x v="0"/>
    <m/>
  </r>
  <r>
    <s v="FB000054"/>
    <x v="0"/>
    <x v="0"/>
    <x v="0"/>
    <s v="S"/>
    <s v="S"/>
    <s v="White"/>
    <n v="166.76"/>
    <n v="0"/>
    <n v="0"/>
    <n v="0"/>
    <s v="No Discount"/>
    <n v="166.76"/>
    <s v="No Loss"/>
    <d v="2025-06-12T00:00:00"/>
    <n v="21"/>
    <s v="IN STOCK"/>
    <n v="4.2"/>
    <n v="4.2"/>
    <b v="0"/>
    <x v="0"/>
    <m/>
  </r>
  <r>
    <s v="FB000055"/>
    <x v="2"/>
    <x v="2"/>
    <x v="2"/>
    <s v="XL"/>
    <m/>
    <s v="Black"/>
    <n v="44.13"/>
    <n v="0.50900000000000001"/>
    <n v="50.9"/>
    <n v="22.46217"/>
    <s v="high Discount"/>
    <n v="21.67"/>
    <s v="High Loss"/>
    <d v="2025-08-06T00:00:00"/>
    <n v="21"/>
    <s v="IN STOCK"/>
    <n v="3"/>
    <n v="3"/>
    <b v="0"/>
    <x v="0"/>
    <m/>
  </r>
  <r>
    <s v="FB000056"/>
    <x v="0"/>
    <x v="6"/>
    <x v="3"/>
    <s v="XS"/>
    <s v="S"/>
    <s v="Green"/>
    <n v="121.29"/>
    <n v="0.152"/>
    <n v="15.2"/>
    <n v="18.43608"/>
    <s v="Low Discount"/>
    <n v="102.85"/>
    <s v="Medium Loss"/>
    <d v="2025-08-06T00:00:00"/>
    <n v="42"/>
    <s v="IN STOCK"/>
    <n v="0"/>
    <m/>
    <b v="0"/>
    <x v="0"/>
    <m/>
  </r>
  <r>
    <s v="FB000057"/>
    <x v="1"/>
    <x v="4"/>
    <x v="0"/>
    <s v="XXL"/>
    <s v="S"/>
    <s v="Beige"/>
    <n v="73.709999999999994"/>
    <n v="0"/>
    <n v="0"/>
    <n v="0"/>
    <s v="No Discount"/>
    <n v="73.709999999999994"/>
    <s v="No Loss"/>
    <d v="2025-07-10T00:00:00"/>
    <n v="35"/>
    <s v="IN STOCK"/>
    <n v="3.9"/>
    <n v="3.9"/>
    <b v="1"/>
    <x v="4"/>
    <s v="Quality Issue"/>
  </r>
  <r>
    <s v="FB000058"/>
    <x v="4"/>
    <x v="0"/>
    <x v="0"/>
    <s v="M"/>
    <s v="XL"/>
    <s v="Brown"/>
    <n v="84.07"/>
    <n v="0.26300000000000001"/>
    <n v="26.3"/>
    <n v="22.110409999999998"/>
    <s v="Medium Discount"/>
    <n v="61.96"/>
    <s v="High Loss"/>
    <d v="2024-10-25T00:00:00"/>
    <n v="19"/>
    <s v="IN STOCK"/>
    <n v="2.2999999999999998"/>
    <n v="2.2999999999999998"/>
    <b v="1"/>
    <x v="2"/>
    <s v="Size Issue"/>
  </r>
  <r>
    <s v="FB000059"/>
    <x v="1"/>
    <x v="3"/>
    <x v="3"/>
    <s v="M"/>
    <s v="XS"/>
    <s v="Black"/>
    <n v="28.59"/>
    <n v="0"/>
    <n v="0"/>
    <n v="0"/>
    <s v="No Discount"/>
    <n v="28.59"/>
    <s v="No Loss"/>
    <d v="2025-08-06T00:00:00"/>
    <n v="39"/>
    <s v="IN STOCK"/>
    <n v="1.4"/>
    <n v="1.4"/>
    <b v="0"/>
    <x v="0"/>
    <m/>
  </r>
  <r>
    <s v="FB000060"/>
    <x v="3"/>
    <x v="3"/>
    <x v="1"/>
    <s v="OS"/>
    <s v="XXL"/>
    <s v="Blue"/>
    <n v="166.49"/>
    <n v="2.6000000000000002E-2"/>
    <n v="2.6"/>
    <n v="4.3287400000000007"/>
    <s v="Low Discount"/>
    <n v="162.16"/>
    <s v="Low Loss"/>
    <d v="2025-08-06T00:00:00"/>
    <n v="27"/>
    <s v="IN STOCK"/>
    <n v="0"/>
    <m/>
    <b v="0"/>
    <x v="0"/>
    <m/>
  </r>
  <r>
    <s v="FB000061"/>
    <x v="3"/>
    <x v="5"/>
    <x v="3"/>
    <s v="OS"/>
    <s v="M"/>
    <s v="White"/>
    <n v="145.94999999999999"/>
    <n v="6.6000000000000003E-2"/>
    <n v="6.6"/>
    <n v="9.6326999999999998"/>
    <s v="Low Discount"/>
    <n v="136.32"/>
    <s v="Low Loss"/>
    <d v="2025-08-06T00:00:00"/>
    <n v="15"/>
    <s v="IN STOCK"/>
    <n v="4"/>
    <n v="4"/>
    <b v="0"/>
    <x v="0"/>
    <m/>
  </r>
  <r>
    <s v="FB000062"/>
    <x v="0"/>
    <x v="6"/>
    <x v="2"/>
    <s v="XS"/>
    <s v="M"/>
    <s v="Purple"/>
    <n v="218.42"/>
    <n v="0"/>
    <n v="0"/>
    <n v="0"/>
    <s v="No Discount"/>
    <n v="218.42"/>
    <s v="No Loss"/>
    <d v="2025-08-06T00:00:00"/>
    <n v="33"/>
    <s v="IN STOCK"/>
    <n v="4.4000000000000004"/>
    <n v="4.4000000000000004"/>
    <b v="1"/>
    <x v="5"/>
    <s v="Changed Mind"/>
  </r>
  <r>
    <s v="FB000063"/>
    <x v="2"/>
    <x v="7"/>
    <x v="1"/>
    <s v="XS"/>
    <m/>
    <s v="White"/>
    <n v="46.17"/>
    <n v="1.1000000000000001E-2"/>
    <n v="1.1000000000000001"/>
    <n v="0.50787000000000004"/>
    <s v="Low Discount"/>
    <n v="45.66"/>
    <s v="Low Loss"/>
    <d v="2025-08-06T00:00:00"/>
    <n v="30"/>
    <s v="IN STOCK"/>
    <n v="1.9"/>
    <n v="1.9"/>
    <b v="0"/>
    <x v="0"/>
    <m/>
  </r>
  <r>
    <s v="FB000064"/>
    <x v="3"/>
    <x v="4"/>
    <x v="3"/>
    <s v="OS"/>
    <m/>
    <s v="Green"/>
    <n v="106.18"/>
    <n v="0.18"/>
    <n v="18"/>
    <n v="19.112400000000001"/>
    <s v="Low Discount"/>
    <n v="87.07"/>
    <s v="Medium Loss"/>
    <d v="2025-08-06T00:00:00"/>
    <n v="11"/>
    <s v="IN STOCK"/>
    <n v="4.5"/>
    <n v="4.5"/>
    <b v="0"/>
    <x v="0"/>
    <m/>
  </r>
  <r>
    <s v="FB000065"/>
    <x v="1"/>
    <x v="0"/>
    <x v="1"/>
    <s v="XL"/>
    <s v="XS"/>
    <s v="Gray"/>
    <n v="93.33"/>
    <n v="2.4E-2"/>
    <n v="2.4"/>
    <n v="2.2399200000000001"/>
    <s v="Low Discount"/>
    <n v="91.09"/>
    <s v="Low Loss"/>
    <d v="2025-08-06T00:00:00"/>
    <n v="20"/>
    <s v="IN STOCK"/>
    <n v="4.2"/>
    <n v="4.2"/>
    <b v="0"/>
    <x v="0"/>
    <m/>
  </r>
  <r>
    <s v="FB000066"/>
    <x v="4"/>
    <x v="3"/>
    <x v="0"/>
    <s v="XS"/>
    <s v="XS"/>
    <s v="White"/>
    <n v="86.54"/>
    <n v="0.217"/>
    <n v="21.7"/>
    <n v="18.77918"/>
    <s v="Medium Discount"/>
    <n v="67.760000000000005"/>
    <s v="Medium Loss"/>
    <d v="2025-06-01T00:00:00"/>
    <n v="21"/>
    <s v="IN STOCK"/>
    <n v="3.6"/>
    <n v="3.6"/>
    <b v="1"/>
    <x v="5"/>
    <s v="Changed Mind"/>
  </r>
  <r>
    <s v="FB000067"/>
    <x v="2"/>
    <x v="5"/>
    <x v="3"/>
    <s v="XL"/>
    <m/>
    <s v="Green"/>
    <n v="55.57"/>
    <n v="0"/>
    <n v="0"/>
    <n v="0"/>
    <s v="No Discount"/>
    <n v="55.57"/>
    <s v="No Loss"/>
    <d v="2025-08-06T00:00:00"/>
    <n v="44"/>
    <s v="IN STOCK"/>
    <n v="3.8"/>
    <n v="3.8"/>
    <b v="0"/>
    <x v="0"/>
    <m/>
  </r>
  <r>
    <s v="FB000068"/>
    <x v="1"/>
    <x v="7"/>
    <x v="0"/>
    <s v="XL"/>
    <s v="XL"/>
    <s v="Black"/>
    <n v="76.5"/>
    <n v="0"/>
    <n v="0"/>
    <n v="0"/>
    <s v="No Discount"/>
    <n v="76.5"/>
    <s v="No Loss"/>
    <d v="2025-01-26T00:00:00"/>
    <n v="17"/>
    <s v="IN STOCK"/>
    <n v="4.5999999999999996"/>
    <n v="4.5999999999999996"/>
    <b v="0"/>
    <x v="0"/>
    <m/>
  </r>
  <r>
    <s v="FB000069"/>
    <x v="5"/>
    <x v="7"/>
    <x v="0"/>
    <s v="XXL"/>
    <s v="XS"/>
    <s v="Green"/>
    <n v="137.19"/>
    <n v="9.5000000000000001E-2"/>
    <n v="9.5"/>
    <n v="13.033049999999999"/>
    <s v="Low Discount"/>
    <n v="124.16"/>
    <s v="Medium Loss"/>
    <d v="2025-04-01T00:00:00"/>
    <n v="17"/>
    <s v="IN STOCK"/>
    <n v="0"/>
    <m/>
    <b v="0"/>
    <x v="0"/>
    <m/>
  </r>
  <r>
    <s v="FB000070"/>
    <x v="1"/>
    <x v="0"/>
    <x v="3"/>
    <s v="M"/>
    <s v="XL"/>
    <s v="Purple"/>
    <n v="48.92"/>
    <n v="0.19800000000000001"/>
    <n v="19.8"/>
    <n v="9.686160000000001"/>
    <s v="Low Discount"/>
    <n v="39.229999999999997"/>
    <s v="Low Loss"/>
    <d v="2025-08-06T00:00:00"/>
    <n v="17"/>
    <s v="IN STOCK"/>
    <n v="2.6"/>
    <n v="2.6"/>
    <b v="0"/>
    <x v="0"/>
    <m/>
  </r>
  <r>
    <s v="FB000071"/>
    <x v="3"/>
    <x v="5"/>
    <x v="1"/>
    <s v="XS"/>
    <s v="XL"/>
    <s v="White"/>
    <n v="69.819999999999993"/>
    <n v="0"/>
    <n v="0"/>
    <n v="0"/>
    <s v="No Discount"/>
    <n v="69.819999999999993"/>
    <s v="No Loss"/>
    <d v="2025-08-06T00:00:00"/>
    <n v="46"/>
    <s v="IN STOCK"/>
    <n v="0"/>
    <m/>
    <b v="1"/>
    <x v="6"/>
    <s v="Wrong Item"/>
  </r>
  <r>
    <s v="FB000072"/>
    <x v="0"/>
    <x v="3"/>
    <x v="3"/>
    <s v="XS"/>
    <s v="XXL"/>
    <s v="Red"/>
    <n v="199.39"/>
    <n v="7.400000000000001E-2"/>
    <n v="7.4"/>
    <n v="14.754860000000001"/>
    <s v="Low Discount"/>
    <n v="184.64"/>
    <s v="Medium Loss"/>
    <d v="2025-08-06T00:00:00"/>
    <n v="49"/>
    <s v="IN STOCK"/>
    <n v="0"/>
    <m/>
    <b v="0"/>
    <x v="0"/>
    <m/>
  </r>
  <r>
    <s v="FB000073"/>
    <x v="0"/>
    <x v="2"/>
    <x v="3"/>
    <s v="XL"/>
    <s v="M"/>
    <s v="White"/>
    <n v="222.09"/>
    <n v="0.55200000000000005"/>
    <n v="55.2"/>
    <n v="122.59368000000001"/>
    <s v="high Discount"/>
    <n v="99.5"/>
    <s v="High Loss"/>
    <d v="2025-08-06T00:00:00"/>
    <n v="21"/>
    <s v="IN STOCK"/>
    <n v="4.5"/>
    <n v="4.5"/>
    <b v="0"/>
    <x v="0"/>
    <m/>
  </r>
  <r>
    <s v="FB000074"/>
    <x v="1"/>
    <x v="3"/>
    <x v="2"/>
    <s v="XXL"/>
    <s v="XS"/>
    <s v="Red"/>
    <n v="112.86"/>
    <n v="0"/>
    <n v="0"/>
    <n v="0"/>
    <s v="No Discount"/>
    <n v="112.86"/>
    <s v="No Loss"/>
    <d v="2025-08-06T00:00:00"/>
    <n v="8"/>
    <s v="LOW STOCK"/>
    <n v="2.9"/>
    <n v="2.9"/>
    <b v="0"/>
    <x v="0"/>
    <m/>
  </r>
  <r>
    <s v="FB000075"/>
    <x v="5"/>
    <x v="3"/>
    <x v="0"/>
    <s v="OS"/>
    <s v="XS"/>
    <s v="Green"/>
    <n v="100.96"/>
    <n v="0"/>
    <n v="0"/>
    <n v="0"/>
    <s v="No Discount"/>
    <n v="100.96"/>
    <s v="No Loss"/>
    <d v="2025-05-10T00:00:00"/>
    <n v="32"/>
    <s v="IN STOCK"/>
    <n v="3.3"/>
    <n v="3.3"/>
    <b v="0"/>
    <x v="0"/>
    <m/>
  </r>
  <r>
    <s v="FB000076"/>
    <x v="0"/>
    <x v="6"/>
    <x v="0"/>
    <s v="S"/>
    <s v="XL"/>
    <s v="Green"/>
    <n v="243.56"/>
    <n v="0.48"/>
    <n v="48"/>
    <n v="116.9088"/>
    <s v="high Discount"/>
    <n v="126.65"/>
    <s v="High Loss"/>
    <d v="2024-10-14T00:00:00"/>
    <n v="22"/>
    <s v="IN STOCK"/>
    <n v="4.4000000000000004"/>
    <n v="4.4000000000000004"/>
    <b v="1"/>
    <x v="5"/>
    <s v="Changed Mind"/>
  </r>
  <r>
    <s v="FB000077"/>
    <x v="5"/>
    <x v="3"/>
    <x v="0"/>
    <s v="OS"/>
    <s v="XXL"/>
    <s v="Red"/>
    <n v="153.32"/>
    <n v="0"/>
    <n v="0"/>
    <n v="0"/>
    <s v="No Discount"/>
    <n v="153.32"/>
    <s v="No Loss"/>
    <d v="2024-09-13T00:00:00"/>
    <n v="43"/>
    <s v="IN STOCK"/>
    <n v="2.9"/>
    <n v="2.9"/>
    <b v="0"/>
    <x v="0"/>
    <m/>
  </r>
  <r>
    <s v="FB000078"/>
    <x v="2"/>
    <x v="1"/>
    <x v="2"/>
    <s v="S"/>
    <m/>
    <s v="Purple"/>
    <n v="42.95"/>
    <n v="0.22500000000000001"/>
    <n v="22.5"/>
    <n v="9.6637500000000003"/>
    <s v="Medium Discount"/>
    <n v="33.29"/>
    <s v="Low Loss"/>
    <d v="2025-08-06T00:00:00"/>
    <n v="7"/>
    <s v="LOW STOCK"/>
    <n v="1.9"/>
    <n v="1.9"/>
    <b v="1"/>
    <x v="2"/>
    <s v="Size Issue"/>
  </r>
  <r>
    <s v="FB000079"/>
    <x v="1"/>
    <x v="4"/>
    <x v="3"/>
    <s v="M"/>
    <s v="S"/>
    <s v="Green"/>
    <n v="30.79"/>
    <n v="0"/>
    <n v="0"/>
    <n v="0"/>
    <s v="No Discount"/>
    <n v="30.79"/>
    <s v="No Loss"/>
    <d v="2025-08-06T00:00:00"/>
    <n v="36"/>
    <s v="IN STOCK"/>
    <n v="3.4"/>
    <n v="3.4"/>
    <b v="0"/>
    <x v="0"/>
    <m/>
  </r>
  <r>
    <s v="FB000080"/>
    <x v="2"/>
    <x v="1"/>
    <x v="2"/>
    <s v="S"/>
    <m/>
    <s v="Brown"/>
    <n v="59.85"/>
    <n v="0"/>
    <n v="0"/>
    <n v="0"/>
    <s v="No Discount"/>
    <n v="59.85"/>
    <s v="No Loss"/>
    <d v="2025-08-06T00:00:00"/>
    <n v="38"/>
    <s v="IN STOCK"/>
    <n v="4"/>
    <n v="4"/>
    <b v="0"/>
    <x v="0"/>
    <m/>
  </r>
  <r>
    <s v="FB000081"/>
    <x v="1"/>
    <x v="2"/>
    <x v="0"/>
    <s v="XS"/>
    <s v="S"/>
    <s v="Navy"/>
    <n v="78.16"/>
    <n v="0.191"/>
    <n v="19.100000000000001"/>
    <n v="14.928559999999999"/>
    <s v="Low Discount"/>
    <n v="63.23"/>
    <s v="Medium Loss"/>
    <d v="2025-07-25T00:00:00"/>
    <n v="23"/>
    <s v="IN STOCK"/>
    <n v="0"/>
    <m/>
    <b v="0"/>
    <x v="0"/>
    <m/>
  </r>
  <r>
    <s v="FB000082"/>
    <x v="1"/>
    <x v="5"/>
    <x v="2"/>
    <s v="XL"/>
    <s v="M"/>
    <s v="White"/>
    <n v="113.17"/>
    <n v="0.191"/>
    <n v="19.100000000000001"/>
    <n v="21.615470000000002"/>
    <s v="Low Discount"/>
    <n v="91.55"/>
    <s v="High Loss"/>
    <d v="2025-08-06T00:00:00"/>
    <n v="15"/>
    <s v="IN STOCK"/>
    <n v="4.9000000000000004"/>
    <n v="4.9000000000000004"/>
    <b v="0"/>
    <x v="0"/>
    <m/>
  </r>
  <r>
    <s v="FB000083"/>
    <x v="5"/>
    <x v="5"/>
    <x v="1"/>
    <s v="XS"/>
    <s v="S"/>
    <s v="Blue"/>
    <n v="174.13"/>
    <n v="0"/>
    <n v="0"/>
    <n v="0"/>
    <s v="No Discount"/>
    <n v="174.13"/>
    <s v="No Loss"/>
    <d v="2025-08-06T00:00:00"/>
    <n v="34"/>
    <s v="IN STOCK"/>
    <n v="3.7"/>
    <n v="3.7"/>
    <b v="0"/>
    <x v="0"/>
    <m/>
  </r>
  <r>
    <s v="FB000084"/>
    <x v="3"/>
    <x v="0"/>
    <x v="3"/>
    <s v="M"/>
    <s v="XS"/>
    <s v="Purple"/>
    <n v="191.96"/>
    <n v="0"/>
    <n v="0"/>
    <n v="0"/>
    <s v="No Discount"/>
    <n v="191.96"/>
    <s v="No Loss"/>
    <d v="2025-08-06T00:00:00"/>
    <n v="50"/>
    <s v="IN STOCK"/>
    <n v="0"/>
    <m/>
    <b v="0"/>
    <x v="0"/>
    <m/>
  </r>
  <r>
    <s v="FB000085"/>
    <x v="0"/>
    <x v="5"/>
    <x v="0"/>
    <s v="S"/>
    <s v="XL"/>
    <s v="Beige"/>
    <n v="222.55"/>
    <n v="0.22600000000000001"/>
    <n v="22.6"/>
    <n v="50.296300000000002"/>
    <s v="Medium Discount"/>
    <n v="172.25"/>
    <s v="High Loss"/>
    <d v="2025-02-10T00:00:00"/>
    <n v="50"/>
    <s v="IN STOCK"/>
    <n v="0"/>
    <m/>
    <b v="0"/>
    <x v="0"/>
    <m/>
  </r>
  <r>
    <s v="FB000086"/>
    <x v="4"/>
    <x v="7"/>
    <x v="1"/>
    <s v="M"/>
    <s v="XS"/>
    <s v="Black"/>
    <n v="37.85"/>
    <n v="0.11900000000000001"/>
    <n v="11.9"/>
    <n v="4.5041500000000001"/>
    <s v="Low Discount"/>
    <n v="33.35"/>
    <s v="Low Loss"/>
    <d v="2025-08-06T00:00:00"/>
    <n v="45"/>
    <s v="IN STOCK"/>
    <n v="3.4"/>
    <n v="3.4"/>
    <b v="1"/>
    <x v="5"/>
    <s v="Changed Mind"/>
  </r>
  <r>
    <s v="FB000087"/>
    <x v="0"/>
    <x v="1"/>
    <x v="3"/>
    <s v="XXL"/>
    <s v="M"/>
    <s v="Gray"/>
    <n v="241.09"/>
    <n v="0"/>
    <n v="0"/>
    <n v="0"/>
    <s v="No Discount"/>
    <n v="241.09"/>
    <s v="No Loss"/>
    <d v="2025-08-06T00:00:00"/>
    <n v="26"/>
    <s v="IN STOCK"/>
    <n v="0"/>
    <m/>
    <b v="0"/>
    <x v="0"/>
    <m/>
  </r>
  <r>
    <s v="FB000088"/>
    <x v="5"/>
    <x v="2"/>
    <x v="0"/>
    <s v="S"/>
    <s v="S"/>
    <s v="Navy"/>
    <n v="136.97"/>
    <n v="0"/>
    <n v="0"/>
    <n v="0"/>
    <s v="No Discount"/>
    <n v="136.97"/>
    <s v="No Loss"/>
    <d v="2024-10-25T00:00:00"/>
    <n v="17"/>
    <s v="IN STOCK"/>
    <n v="4.4000000000000004"/>
    <n v="4.4000000000000004"/>
    <b v="1"/>
    <x v="4"/>
    <s v="Quality Issue"/>
  </r>
  <r>
    <s v="FB000089"/>
    <x v="3"/>
    <x v="4"/>
    <x v="0"/>
    <s v="OS"/>
    <s v="M"/>
    <s v="Blue"/>
    <n v="113.79"/>
    <n v="0.55299999999999994"/>
    <n v="55.3"/>
    <n v="62.925869999999996"/>
    <s v="high Discount"/>
    <n v="50.86"/>
    <s v="High Loss"/>
    <d v="2024-12-29T00:00:00"/>
    <n v="47"/>
    <s v="IN STOCK"/>
    <n v="4.0999999999999996"/>
    <n v="4.0999999999999996"/>
    <b v="0"/>
    <x v="0"/>
    <m/>
  </r>
  <r>
    <s v="FB000090"/>
    <x v="4"/>
    <x v="4"/>
    <x v="3"/>
    <s v="S"/>
    <s v="XXL"/>
    <s v="White"/>
    <n v="93.23"/>
    <n v="0.4"/>
    <n v="40"/>
    <n v="37.292000000000002"/>
    <s v="high Discount"/>
    <n v="55.94"/>
    <s v="High Loss"/>
    <d v="2025-08-06T00:00:00"/>
    <n v="46"/>
    <s v="IN STOCK"/>
    <n v="1.9"/>
    <n v="1.9"/>
    <b v="0"/>
    <x v="0"/>
    <m/>
  </r>
  <r>
    <s v="FB000091"/>
    <x v="3"/>
    <x v="1"/>
    <x v="0"/>
    <s v="XS"/>
    <s v="S"/>
    <s v="Navy"/>
    <n v="106.24"/>
    <n v="6.4000000000000001E-2"/>
    <n v="6.4"/>
    <n v="6.7993600000000001"/>
    <s v="Low Discount"/>
    <n v="99.44"/>
    <s v="Low Loss"/>
    <d v="2024-09-09T00:00:00"/>
    <n v="50"/>
    <s v="IN STOCK"/>
    <n v="1.5"/>
    <n v="1.5"/>
    <b v="0"/>
    <x v="0"/>
    <m/>
  </r>
  <r>
    <s v="FB000092"/>
    <x v="2"/>
    <x v="0"/>
    <x v="1"/>
    <s v="XS"/>
    <m/>
    <s v="Brown"/>
    <n v="30.95"/>
    <n v="0"/>
    <n v="0"/>
    <n v="0"/>
    <s v="No Discount"/>
    <n v="30.95"/>
    <s v="No Loss"/>
    <d v="2025-08-06T00:00:00"/>
    <n v="27"/>
    <s v="IN STOCK"/>
    <n v="3.1"/>
    <n v="3.1"/>
    <b v="1"/>
    <x v="5"/>
    <s v="Changed Mind"/>
  </r>
  <r>
    <s v="FB000093"/>
    <x v="3"/>
    <x v="0"/>
    <x v="3"/>
    <s v="OS"/>
    <s v="S"/>
    <s v="Black"/>
    <n v="76.92"/>
    <n v="0.495"/>
    <n v="49.5"/>
    <n v="38.075400000000002"/>
    <s v="high Discount"/>
    <n v="38.840000000000003"/>
    <s v="High Loss"/>
    <d v="2025-08-06T00:00:00"/>
    <n v="7"/>
    <s v="LOW STOCK"/>
    <n v="1.1000000000000001"/>
    <n v="1.1000000000000001"/>
    <b v="0"/>
    <x v="0"/>
    <m/>
  </r>
  <r>
    <s v="FB000094"/>
    <x v="4"/>
    <x v="4"/>
    <x v="2"/>
    <s v="M"/>
    <s v="XS"/>
    <s v="Beige"/>
    <n v="80.64"/>
    <n v="0"/>
    <n v="0"/>
    <n v="0"/>
    <s v="No Discount"/>
    <n v="80.64"/>
    <s v="No Loss"/>
    <d v="2025-08-06T00:00:00"/>
    <n v="26"/>
    <s v="IN STOCK"/>
    <n v="0"/>
    <m/>
    <b v="0"/>
    <x v="0"/>
    <m/>
  </r>
  <r>
    <s v="FB000095"/>
    <x v="4"/>
    <x v="0"/>
    <x v="2"/>
    <s v="XXL"/>
    <s v="XS"/>
    <s v="Beige"/>
    <n v="32.46"/>
    <n v="0.52400000000000002"/>
    <n v="52.4"/>
    <n v="17.009040000000002"/>
    <s v="high Discount"/>
    <n v="15.45"/>
    <s v="Medium Loss"/>
    <d v="2025-08-06T00:00:00"/>
    <n v="14"/>
    <s v="IN STOCK"/>
    <n v="3.9"/>
    <n v="3.9"/>
    <b v="0"/>
    <x v="0"/>
    <m/>
  </r>
  <r>
    <s v="FB000096"/>
    <x v="2"/>
    <x v="6"/>
    <x v="3"/>
    <s v="XS"/>
    <m/>
    <s v="Black"/>
    <n v="54.79"/>
    <n v="0"/>
    <n v="0"/>
    <n v="0"/>
    <s v="No Discount"/>
    <n v="54.79"/>
    <s v="No Loss"/>
    <d v="2025-08-06T00:00:00"/>
    <n v="12"/>
    <s v="IN STOCK"/>
    <n v="4.5"/>
    <n v="4.5"/>
    <b v="0"/>
    <x v="0"/>
    <m/>
  </r>
  <r>
    <s v="FB000097"/>
    <x v="4"/>
    <x v="4"/>
    <x v="1"/>
    <s v="L"/>
    <s v="M"/>
    <s v="Pink"/>
    <n v="71.14"/>
    <n v="0.56399999999999995"/>
    <n v="56.4"/>
    <n v="40.122959999999999"/>
    <s v="high Discount"/>
    <n v="31.02"/>
    <s v="High Loss"/>
    <d v="2025-08-06T00:00:00"/>
    <n v="12"/>
    <s v="IN STOCK"/>
    <n v="3.4"/>
    <n v="3.4"/>
    <b v="0"/>
    <x v="0"/>
    <m/>
  </r>
  <r>
    <s v="FB000098"/>
    <x v="4"/>
    <x v="5"/>
    <x v="3"/>
    <s v="L"/>
    <s v="XXL"/>
    <s v="Navy"/>
    <n v="57.85"/>
    <n v="0"/>
    <n v="0"/>
    <n v="0"/>
    <s v="No Discount"/>
    <n v="57.85"/>
    <s v="No Loss"/>
    <d v="2025-08-06T00:00:00"/>
    <n v="36"/>
    <s v="IN STOCK"/>
    <n v="3.5"/>
    <n v="3.5"/>
    <b v="0"/>
    <x v="0"/>
    <m/>
  </r>
  <r>
    <s v="FB000099"/>
    <x v="4"/>
    <x v="0"/>
    <x v="3"/>
    <s v="S"/>
    <s v="XS"/>
    <s v="Green"/>
    <n v="33.369999999999997"/>
    <n v="0.03"/>
    <n v="3"/>
    <n v="1.0010999999999999"/>
    <s v="Low Discount"/>
    <n v="32.369999999999997"/>
    <s v="Low Loss"/>
    <d v="2025-08-06T00:00:00"/>
    <n v="40"/>
    <s v="IN STOCK"/>
    <n v="1.3"/>
    <n v="1.3"/>
    <b v="0"/>
    <x v="0"/>
    <m/>
  </r>
  <r>
    <s v="FB000100"/>
    <x v="1"/>
    <x v="6"/>
    <x v="3"/>
    <s v="S"/>
    <s v="L"/>
    <s v="Black"/>
    <n v="91.83"/>
    <n v="0"/>
    <n v="0"/>
    <n v="0"/>
    <s v="No Discount"/>
    <n v="91.83"/>
    <s v="No Loss"/>
    <d v="2025-08-06T00:00:00"/>
    <n v="39"/>
    <s v="IN STOCK"/>
    <n v="4.9000000000000004"/>
    <n v="4.9000000000000004"/>
    <b v="0"/>
    <x v="0"/>
    <m/>
  </r>
  <r>
    <s v="FB000101"/>
    <x v="4"/>
    <x v="0"/>
    <x v="2"/>
    <s v="L"/>
    <s v="L"/>
    <s v="White"/>
    <n v="60.12"/>
    <n v="0.19500000000000001"/>
    <n v="19.5"/>
    <n v="11.7234"/>
    <s v="Low Discount"/>
    <n v="48.4"/>
    <s v="Medium Loss"/>
    <d v="2025-08-06T00:00:00"/>
    <n v="42"/>
    <s v="IN STOCK"/>
    <n v="1"/>
    <n v="1"/>
    <b v="0"/>
    <x v="0"/>
    <m/>
  </r>
  <r>
    <s v="FB000102"/>
    <x v="5"/>
    <x v="2"/>
    <x v="1"/>
    <s v="S"/>
    <s v="S"/>
    <s v="White"/>
    <n v="163.5"/>
    <n v="0"/>
    <n v="0"/>
    <n v="0"/>
    <s v="No Discount"/>
    <n v="163.5"/>
    <s v="No Loss"/>
    <d v="2025-08-06T00:00:00"/>
    <n v="34"/>
    <s v="IN STOCK"/>
    <n v="4.9000000000000004"/>
    <n v="4.9000000000000004"/>
    <b v="0"/>
    <x v="0"/>
    <m/>
  </r>
  <r>
    <s v="FB000103"/>
    <x v="5"/>
    <x v="1"/>
    <x v="0"/>
    <s v="XL"/>
    <s v="S"/>
    <s v="Beige"/>
    <n v="126.37"/>
    <n v="0"/>
    <n v="0"/>
    <n v="0"/>
    <s v="No Discount"/>
    <n v="126.37"/>
    <s v="No Loss"/>
    <d v="2024-11-08T00:00:00"/>
    <n v="25"/>
    <s v="IN STOCK"/>
    <n v="1.8"/>
    <n v="1.8"/>
    <b v="0"/>
    <x v="0"/>
    <m/>
  </r>
  <r>
    <s v="FB000104"/>
    <x v="4"/>
    <x v="1"/>
    <x v="1"/>
    <s v="M"/>
    <s v="L"/>
    <s v="Navy"/>
    <n v="50.01"/>
    <n v="0.58200000000000007"/>
    <n v="58.2"/>
    <n v="29.105820000000001"/>
    <s v="high Discount"/>
    <n v="20.9"/>
    <s v="High Loss"/>
    <d v="2025-08-06T00:00:00"/>
    <n v="32"/>
    <s v="IN STOCK"/>
    <n v="4.8"/>
    <n v="4.8"/>
    <b v="0"/>
    <x v="0"/>
    <m/>
  </r>
  <r>
    <s v="FB000105"/>
    <x v="3"/>
    <x v="4"/>
    <x v="1"/>
    <s v="XL"/>
    <s v="S"/>
    <s v="Red"/>
    <n v="84.31"/>
    <n v="0"/>
    <n v="0"/>
    <n v="0"/>
    <s v="No Discount"/>
    <n v="84.31"/>
    <s v="No Loss"/>
    <d v="2025-08-06T00:00:00"/>
    <n v="10"/>
    <s v="LOW STOCK"/>
    <n v="3.9"/>
    <n v="3.9"/>
    <b v="0"/>
    <x v="0"/>
    <m/>
  </r>
  <r>
    <s v="FB000106"/>
    <x v="4"/>
    <x v="2"/>
    <x v="0"/>
    <s v="XS"/>
    <s v="XL"/>
    <s v="Beige"/>
    <n v="100.98"/>
    <n v="0"/>
    <n v="0"/>
    <n v="0"/>
    <s v="No Discount"/>
    <n v="100.98"/>
    <s v="No Loss"/>
    <d v="2025-06-17T00:00:00"/>
    <n v="21"/>
    <s v="IN STOCK"/>
    <n v="2.8"/>
    <n v="2.8"/>
    <b v="0"/>
    <x v="0"/>
    <m/>
  </r>
  <r>
    <s v="FB000107"/>
    <x v="4"/>
    <x v="2"/>
    <x v="3"/>
    <s v="S"/>
    <s v="M"/>
    <s v="Beige"/>
    <n v="38.020000000000003"/>
    <n v="0"/>
    <n v="0"/>
    <n v="0"/>
    <s v="No Discount"/>
    <n v="38.020000000000003"/>
    <s v="No Loss"/>
    <d v="2025-08-06T00:00:00"/>
    <n v="44"/>
    <s v="IN STOCK"/>
    <n v="4.7"/>
    <n v="4.7"/>
    <b v="0"/>
    <x v="0"/>
    <m/>
  </r>
  <r>
    <s v="FB000108"/>
    <x v="4"/>
    <x v="4"/>
    <x v="2"/>
    <s v="L"/>
    <s v="XL"/>
    <s v="Blue"/>
    <n v="63.85"/>
    <n v="0"/>
    <n v="0"/>
    <n v="0"/>
    <s v="No Discount"/>
    <n v="63.85"/>
    <s v="No Loss"/>
    <d v="2025-08-06T00:00:00"/>
    <n v="41"/>
    <s v="IN STOCK"/>
    <n v="0"/>
    <m/>
    <b v="0"/>
    <x v="0"/>
    <m/>
  </r>
  <r>
    <s v="FB000109"/>
    <x v="3"/>
    <x v="4"/>
    <x v="2"/>
    <s v="OS"/>
    <s v="XS"/>
    <s v="Navy"/>
    <n v="183.15"/>
    <n v="0"/>
    <n v="0"/>
    <n v="0"/>
    <s v="No Discount"/>
    <n v="183.15"/>
    <s v="No Loss"/>
    <d v="2025-08-06T00:00:00"/>
    <n v="23"/>
    <s v="IN STOCK"/>
    <n v="4.0999999999999996"/>
    <n v="4.0999999999999996"/>
    <b v="0"/>
    <x v="0"/>
    <m/>
  </r>
  <r>
    <s v="FB000110"/>
    <x v="5"/>
    <x v="0"/>
    <x v="1"/>
    <s v="S"/>
    <s v="S"/>
    <s v="Gray"/>
    <n v="91"/>
    <n v="0.59499999999999997"/>
    <n v="59.5"/>
    <n v="54.144999999999996"/>
    <s v="high Discount"/>
    <n v="36.86"/>
    <s v="High Loss"/>
    <d v="2025-08-06T00:00:00"/>
    <n v="5"/>
    <s v="LOW STOCK"/>
    <n v="3.9"/>
    <n v="3.9"/>
    <b v="0"/>
    <x v="0"/>
    <m/>
  </r>
  <r>
    <s v="FB000111"/>
    <x v="0"/>
    <x v="1"/>
    <x v="0"/>
    <s v="XXL"/>
    <s v="L"/>
    <s v="Black"/>
    <n v="92.83"/>
    <n v="0"/>
    <n v="0"/>
    <n v="0"/>
    <s v="No Discount"/>
    <n v="92.83"/>
    <s v="No Loss"/>
    <d v="2025-07-20T00:00:00"/>
    <n v="9"/>
    <s v="LOW STOCK"/>
    <n v="1.2"/>
    <n v="1.2"/>
    <b v="0"/>
    <x v="0"/>
    <m/>
  </r>
  <r>
    <s v="FB000112"/>
    <x v="2"/>
    <x v="2"/>
    <x v="1"/>
    <s v="S"/>
    <m/>
    <s v="Brown"/>
    <n v="34.450000000000003"/>
    <n v="0"/>
    <n v="0"/>
    <n v="0"/>
    <s v="No Discount"/>
    <n v="34.450000000000003"/>
    <s v="No Loss"/>
    <d v="2025-08-06T00:00:00"/>
    <n v="4"/>
    <s v="LOW STOCK"/>
    <n v="4.5"/>
    <n v="4.5"/>
    <b v="0"/>
    <x v="0"/>
    <m/>
  </r>
  <r>
    <s v="FB000113"/>
    <x v="5"/>
    <x v="4"/>
    <x v="2"/>
    <s v="XXL"/>
    <s v="S"/>
    <s v="Purple"/>
    <n v="128.15"/>
    <n v="0.5"/>
    <n v="50"/>
    <n v="64.075000000000003"/>
    <s v="high Discount"/>
    <n v="64.08"/>
    <s v="High Loss"/>
    <d v="2025-08-06T00:00:00"/>
    <n v="28"/>
    <s v="IN STOCK"/>
    <n v="3.2"/>
    <n v="3.2"/>
    <b v="0"/>
    <x v="0"/>
    <m/>
  </r>
  <r>
    <s v="FB000114"/>
    <x v="1"/>
    <x v="3"/>
    <x v="3"/>
    <s v="OS"/>
    <s v="XXL"/>
    <s v="Red"/>
    <n v="99.62"/>
    <n v="0.33799999999999997"/>
    <n v="33.799999999999997"/>
    <n v="33.671559999999999"/>
    <s v="high Discount"/>
    <n v="65.95"/>
    <s v="High Loss"/>
    <d v="2025-08-06T00:00:00"/>
    <n v="27"/>
    <s v="IN STOCK"/>
    <n v="2.1"/>
    <n v="2.1"/>
    <b v="0"/>
    <x v="0"/>
    <m/>
  </r>
  <r>
    <s v="FB000115"/>
    <x v="4"/>
    <x v="7"/>
    <x v="1"/>
    <s v="M"/>
    <s v="S"/>
    <s v="Pink"/>
    <n v="87.39"/>
    <n v="0.255"/>
    <n v="25.5"/>
    <n v="22.28445"/>
    <s v="Medium Discount"/>
    <n v="65.11"/>
    <s v="High Loss"/>
    <d v="2025-08-06T00:00:00"/>
    <n v="8"/>
    <s v="LOW STOCK"/>
    <n v="2.2999999999999998"/>
    <n v="2.2999999999999998"/>
    <b v="0"/>
    <x v="0"/>
    <m/>
  </r>
  <r>
    <s v="FB000116"/>
    <x v="1"/>
    <x v="0"/>
    <x v="0"/>
    <s v="S"/>
    <s v="XXL"/>
    <s v="Brown"/>
    <n v="49.67"/>
    <n v="0"/>
    <n v="0"/>
    <n v="0"/>
    <s v="No Discount"/>
    <n v="49.67"/>
    <s v="No Loss"/>
    <d v="2024-09-06T00:00:00"/>
    <n v="37"/>
    <s v="IN STOCK"/>
    <n v="2.2999999999999998"/>
    <n v="2.2999999999999998"/>
    <b v="0"/>
    <x v="0"/>
    <m/>
  </r>
  <r>
    <s v="FB000117"/>
    <x v="2"/>
    <x v="1"/>
    <x v="2"/>
    <s v="L"/>
    <m/>
    <s v="Brown"/>
    <n v="72.040000000000006"/>
    <n v="0"/>
    <n v="0"/>
    <n v="0"/>
    <s v="No Discount"/>
    <n v="72.040000000000006"/>
    <s v="No Loss"/>
    <d v="2025-08-06T00:00:00"/>
    <n v="48"/>
    <s v="IN STOCK"/>
    <n v="0"/>
    <m/>
    <b v="1"/>
    <x v="6"/>
    <s v="Wrong Item"/>
  </r>
  <r>
    <s v="FB000118"/>
    <x v="5"/>
    <x v="0"/>
    <x v="0"/>
    <s v="XXL"/>
    <s v="M"/>
    <s v="Navy"/>
    <n v="133.82"/>
    <n v="0"/>
    <n v="0"/>
    <n v="0"/>
    <s v="No Discount"/>
    <n v="133.82"/>
    <s v="No Loss"/>
    <d v="2024-11-25T00:00:00"/>
    <n v="12"/>
    <s v="IN STOCK"/>
    <n v="1.7"/>
    <n v="1.7"/>
    <b v="0"/>
    <x v="0"/>
    <m/>
  </r>
  <r>
    <s v="FB000119"/>
    <x v="4"/>
    <x v="1"/>
    <x v="1"/>
    <s v="S"/>
    <s v="S"/>
    <s v="Black"/>
    <n v="62.93"/>
    <n v="0"/>
    <n v="0"/>
    <n v="0"/>
    <s v="No Discount"/>
    <n v="62.93"/>
    <s v="No Loss"/>
    <d v="2025-08-06T00:00:00"/>
    <n v="49"/>
    <s v="IN STOCK"/>
    <n v="0"/>
    <m/>
    <b v="0"/>
    <x v="0"/>
    <m/>
  </r>
  <r>
    <s v="FB000120"/>
    <x v="0"/>
    <x v="0"/>
    <x v="0"/>
    <s v="XXL"/>
    <s v="L"/>
    <s v="Red"/>
    <n v="248.58"/>
    <n v="0"/>
    <n v="0"/>
    <n v="0"/>
    <s v="No Discount"/>
    <n v="248.58"/>
    <s v="No Loss"/>
    <d v="2025-07-04T00:00:00"/>
    <n v="27"/>
    <s v="IN STOCK"/>
    <n v="1.5"/>
    <n v="1.5"/>
    <b v="0"/>
    <x v="0"/>
    <m/>
  </r>
  <r>
    <s v="FB000121"/>
    <x v="3"/>
    <x v="1"/>
    <x v="2"/>
    <s v="XS"/>
    <s v="XXL"/>
    <s v="Navy"/>
    <n v="61.08"/>
    <n v="0"/>
    <n v="0"/>
    <n v="0"/>
    <s v="No Discount"/>
    <n v="61.08"/>
    <s v="No Loss"/>
    <d v="2025-08-06T00:00:00"/>
    <n v="27"/>
    <s v="IN STOCK"/>
    <n v="0"/>
    <m/>
    <b v="1"/>
    <x v="5"/>
    <s v="Changed Mind"/>
  </r>
  <r>
    <s v="FB000122"/>
    <x v="4"/>
    <x v="6"/>
    <x v="1"/>
    <s v="OS"/>
    <s v="S"/>
    <s v="Red"/>
    <n v="109.12"/>
    <n v="0"/>
    <n v="0"/>
    <n v="0"/>
    <s v="No Discount"/>
    <n v="109.12"/>
    <s v="No Loss"/>
    <d v="2025-08-06T00:00:00"/>
    <n v="34"/>
    <s v="IN STOCK"/>
    <n v="0"/>
    <m/>
    <b v="0"/>
    <x v="0"/>
    <m/>
  </r>
  <r>
    <s v="FB000123"/>
    <x v="0"/>
    <x v="0"/>
    <x v="1"/>
    <s v="XXL"/>
    <s v="XXL"/>
    <s v="Purple"/>
    <n v="82.91"/>
    <n v="0.45899999999999996"/>
    <n v="45.9"/>
    <n v="38.055689999999998"/>
    <s v="high Discount"/>
    <n v="44.85"/>
    <s v="High Loss"/>
    <d v="2025-08-06T00:00:00"/>
    <n v="24"/>
    <s v="IN STOCK"/>
    <n v="0"/>
    <m/>
    <b v="1"/>
    <x v="4"/>
    <s v="Quality Issue"/>
  </r>
  <r>
    <s v="FB000124"/>
    <x v="3"/>
    <x v="4"/>
    <x v="3"/>
    <s v="XXL"/>
    <s v="XS"/>
    <s v="Purple"/>
    <n v="113.53"/>
    <n v="0.109"/>
    <n v="10.9"/>
    <n v="12.37477"/>
    <s v="Low Discount"/>
    <n v="101.16"/>
    <s v="Medium Loss"/>
    <d v="2025-08-06T00:00:00"/>
    <n v="40"/>
    <s v="IN STOCK"/>
    <n v="2.8"/>
    <n v="2.8"/>
    <b v="0"/>
    <x v="0"/>
    <m/>
  </r>
  <r>
    <s v="FB000125"/>
    <x v="2"/>
    <x v="1"/>
    <x v="1"/>
    <s v="XXL"/>
    <m/>
    <s v="Brown"/>
    <n v="38.89"/>
    <n v="0.51500000000000001"/>
    <n v="51.5"/>
    <n v="20.02835"/>
    <s v="high Discount"/>
    <n v="18.86"/>
    <s v="High Loss"/>
    <d v="2025-08-06T00:00:00"/>
    <n v="28"/>
    <s v="IN STOCK"/>
    <n v="4.3"/>
    <n v="4.3"/>
    <b v="0"/>
    <x v="0"/>
    <m/>
  </r>
  <r>
    <s v="FB000126"/>
    <x v="5"/>
    <x v="6"/>
    <x v="0"/>
    <s v="XS"/>
    <s v="XXL"/>
    <s v="Black"/>
    <n v="53.01"/>
    <n v="0.45899999999999996"/>
    <n v="45.9"/>
    <n v="24.331589999999998"/>
    <s v="high Discount"/>
    <n v="28.68"/>
    <s v="High Loss"/>
    <d v="2025-01-14T00:00:00"/>
    <n v="37"/>
    <s v="IN STOCK"/>
    <n v="3.7"/>
    <n v="3.7"/>
    <b v="0"/>
    <x v="0"/>
    <m/>
  </r>
  <r>
    <s v="FB000127"/>
    <x v="3"/>
    <x v="5"/>
    <x v="0"/>
    <s v="XS"/>
    <s v="XXL"/>
    <s v="Blue"/>
    <n v="81.64"/>
    <n v="0"/>
    <n v="0"/>
    <n v="0"/>
    <s v="No Discount"/>
    <n v="81.64"/>
    <s v="No Loss"/>
    <d v="2024-12-06T00:00:00"/>
    <n v="50"/>
    <s v="IN STOCK"/>
    <n v="1.1000000000000001"/>
    <n v="1.1000000000000001"/>
    <b v="0"/>
    <x v="0"/>
    <m/>
  </r>
  <r>
    <s v="FB000128"/>
    <x v="3"/>
    <x v="5"/>
    <x v="0"/>
    <s v="XL"/>
    <s v="XXL"/>
    <s v="White"/>
    <n v="125.24"/>
    <n v="0.215"/>
    <n v="21.5"/>
    <n v="26.926599999999997"/>
    <s v="Medium Discount"/>
    <n v="98.31"/>
    <s v="High Loss"/>
    <d v="2024-09-06T00:00:00"/>
    <n v="7"/>
    <s v="LOW STOCK"/>
    <n v="2.9"/>
    <n v="2.9"/>
    <b v="0"/>
    <x v="0"/>
    <m/>
  </r>
  <r>
    <s v="FB000129"/>
    <x v="0"/>
    <x v="5"/>
    <x v="0"/>
    <s v="S"/>
    <s v="XS"/>
    <s v="Pink"/>
    <n v="98.61"/>
    <n v="0"/>
    <n v="0"/>
    <n v="0"/>
    <s v="No Discount"/>
    <n v="98.61"/>
    <s v="No Loss"/>
    <d v="2025-03-05T00:00:00"/>
    <n v="1"/>
    <s v="LOW STOCK"/>
    <n v="2.6"/>
    <n v="2.6"/>
    <b v="0"/>
    <x v="0"/>
    <m/>
  </r>
  <r>
    <s v="FB000130"/>
    <x v="3"/>
    <x v="6"/>
    <x v="2"/>
    <s v="XL"/>
    <s v="XS"/>
    <s v="Blue"/>
    <n v="77.540000000000006"/>
    <n v="0"/>
    <n v="0"/>
    <n v="0"/>
    <s v="No Discount"/>
    <n v="77.540000000000006"/>
    <s v="No Loss"/>
    <d v="2025-08-06T00:00:00"/>
    <n v="36"/>
    <s v="IN STOCK"/>
    <n v="3.4"/>
    <n v="3.4"/>
    <b v="0"/>
    <x v="0"/>
    <m/>
  </r>
  <r>
    <s v="FB000131"/>
    <x v="5"/>
    <x v="2"/>
    <x v="0"/>
    <s v="OS"/>
    <s v="XL"/>
    <s v="Purple"/>
    <n v="79.13"/>
    <n v="0"/>
    <n v="0"/>
    <n v="0"/>
    <s v="No Discount"/>
    <n v="79.13"/>
    <s v="No Loss"/>
    <d v="2024-11-16T00:00:00"/>
    <n v="11"/>
    <s v="IN STOCK"/>
    <n v="3.6"/>
    <n v="3.6"/>
    <b v="0"/>
    <x v="0"/>
    <m/>
  </r>
  <r>
    <s v="FB000132"/>
    <x v="4"/>
    <x v="3"/>
    <x v="0"/>
    <s v="S"/>
    <s v="S"/>
    <s v="Green"/>
    <n v="96.11"/>
    <n v="0"/>
    <n v="0"/>
    <n v="0"/>
    <s v="No Discount"/>
    <n v="96.11"/>
    <s v="No Loss"/>
    <d v="2025-04-12T00:00:00"/>
    <n v="13"/>
    <s v="IN STOCK"/>
    <n v="4.2"/>
    <n v="4.2"/>
    <b v="0"/>
    <x v="0"/>
    <m/>
  </r>
  <r>
    <s v="FB000133"/>
    <x v="1"/>
    <x v="3"/>
    <x v="0"/>
    <s v="L"/>
    <s v="XL"/>
    <s v="White"/>
    <n v="116.61"/>
    <n v="0"/>
    <n v="0"/>
    <n v="0"/>
    <s v="No Discount"/>
    <n v="116.61"/>
    <s v="No Loss"/>
    <d v="2024-11-04T00:00:00"/>
    <n v="31"/>
    <s v="IN STOCK"/>
    <n v="0"/>
    <m/>
    <b v="0"/>
    <x v="0"/>
    <m/>
  </r>
  <r>
    <s v="FB000134"/>
    <x v="2"/>
    <x v="5"/>
    <x v="1"/>
    <s v="XS"/>
    <m/>
    <s v="Blue"/>
    <n v="57.8"/>
    <n v="0.27"/>
    <n v="27"/>
    <n v="15.606"/>
    <s v="Medium Discount"/>
    <n v="42.19"/>
    <s v="Medium Loss"/>
    <d v="2025-08-06T00:00:00"/>
    <n v="9"/>
    <s v="LOW STOCK"/>
    <n v="1.8"/>
    <n v="1.8"/>
    <b v="0"/>
    <x v="0"/>
    <m/>
  </r>
  <r>
    <s v="FB000135"/>
    <x v="1"/>
    <x v="4"/>
    <x v="0"/>
    <s v="M"/>
    <s v="S"/>
    <s v="White"/>
    <n v="110.78"/>
    <n v="0"/>
    <n v="0"/>
    <n v="0"/>
    <s v="No Discount"/>
    <n v="110.78"/>
    <s v="No Loss"/>
    <d v="2025-01-13T00:00:00"/>
    <n v="9"/>
    <s v="LOW STOCK"/>
    <n v="1.4"/>
    <n v="1.4"/>
    <b v="0"/>
    <x v="0"/>
    <m/>
  </r>
  <r>
    <s v="FB000136"/>
    <x v="1"/>
    <x v="6"/>
    <x v="0"/>
    <s v="XXL"/>
    <s v="L"/>
    <s v="Black"/>
    <n v="112.63"/>
    <n v="0"/>
    <n v="0"/>
    <n v="0"/>
    <s v="No Discount"/>
    <n v="112.63"/>
    <s v="No Loss"/>
    <d v="2024-10-14T00:00:00"/>
    <n v="50"/>
    <s v="IN STOCK"/>
    <n v="3.6"/>
    <n v="3.6"/>
    <b v="1"/>
    <x v="4"/>
    <s v="Quality Issue"/>
  </r>
  <r>
    <s v="FB000137"/>
    <x v="1"/>
    <x v="4"/>
    <x v="3"/>
    <s v="L"/>
    <s v="XS"/>
    <s v="Purple"/>
    <n v="89.36"/>
    <n v="0"/>
    <n v="0"/>
    <n v="0"/>
    <s v="No Discount"/>
    <n v="89.36"/>
    <s v="No Loss"/>
    <d v="2025-08-06T00:00:00"/>
    <n v="24"/>
    <s v="IN STOCK"/>
    <n v="4.3"/>
    <n v="4.3"/>
    <b v="1"/>
    <x v="3"/>
    <s v="Damaged"/>
  </r>
  <r>
    <s v="FB000138"/>
    <x v="0"/>
    <x v="7"/>
    <x v="2"/>
    <s v="XS"/>
    <s v="M"/>
    <s v="Pink"/>
    <n v="127.99"/>
    <n v="0"/>
    <n v="0"/>
    <n v="0"/>
    <s v="No Discount"/>
    <n v="127.99"/>
    <s v="No Loss"/>
    <d v="2025-08-06T00:00:00"/>
    <n v="16"/>
    <s v="IN STOCK"/>
    <n v="0"/>
    <m/>
    <b v="0"/>
    <x v="0"/>
    <m/>
  </r>
  <r>
    <s v="FB000139"/>
    <x v="4"/>
    <x v="0"/>
    <x v="1"/>
    <s v="M"/>
    <s v="XXL"/>
    <s v="Beige"/>
    <n v="54.88"/>
    <n v="0.58799999999999997"/>
    <n v="58.8"/>
    <n v="32.269440000000003"/>
    <s v="high Discount"/>
    <n v="22.61"/>
    <s v="High Loss"/>
    <d v="2025-08-06T00:00:00"/>
    <n v="50"/>
    <s v="IN STOCK"/>
    <n v="3.5"/>
    <n v="3.5"/>
    <b v="0"/>
    <x v="0"/>
    <m/>
  </r>
  <r>
    <s v="FB000140"/>
    <x v="3"/>
    <x v="1"/>
    <x v="0"/>
    <s v="XL"/>
    <s v="L"/>
    <s v="White"/>
    <n v="154.13"/>
    <n v="0"/>
    <n v="0"/>
    <n v="0"/>
    <s v="No Discount"/>
    <n v="154.13"/>
    <s v="No Loss"/>
    <d v="2024-10-01T00:00:00"/>
    <n v="31"/>
    <s v="IN STOCK"/>
    <n v="4.0999999999999996"/>
    <n v="4.0999999999999996"/>
    <b v="1"/>
    <x v="2"/>
    <s v="Size Issue"/>
  </r>
  <r>
    <s v="FB000141"/>
    <x v="5"/>
    <x v="5"/>
    <x v="0"/>
    <s v="L"/>
    <s v="XS"/>
    <s v="Gray"/>
    <n v="131.5"/>
    <n v="0"/>
    <n v="0"/>
    <n v="0"/>
    <s v="No Discount"/>
    <n v="131.5"/>
    <s v="No Loss"/>
    <d v="2024-11-03T00:00:00"/>
    <n v="5"/>
    <s v="LOW STOCK"/>
    <n v="0"/>
    <m/>
    <b v="0"/>
    <x v="0"/>
    <m/>
  </r>
  <r>
    <s v="FB000142"/>
    <x v="0"/>
    <x v="6"/>
    <x v="3"/>
    <s v="L"/>
    <s v="M"/>
    <s v="Blue"/>
    <n v="133.26"/>
    <n v="0"/>
    <n v="0"/>
    <n v="0"/>
    <s v="No Discount"/>
    <n v="133.26"/>
    <s v="No Loss"/>
    <d v="2025-08-06T00:00:00"/>
    <n v="29"/>
    <s v="IN STOCK"/>
    <n v="1.3"/>
    <n v="1.3"/>
    <b v="0"/>
    <x v="0"/>
    <m/>
  </r>
  <r>
    <s v="FB000143"/>
    <x v="3"/>
    <x v="7"/>
    <x v="1"/>
    <s v="OS"/>
    <s v="XL"/>
    <s v="Red"/>
    <n v="173.91"/>
    <n v="0"/>
    <n v="0"/>
    <n v="0"/>
    <s v="No Discount"/>
    <n v="173.91"/>
    <s v="No Loss"/>
    <d v="2025-08-06T00:00:00"/>
    <n v="21"/>
    <s v="IN STOCK"/>
    <n v="0"/>
    <m/>
    <b v="0"/>
    <x v="0"/>
    <m/>
  </r>
  <r>
    <s v="FB000144"/>
    <x v="1"/>
    <x v="4"/>
    <x v="0"/>
    <s v="L"/>
    <s v="L"/>
    <s v="Beige"/>
    <n v="102.99"/>
    <n v="0"/>
    <n v="0"/>
    <n v="0"/>
    <s v="No Discount"/>
    <n v="102.99"/>
    <s v="No Loss"/>
    <d v="2025-07-16T00:00:00"/>
    <n v="41"/>
    <s v="IN STOCK"/>
    <n v="3.9"/>
    <n v="3.9"/>
    <b v="0"/>
    <x v="0"/>
    <m/>
  </r>
  <r>
    <s v="FB000145"/>
    <x v="0"/>
    <x v="0"/>
    <x v="0"/>
    <s v="XXL"/>
    <s v="L"/>
    <s v="Beige"/>
    <n v="87.78"/>
    <n v="0.45299999999999996"/>
    <n v="45.3"/>
    <n v="39.764339999999997"/>
    <s v="high Discount"/>
    <n v="48.02"/>
    <s v="High Loss"/>
    <d v="2025-02-17T00:00:00"/>
    <n v="34"/>
    <s v="IN STOCK"/>
    <n v="1.8"/>
    <n v="1.8"/>
    <b v="0"/>
    <x v="0"/>
    <m/>
  </r>
  <r>
    <s v="FB000146"/>
    <x v="1"/>
    <x v="1"/>
    <x v="1"/>
    <s v="M"/>
    <m/>
    <s v="Beige"/>
    <n v="91.8"/>
    <n v="0.158"/>
    <n v="15.8"/>
    <n v="14.5044"/>
    <s v="Low Discount"/>
    <n v="77.3"/>
    <s v="Medium Loss"/>
    <d v="2025-08-06T00:00:00"/>
    <n v="30"/>
    <s v="IN STOCK"/>
    <n v="4.2"/>
    <n v="4.2"/>
    <b v="0"/>
    <x v="0"/>
    <m/>
  </r>
  <r>
    <s v="FB000147"/>
    <x v="1"/>
    <x v="0"/>
    <x v="1"/>
    <s v="L"/>
    <s v="L"/>
    <s v="White"/>
    <n v="107.32"/>
    <n v="0.254"/>
    <n v="25.4"/>
    <n v="27.25928"/>
    <s v="Medium Discount"/>
    <n v="80.06"/>
    <s v="High Loss"/>
    <d v="2025-08-06T00:00:00"/>
    <n v="50"/>
    <s v="IN STOCK"/>
    <n v="4.4000000000000004"/>
    <n v="4.4000000000000004"/>
    <b v="0"/>
    <x v="0"/>
    <m/>
  </r>
  <r>
    <s v="FB000148"/>
    <x v="4"/>
    <x v="2"/>
    <x v="0"/>
    <s v="XL"/>
    <s v="XXL"/>
    <s v="Brown"/>
    <n v="67.69"/>
    <n v="0.57299999999999995"/>
    <n v="57.3"/>
    <n v="38.786369999999998"/>
    <s v="high Discount"/>
    <n v="28.9"/>
    <s v="High Loss"/>
    <d v="2025-07-24T00:00:00"/>
    <n v="50"/>
    <s v="IN STOCK"/>
    <n v="4.5999999999999996"/>
    <n v="4.5999999999999996"/>
    <b v="0"/>
    <x v="0"/>
    <m/>
  </r>
  <r>
    <s v="FB000149"/>
    <x v="1"/>
    <x v="5"/>
    <x v="3"/>
    <s v="M"/>
    <s v="M"/>
    <s v="Beige"/>
    <n v="68.11"/>
    <n v="0.46"/>
    <n v="46"/>
    <n v="31.3306"/>
    <s v="high Discount"/>
    <n v="36.78"/>
    <s v="High Loss"/>
    <d v="2025-08-06T00:00:00"/>
    <n v="3"/>
    <s v="LOW STOCK"/>
    <n v="2.5"/>
    <n v="2.5"/>
    <b v="0"/>
    <x v="0"/>
    <m/>
  </r>
  <r>
    <s v="FB000150"/>
    <x v="3"/>
    <x v="2"/>
    <x v="0"/>
    <s v="XXL"/>
    <s v="L"/>
    <s v="Blue"/>
    <n v="94.29"/>
    <n v="0"/>
    <n v="0"/>
    <n v="0"/>
    <s v="No Discount"/>
    <n v="94.29"/>
    <s v="No Loss"/>
    <d v="2024-09-15T00:00:00"/>
    <n v="18"/>
    <s v="IN STOCK"/>
    <n v="1.7"/>
    <n v="1.7"/>
    <b v="0"/>
    <x v="0"/>
    <m/>
  </r>
  <r>
    <s v="FB000151"/>
    <x v="1"/>
    <x v="5"/>
    <x v="1"/>
    <s v="L"/>
    <s v="XL"/>
    <s v="Gray"/>
    <n v="94.97"/>
    <n v="0"/>
    <n v="0"/>
    <n v="0"/>
    <s v="No Discount"/>
    <n v="94.97"/>
    <s v="No Loss"/>
    <d v="2025-08-06T00:00:00"/>
    <n v="46"/>
    <s v="IN STOCK"/>
    <n v="4.3"/>
    <n v="4.3"/>
    <b v="0"/>
    <x v="0"/>
    <m/>
  </r>
  <r>
    <s v="FB000152"/>
    <x v="3"/>
    <x v="2"/>
    <x v="1"/>
    <s v="M"/>
    <s v="M"/>
    <s v="Navy"/>
    <n v="65.87"/>
    <n v="0.114"/>
    <n v="11.4"/>
    <n v="7.5091800000000006"/>
    <s v="Low Discount"/>
    <n v="58.36"/>
    <s v="Low Loss"/>
    <d v="2025-08-06T00:00:00"/>
    <n v="15"/>
    <s v="IN STOCK"/>
    <n v="3.9"/>
    <n v="3.9"/>
    <b v="0"/>
    <x v="0"/>
    <m/>
  </r>
  <r>
    <s v="FB000153"/>
    <x v="5"/>
    <x v="0"/>
    <x v="1"/>
    <s v="XL"/>
    <s v="XXL"/>
    <s v="Blue"/>
    <n v="155.06"/>
    <n v="0.29399999999999998"/>
    <n v="29.4"/>
    <n v="45.58764"/>
    <s v="Medium Discount"/>
    <n v="109.47"/>
    <s v="High Loss"/>
    <d v="2025-08-06T00:00:00"/>
    <n v="5"/>
    <s v="LOW STOCK"/>
    <n v="3.6"/>
    <n v="3.6"/>
    <b v="0"/>
    <x v="0"/>
    <m/>
  </r>
  <r>
    <s v="FB000154"/>
    <x v="0"/>
    <x v="0"/>
    <x v="1"/>
    <s v="XXL"/>
    <s v="L"/>
    <s v="Brown"/>
    <n v="172.59"/>
    <n v="0"/>
    <n v="0"/>
    <n v="0"/>
    <s v="No Discount"/>
    <n v="172.59"/>
    <s v="No Loss"/>
    <d v="2025-08-06T00:00:00"/>
    <n v="1"/>
    <s v="LOW STOCK"/>
    <n v="2.1"/>
    <n v="2.1"/>
    <b v="0"/>
    <x v="0"/>
    <m/>
  </r>
  <r>
    <s v="FB000155"/>
    <x v="5"/>
    <x v="4"/>
    <x v="3"/>
    <s v="XXL"/>
    <s v="M"/>
    <s v="Blue"/>
    <n v="68.72"/>
    <n v="0"/>
    <n v="0"/>
    <n v="0"/>
    <s v="No Discount"/>
    <n v="68.72"/>
    <s v="No Loss"/>
    <d v="2025-08-06T00:00:00"/>
    <n v="28"/>
    <s v="IN STOCK"/>
    <n v="1.7"/>
    <n v="1.7"/>
    <b v="1"/>
    <x v="4"/>
    <s v="Quality Issue"/>
  </r>
  <r>
    <s v="FB000156"/>
    <x v="1"/>
    <x v="2"/>
    <x v="0"/>
    <s v="XS"/>
    <s v="XL"/>
    <s v="Blue"/>
    <n v="28.78"/>
    <n v="0"/>
    <n v="0"/>
    <n v="0"/>
    <s v="No Discount"/>
    <n v="28.78"/>
    <s v="No Loss"/>
    <d v="2024-10-03T00:00:00"/>
    <n v="21"/>
    <s v="IN STOCK"/>
    <n v="0"/>
    <m/>
    <b v="0"/>
    <x v="0"/>
    <m/>
  </r>
  <r>
    <s v="FB000157"/>
    <x v="0"/>
    <x v="4"/>
    <x v="1"/>
    <s v="XXL"/>
    <s v="XXL"/>
    <s v="Black"/>
    <n v="110.32"/>
    <n v="0.28300000000000003"/>
    <n v="28.3"/>
    <n v="31.220560000000003"/>
    <s v="Medium Discount"/>
    <n v="79.099999999999994"/>
    <s v="High Loss"/>
    <d v="2025-08-06T00:00:00"/>
    <n v="49"/>
    <s v="IN STOCK"/>
    <n v="3.3"/>
    <n v="3.3"/>
    <b v="0"/>
    <x v="0"/>
    <m/>
  </r>
  <r>
    <s v="FB000158"/>
    <x v="3"/>
    <x v="3"/>
    <x v="3"/>
    <s v="M"/>
    <s v="XXL"/>
    <s v="Black"/>
    <n v="194.24"/>
    <n v="0"/>
    <n v="0"/>
    <n v="0"/>
    <s v="No Discount"/>
    <n v="194.24"/>
    <s v="No Loss"/>
    <d v="2025-08-06T00:00:00"/>
    <n v="17"/>
    <s v="IN STOCK"/>
    <n v="1.2"/>
    <n v="1.2"/>
    <b v="1"/>
    <x v="5"/>
    <s v="Changed Mind"/>
  </r>
  <r>
    <s v="FB000159"/>
    <x v="3"/>
    <x v="6"/>
    <x v="2"/>
    <s v="OS"/>
    <s v="XS"/>
    <s v="Beige"/>
    <n v="175.91"/>
    <n v="0"/>
    <n v="0"/>
    <n v="0"/>
    <s v="No Discount"/>
    <n v="175.91"/>
    <s v="No Loss"/>
    <d v="2025-08-06T00:00:00"/>
    <n v="4"/>
    <s v="LOW STOCK"/>
    <n v="2.8"/>
    <n v="2.8"/>
    <b v="0"/>
    <x v="0"/>
    <m/>
  </r>
  <r>
    <s v="FB000160"/>
    <x v="4"/>
    <x v="3"/>
    <x v="1"/>
    <s v="XXL"/>
    <s v="XXL"/>
    <s v="Gray"/>
    <n v="79.34"/>
    <n v="0"/>
    <n v="0"/>
    <n v="0"/>
    <s v="No Discount"/>
    <n v="79.34"/>
    <s v="No Loss"/>
    <d v="2025-08-06T00:00:00"/>
    <n v="30"/>
    <s v="IN STOCK"/>
    <n v="4.4000000000000004"/>
    <n v="4.4000000000000004"/>
    <b v="0"/>
    <x v="0"/>
    <m/>
  </r>
  <r>
    <s v="FB000161"/>
    <x v="4"/>
    <x v="4"/>
    <x v="3"/>
    <s v="OS"/>
    <s v="M"/>
    <s v="Green"/>
    <n v="111.88"/>
    <n v="0"/>
    <n v="0"/>
    <n v="0"/>
    <s v="No Discount"/>
    <n v="111.88"/>
    <s v="No Loss"/>
    <d v="2025-08-06T00:00:00"/>
    <n v="41"/>
    <s v="IN STOCK"/>
    <n v="4.5"/>
    <n v="4.5"/>
    <b v="0"/>
    <x v="0"/>
    <m/>
  </r>
  <r>
    <s v="FB000162"/>
    <x v="2"/>
    <x v="6"/>
    <x v="0"/>
    <s v="M"/>
    <m/>
    <s v="Navy"/>
    <n v="42.84"/>
    <n v="0.40600000000000003"/>
    <n v="40.6"/>
    <n v="17.393040000000003"/>
    <s v="high Discount"/>
    <n v="25.45"/>
    <s v="Medium Loss"/>
    <d v="2024-09-12T00:00:00"/>
    <n v="18"/>
    <s v="IN STOCK"/>
    <n v="2.6"/>
    <n v="2.6"/>
    <b v="0"/>
    <x v="0"/>
    <m/>
  </r>
  <r>
    <s v="FB000163"/>
    <x v="4"/>
    <x v="6"/>
    <x v="0"/>
    <s v="XL"/>
    <s v="XXL"/>
    <s v="Navy"/>
    <n v="26.28"/>
    <n v="1.1000000000000001E-2"/>
    <n v="1.1000000000000001"/>
    <n v="0.28908000000000006"/>
    <s v="Low Discount"/>
    <n v="25.99"/>
    <s v="Low Loss"/>
    <d v="2025-06-20T00:00:00"/>
    <n v="35"/>
    <s v="IN STOCK"/>
    <n v="5"/>
    <n v="5"/>
    <b v="0"/>
    <x v="0"/>
    <m/>
  </r>
  <r>
    <s v="FB000164"/>
    <x v="2"/>
    <x v="4"/>
    <x v="0"/>
    <s v="OS"/>
    <m/>
    <s v="Green"/>
    <n v="23.11"/>
    <n v="0"/>
    <n v="0"/>
    <n v="0"/>
    <s v="No Discount"/>
    <n v="23.11"/>
    <s v="No Loss"/>
    <d v="2024-09-17T00:00:00"/>
    <n v="2"/>
    <s v="LOW STOCK"/>
    <n v="1.4"/>
    <n v="1.4"/>
    <b v="0"/>
    <x v="0"/>
    <m/>
  </r>
  <r>
    <s v="FB000165"/>
    <x v="3"/>
    <x v="0"/>
    <x v="1"/>
    <s v="OS"/>
    <s v="M"/>
    <s v="White"/>
    <n v="168.36"/>
    <n v="0"/>
    <n v="0"/>
    <n v="0"/>
    <s v="No Discount"/>
    <n v="168.36"/>
    <s v="No Loss"/>
    <d v="2025-08-06T00:00:00"/>
    <n v="47"/>
    <s v="IN STOCK"/>
    <n v="0"/>
    <m/>
    <b v="1"/>
    <x v="3"/>
    <s v="Damaged"/>
  </r>
  <r>
    <s v="FB000166"/>
    <x v="3"/>
    <x v="6"/>
    <x v="2"/>
    <s v="XXL"/>
    <s v="XL"/>
    <s v="Green"/>
    <n v="99.26"/>
    <n v="0"/>
    <n v="0"/>
    <n v="0"/>
    <s v="No Discount"/>
    <n v="99.26"/>
    <s v="No Loss"/>
    <d v="2025-08-06T00:00:00"/>
    <n v="33"/>
    <s v="IN STOCK"/>
    <n v="0"/>
    <m/>
    <b v="1"/>
    <x v="4"/>
    <s v="Quality Issue"/>
  </r>
  <r>
    <s v="FB000167"/>
    <x v="2"/>
    <x v="3"/>
    <x v="0"/>
    <s v="XXL"/>
    <m/>
    <s v="Black"/>
    <n v="53.66"/>
    <n v="0"/>
    <n v="0"/>
    <n v="0"/>
    <s v="No Discount"/>
    <n v="53.66"/>
    <s v="No Loss"/>
    <d v="2024-12-19T00:00:00"/>
    <n v="40"/>
    <s v="IN STOCK"/>
    <n v="2.8"/>
    <n v="2.8"/>
    <b v="0"/>
    <x v="0"/>
    <m/>
  </r>
  <r>
    <s v="FB000168"/>
    <x v="2"/>
    <x v="5"/>
    <x v="3"/>
    <s v="XS"/>
    <m/>
    <s v="Gray"/>
    <n v="69.709999999999994"/>
    <n v="0.18"/>
    <n v="18"/>
    <n v="12.547799999999999"/>
    <s v="Low Discount"/>
    <n v="57.16"/>
    <s v="Medium Loss"/>
    <d v="2025-08-06T00:00:00"/>
    <n v="34"/>
    <s v="IN STOCK"/>
    <n v="4.2"/>
    <n v="4.2"/>
    <b v="1"/>
    <x v="1"/>
    <s v="Color Mismatch"/>
  </r>
  <r>
    <s v="FB000169"/>
    <x v="5"/>
    <x v="7"/>
    <x v="2"/>
    <s v="XS"/>
    <s v="XXL"/>
    <s v="Gray"/>
    <n v="60.3"/>
    <n v="0.214"/>
    <n v="21.4"/>
    <n v="12.904199999999999"/>
    <s v="Medium Discount"/>
    <n v="47.4"/>
    <s v="Medium Loss"/>
    <d v="2025-08-06T00:00:00"/>
    <n v="4"/>
    <s v="LOW STOCK"/>
    <n v="3.6"/>
    <n v="3.6"/>
    <b v="0"/>
    <x v="0"/>
    <m/>
  </r>
  <r>
    <s v="FB000170"/>
    <x v="3"/>
    <x v="2"/>
    <x v="1"/>
    <s v="OS"/>
    <s v="XXL"/>
    <s v="Red"/>
    <n v="113.58"/>
    <n v="0"/>
    <n v="0"/>
    <n v="0"/>
    <s v="No Discount"/>
    <n v="113.58"/>
    <s v="No Loss"/>
    <d v="2025-08-06T00:00:00"/>
    <n v="33"/>
    <s v="IN STOCK"/>
    <n v="4.9000000000000004"/>
    <n v="4.9000000000000004"/>
    <b v="1"/>
    <x v="6"/>
    <s v="Wrong Item"/>
  </r>
  <r>
    <s v="FB000171"/>
    <x v="4"/>
    <x v="5"/>
    <x v="2"/>
    <s v="XL"/>
    <s v="XS"/>
    <s v="Brown"/>
    <n v="54.86"/>
    <n v="1.7000000000000001E-2"/>
    <n v="1.7"/>
    <n v="0.93262"/>
    <s v="Low Discount"/>
    <n v="53.93"/>
    <s v="Low Loss"/>
    <d v="2025-08-06T00:00:00"/>
    <n v="40"/>
    <s v="IN STOCK"/>
    <n v="2.5"/>
    <n v="2.5"/>
    <b v="0"/>
    <x v="0"/>
    <m/>
  </r>
  <r>
    <s v="FB000172"/>
    <x v="1"/>
    <x v="0"/>
    <x v="1"/>
    <s v="M"/>
    <s v="XS"/>
    <s v="Red"/>
    <n v="92.25"/>
    <n v="0"/>
    <n v="0"/>
    <n v="0"/>
    <s v="No Discount"/>
    <n v="92.25"/>
    <s v="No Loss"/>
    <d v="2025-08-06T00:00:00"/>
    <n v="13"/>
    <s v="IN STOCK"/>
    <n v="2.8"/>
    <n v="2.8"/>
    <b v="1"/>
    <x v="3"/>
    <s v="Damaged"/>
  </r>
  <r>
    <s v="FB000173"/>
    <x v="2"/>
    <x v="5"/>
    <x v="1"/>
    <s v="XXL"/>
    <m/>
    <s v="White"/>
    <n v="54.07"/>
    <n v="0"/>
    <n v="0"/>
    <n v="0"/>
    <s v="No Discount"/>
    <n v="54.07"/>
    <s v="No Loss"/>
    <d v="2025-08-06T00:00:00"/>
    <n v="47"/>
    <s v="IN STOCK"/>
    <n v="4.5999999999999996"/>
    <n v="4.5999999999999996"/>
    <b v="0"/>
    <x v="0"/>
    <m/>
  </r>
  <r>
    <s v="FB000174"/>
    <x v="3"/>
    <x v="2"/>
    <x v="1"/>
    <s v="M"/>
    <s v="XL"/>
    <s v="Red"/>
    <n v="104.4"/>
    <n v="0"/>
    <n v="0"/>
    <n v="0"/>
    <s v="No Discount"/>
    <n v="104.4"/>
    <s v="No Loss"/>
    <d v="2025-08-06T00:00:00"/>
    <n v="41"/>
    <s v="IN STOCK"/>
    <n v="3.4"/>
    <n v="3.4"/>
    <b v="0"/>
    <x v="0"/>
    <m/>
  </r>
  <r>
    <s v="FB000175"/>
    <x v="5"/>
    <x v="5"/>
    <x v="0"/>
    <s v="XXL"/>
    <s v="M"/>
    <s v="Gray"/>
    <n v="45.97"/>
    <n v="0"/>
    <n v="0"/>
    <n v="0"/>
    <s v="No Discount"/>
    <n v="45.97"/>
    <s v="No Loss"/>
    <d v="2024-08-28T00:00:00"/>
    <n v="37"/>
    <s v="IN STOCK"/>
    <n v="3.2"/>
    <n v="3.2"/>
    <b v="1"/>
    <x v="4"/>
    <s v="Quality Issue"/>
  </r>
  <r>
    <s v="FB000176"/>
    <x v="1"/>
    <x v="5"/>
    <x v="3"/>
    <s v="XS"/>
    <s v="XXL"/>
    <s v="Black"/>
    <n v="28.79"/>
    <n v="0"/>
    <n v="0"/>
    <n v="0"/>
    <s v="No Discount"/>
    <n v="28.79"/>
    <s v="No Loss"/>
    <d v="2025-08-06T00:00:00"/>
    <n v="4"/>
    <s v="LOW STOCK"/>
    <n v="4.4000000000000004"/>
    <n v="4.4000000000000004"/>
    <b v="0"/>
    <x v="0"/>
    <m/>
  </r>
  <r>
    <s v="FB000177"/>
    <x v="0"/>
    <x v="1"/>
    <x v="1"/>
    <s v="OS"/>
    <s v="M"/>
    <s v="Gray"/>
    <n v="204.21"/>
    <n v="0"/>
    <n v="0"/>
    <n v="0"/>
    <s v="No Discount"/>
    <n v="204.21"/>
    <s v="No Loss"/>
    <d v="2025-08-06T00:00:00"/>
    <n v="5"/>
    <s v="LOW STOCK"/>
    <n v="3.3"/>
    <n v="3.3"/>
    <b v="0"/>
    <x v="0"/>
    <m/>
  </r>
  <r>
    <s v="FB000178"/>
    <x v="3"/>
    <x v="3"/>
    <x v="2"/>
    <s v="XS"/>
    <s v="XXL"/>
    <s v="Pink"/>
    <n v="190.75"/>
    <n v="0.2"/>
    <n v="20"/>
    <n v="38.15"/>
    <s v="Low Discount"/>
    <n v="152.6"/>
    <s v="High Loss"/>
    <d v="2025-08-06T00:00:00"/>
    <n v="47"/>
    <s v="IN STOCK"/>
    <n v="0"/>
    <m/>
    <b v="0"/>
    <x v="0"/>
    <m/>
  </r>
  <r>
    <s v="FB000179"/>
    <x v="1"/>
    <x v="7"/>
    <x v="1"/>
    <s v="M"/>
    <s v="XS"/>
    <s v="Brown"/>
    <n v="33.01"/>
    <n v="0.39200000000000002"/>
    <n v="39.200000000000003"/>
    <n v="12.939919999999999"/>
    <s v="high Discount"/>
    <n v="20.07"/>
    <s v="Medium Loss"/>
    <d v="2025-08-06T00:00:00"/>
    <n v="16"/>
    <s v="IN STOCK"/>
    <n v="3.7"/>
    <n v="3.7"/>
    <b v="0"/>
    <x v="0"/>
    <m/>
  </r>
  <r>
    <s v="FB000180"/>
    <x v="2"/>
    <x v="2"/>
    <x v="0"/>
    <s v="XL"/>
    <m/>
    <s v="Blue"/>
    <n v="47.61"/>
    <n v="0.39799999999999996"/>
    <n v="39.799999999999997"/>
    <n v="18.948779999999999"/>
    <s v="high Discount"/>
    <n v="28.66"/>
    <s v="Medium Loss"/>
    <d v="2024-12-03T00:00:00"/>
    <n v="18"/>
    <s v="IN STOCK"/>
    <n v="1.3"/>
    <n v="1.3"/>
    <b v="0"/>
    <x v="0"/>
    <m/>
  </r>
  <r>
    <s v="FB000181"/>
    <x v="0"/>
    <x v="4"/>
    <x v="0"/>
    <s v="XXL"/>
    <s v="XS"/>
    <s v="Red"/>
    <n v="137.16"/>
    <n v="0"/>
    <n v="0"/>
    <n v="0"/>
    <s v="No Discount"/>
    <n v="137.16"/>
    <s v="No Loss"/>
    <d v="2024-09-26T00:00:00"/>
    <n v="34"/>
    <s v="IN STOCK"/>
    <n v="3.2"/>
    <n v="3.2"/>
    <b v="0"/>
    <x v="0"/>
    <m/>
  </r>
  <r>
    <s v="FB000182"/>
    <x v="1"/>
    <x v="6"/>
    <x v="2"/>
    <s v="L"/>
    <s v="M"/>
    <s v="Navy"/>
    <n v="108.49"/>
    <n v="0"/>
    <n v="0"/>
    <n v="0"/>
    <s v="No Discount"/>
    <n v="108.49"/>
    <s v="No Loss"/>
    <d v="2025-08-06T00:00:00"/>
    <n v="7"/>
    <s v="LOW STOCK"/>
    <n v="3.3"/>
    <n v="3.3"/>
    <b v="0"/>
    <x v="0"/>
    <m/>
  </r>
  <r>
    <s v="FB000183"/>
    <x v="1"/>
    <x v="2"/>
    <x v="1"/>
    <s v="XXL"/>
    <s v="XL"/>
    <s v="Green"/>
    <n v="106.49"/>
    <n v="0"/>
    <n v="0"/>
    <n v="0"/>
    <s v="No Discount"/>
    <n v="106.49"/>
    <s v="No Loss"/>
    <d v="2025-08-06T00:00:00"/>
    <n v="23"/>
    <s v="IN STOCK"/>
    <n v="4"/>
    <n v="4"/>
    <b v="0"/>
    <x v="0"/>
    <m/>
  </r>
  <r>
    <s v="FB000184"/>
    <x v="1"/>
    <x v="3"/>
    <x v="1"/>
    <s v="M"/>
    <s v="XXL"/>
    <s v="Pink"/>
    <n v="114.86"/>
    <n v="0"/>
    <n v="0"/>
    <n v="0"/>
    <s v="No Discount"/>
    <n v="114.86"/>
    <s v="No Loss"/>
    <d v="2025-08-06T00:00:00"/>
    <n v="48"/>
    <s v="IN STOCK"/>
    <n v="1.1000000000000001"/>
    <n v="1.1000000000000001"/>
    <b v="0"/>
    <x v="0"/>
    <m/>
  </r>
  <r>
    <s v="FB000185"/>
    <x v="5"/>
    <x v="0"/>
    <x v="2"/>
    <s v="XXL"/>
    <s v="L"/>
    <s v="Blue"/>
    <n v="121.68"/>
    <n v="0"/>
    <n v="0"/>
    <n v="0"/>
    <s v="No Discount"/>
    <n v="121.68"/>
    <s v="No Loss"/>
    <d v="2025-08-06T00:00:00"/>
    <n v="9"/>
    <s v="LOW STOCK"/>
    <n v="1.5"/>
    <n v="1.5"/>
    <b v="0"/>
    <x v="0"/>
    <m/>
  </r>
  <r>
    <s v="FB000186"/>
    <x v="4"/>
    <x v="0"/>
    <x v="3"/>
    <s v="L"/>
    <s v="XXL"/>
    <s v="Black"/>
    <n v="74.08"/>
    <n v="3.9E-2"/>
    <n v="3.9"/>
    <n v="2.8891200000000001"/>
    <s v="Low Discount"/>
    <n v="71.19"/>
    <s v="Low Loss"/>
    <d v="2025-08-06T00:00:00"/>
    <n v="37"/>
    <s v="IN STOCK"/>
    <n v="1.7"/>
    <n v="1.7"/>
    <b v="0"/>
    <x v="0"/>
    <m/>
  </r>
  <r>
    <s v="FB000187"/>
    <x v="1"/>
    <x v="6"/>
    <x v="2"/>
    <s v="XXL"/>
    <s v="M"/>
    <s v="Blue"/>
    <n v="92.37"/>
    <n v="0.35899999999999999"/>
    <n v="35.9"/>
    <n v="33.160829999999997"/>
    <s v="high Discount"/>
    <n v="59.21"/>
    <s v="High Loss"/>
    <d v="2025-08-06T00:00:00"/>
    <n v="20"/>
    <s v="IN STOCK"/>
    <n v="0"/>
    <m/>
    <b v="0"/>
    <x v="0"/>
    <m/>
  </r>
  <r>
    <s v="FB000188"/>
    <x v="1"/>
    <x v="1"/>
    <x v="3"/>
    <s v="XXL"/>
    <s v="XXL"/>
    <s v="Beige"/>
    <n v="34.06"/>
    <n v="0"/>
    <n v="0"/>
    <n v="0"/>
    <s v="No Discount"/>
    <n v="34.06"/>
    <s v="No Loss"/>
    <d v="2025-08-06T00:00:00"/>
    <n v="39"/>
    <s v="IN STOCK"/>
    <n v="4.5"/>
    <n v="4.5"/>
    <b v="0"/>
    <x v="0"/>
    <m/>
  </r>
  <r>
    <s v="FB000189"/>
    <x v="5"/>
    <x v="0"/>
    <x v="3"/>
    <s v="S"/>
    <s v="L"/>
    <s v="Pink"/>
    <n v="173.42"/>
    <n v="0"/>
    <n v="0"/>
    <n v="0"/>
    <s v="No Discount"/>
    <n v="173.42"/>
    <s v="No Loss"/>
    <d v="2025-08-06T00:00:00"/>
    <n v="47"/>
    <s v="IN STOCK"/>
    <n v="4.2"/>
    <n v="4.2"/>
    <b v="0"/>
    <x v="0"/>
    <m/>
  </r>
  <r>
    <s v="FB000190"/>
    <x v="4"/>
    <x v="1"/>
    <x v="0"/>
    <s v="XXL"/>
    <s v="XXL"/>
    <s v="Brown"/>
    <n v="66.510000000000005"/>
    <n v="0"/>
    <n v="0"/>
    <n v="0"/>
    <s v="No Discount"/>
    <n v="66.510000000000005"/>
    <s v="No Loss"/>
    <d v="2024-10-04T00:00:00"/>
    <n v="32"/>
    <s v="IN STOCK"/>
    <n v="2.1"/>
    <n v="2.1"/>
    <b v="0"/>
    <x v="0"/>
    <m/>
  </r>
  <r>
    <s v="FB000191"/>
    <x v="4"/>
    <x v="1"/>
    <x v="2"/>
    <s v="XL"/>
    <s v="XXL"/>
    <s v="Blue"/>
    <n v="72.44"/>
    <n v="7.0999999999999994E-2"/>
    <n v="7.1"/>
    <n v="5.1432399999999996"/>
    <s v="Low Discount"/>
    <n v="67.3"/>
    <s v="Low Loss"/>
    <d v="2025-08-06T00:00:00"/>
    <n v="10"/>
    <s v="LOW STOCK"/>
    <n v="1.8"/>
    <n v="1.8"/>
    <b v="0"/>
    <x v="0"/>
    <m/>
  </r>
  <r>
    <s v="FB000192"/>
    <x v="1"/>
    <x v="5"/>
    <x v="2"/>
    <s v="XXL"/>
    <s v="S"/>
    <s v="Black"/>
    <n v="81.2"/>
    <n v="0"/>
    <n v="0"/>
    <n v="0"/>
    <s v="No Discount"/>
    <n v="81.2"/>
    <s v="No Loss"/>
    <d v="2025-08-06T00:00:00"/>
    <n v="3"/>
    <s v="LOW STOCK"/>
    <n v="1.5"/>
    <n v="1.5"/>
    <b v="0"/>
    <x v="0"/>
    <m/>
  </r>
  <r>
    <s v="FB000193"/>
    <x v="0"/>
    <x v="6"/>
    <x v="3"/>
    <s v="XXL"/>
    <s v="XXL"/>
    <s v="Red"/>
    <n v="104.5"/>
    <n v="0.12300000000000001"/>
    <n v="12.3"/>
    <n v="12.853500000000002"/>
    <s v="Low Discount"/>
    <n v="91.65"/>
    <s v="Medium Loss"/>
    <d v="2025-08-06T00:00:00"/>
    <n v="42"/>
    <s v="IN STOCK"/>
    <n v="0"/>
    <m/>
    <b v="0"/>
    <x v="0"/>
    <m/>
  </r>
  <r>
    <s v="FB000194"/>
    <x v="5"/>
    <x v="6"/>
    <x v="1"/>
    <s v="XXL"/>
    <s v="XL"/>
    <s v="Pink"/>
    <n v="57.53"/>
    <n v="0.13"/>
    <n v="13"/>
    <n v="7.4789000000000003"/>
    <s v="Low Discount"/>
    <n v="50.05"/>
    <s v="Low Loss"/>
    <d v="2025-08-06T00:00:00"/>
    <n v="12"/>
    <s v="IN STOCK"/>
    <n v="4.0999999999999996"/>
    <n v="4.0999999999999996"/>
    <b v="0"/>
    <x v="0"/>
    <m/>
  </r>
  <r>
    <s v="FB000195"/>
    <x v="3"/>
    <x v="2"/>
    <x v="3"/>
    <s v="L"/>
    <s v="XXL"/>
    <s v="Gray"/>
    <n v="142.58000000000001"/>
    <n v="0"/>
    <n v="0"/>
    <n v="0"/>
    <s v="No Discount"/>
    <n v="142.58000000000001"/>
    <s v="No Loss"/>
    <d v="2025-08-06T00:00:00"/>
    <n v="25"/>
    <s v="IN STOCK"/>
    <n v="4.8"/>
    <n v="4.8"/>
    <b v="1"/>
    <x v="4"/>
    <s v="Quality Issue"/>
  </r>
  <r>
    <s v="FB000196"/>
    <x v="5"/>
    <x v="0"/>
    <x v="2"/>
    <s v="M"/>
    <s v="XXL"/>
    <s v="Green"/>
    <n v="162.22999999999999"/>
    <n v="0.29399999999999998"/>
    <n v="29.4"/>
    <n v="47.695619999999991"/>
    <s v="Medium Discount"/>
    <n v="114.53"/>
    <s v="High Loss"/>
    <d v="2025-08-06T00:00:00"/>
    <n v="41"/>
    <s v="IN STOCK"/>
    <n v="4"/>
    <n v="4"/>
    <b v="1"/>
    <x v="4"/>
    <s v="Quality Issue"/>
  </r>
  <r>
    <s v="FB000197"/>
    <x v="4"/>
    <x v="5"/>
    <x v="0"/>
    <s v="XXL"/>
    <s v="XXL"/>
    <s v="Red"/>
    <n v="32.1"/>
    <n v="0.51700000000000002"/>
    <n v="51.7"/>
    <n v="16.595700000000001"/>
    <s v="high Discount"/>
    <n v="15.5"/>
    <s v="Medium Loss"/>
    <d v="2024-11-23T00:00:00"/>
    <n v="27"/>
    <s v="IN STOCK"/>
    <n v="0"/>
    <m/>
    <b v="0"/>
    <x v="0"/>
    <m/>
  </r>
  <r>
    <s v="FB000198"/>
    <x v="3"/>
    <x v="1"/>
    <x v="2"/>
    <s v="XS"/>
    <s v="L"/>
    <s v="Black"/>
    <n v="162.41"/>
    <n v="0.42700000000000005"/>
    <n v="42.7"/>
    <n v="69.349070000000012"/>
    <s v="high Discount"/>
    <n v="93.06"/>
    <s v="High Loss"/>
    <d v="2025-08-06T00:00:00"/>
    <n v="22"/>
    <s v="IN STOCK"/>
    <n v="4.8"/>
    <n v="4.8"/>
    <b v="0"/>
    <x v="0"/>
    <m/>
  </r>
  <r>
    <s v="FB000199"/>
    <x v="1"/>
    <x v="2"/>
    <x v="2"/>
    <s v="XL"/>
    <s v="M"/>
    <s v="Gray"/>
    <n v="77.459999999999994"/>
    <n v="0.57499999999999996"/>
    <n v="57.5"/>
    <n v="44.53949999999999"/>
    <s v="high Discount"/>
    <n v="32.92"/>
    <s v="High Loss"/>
    <d v="2025-08-06T00:00:00"/>
    <n v="23"/>
    <s v="IN STOCK"/>
    <n v="4"/>
    <n v="4"/>
    <b v="0"/>
    <x v="0"/>
    <m/>
  </r>
  <r>
    <s v="FB000200"/>
    <x v="1"/>
    <x v="4"/>
    <x v="2"/>
    <s v="XS"/>
    <s v="XXL"/>
    <s v="Blue"/>
    <n v="103.42"/>
    <n v="0.56100000000000005"/>
    <n v="56.1"/>
    <n v="58.018620000000006"/>
    <s v="high Discount"/>
    <n v="45.4"/>
    <s v="High Loss"/>
    <d v="2025-08-06T00:00:00"/>
    <n v="4"/>
    <s v="LOW STOCK"/>
    <n v="4.7"/>
    <n v="4.7"/>
    <b v="0"/>
    <x v="0"/>
    <m/>
  </r>
  <r>
    <s v="FB000201"/>
    <x v="4"/>
    <x v="0"/>
    <x v="0"/>
    <s v="S"/>
    <s v="XS"/>
    <s v="Green"/>
    <n v="42.91"/>
    <n v="0.33299999999999996"/>
    <n v="33.299999999999997"/>
    <n v="14.289029999999997"/>
    <s v="high Discount"/>
    <n v="28.62"/>
    <s v="Medium Loss"/>
    <d v="2024-11-23T00:00:00"/>
    <n v="18"/>
    <s v="IN STOCK"/>
    <n v="0"/>
    <m/>
    <b v="0"/>
    <x v="0"/>
    <m/>
  </r>
  <r>
    <s v="FB000202"/>
    <x v="3"/>
    <x v="0"/>
    <x v="3"/>
    <s v="OS"/>
    <s v="XL"/>
    <s v="Green"/>
    <n v="144.91999999999999"/>
    <n v="0.17"/>
    <n v="17"/>
    <n v="24.636399999999998"/>
    <s v="Low Discount"/>
    <n v="120.28"/>
    <s v="High Loss"/>
    <d v="2025-08-06T00:00:00"/>
    <n v="32"/>
    <s v="IN STOCK"/>
    <n v="2"/>
    <n v="2"/>
    <b v="0"/>
    <x v="0"/>
    <m/>
  </r>
  <r>
    <s v="FB000203"/>
    <x v="3"/>
    <x v="2"/>
    <x v="3"/>
    <s v="OS"/>
    <s v="XS"/>
    <s v="Black"/>
    <n v="93.07"/>
    <n v="0.23899999999999999"/>
    <n v="23.9"/>
    <n v="22.243729999999996"/>
    <s v="Medium Discount"/>
    <n v="70.83"/>
    <s v="High Loss"/>
    <d v="2025-08-06T00:00:00"/>
    <n v="10"/>
    <s v="LOW STOCK"/>
    <n v="3.5"/>
    <n v="3.5"/>
    <b v="1"/>
    <x v="5"/>
    <s v="Changed Mind"/>
  </r>
  <r>
    <s v="FB000204"/>
    <x v="0"/>
    <x v="4"/>
    <x v="3"/>
    <s v="M"/>
    <s v="S"/>
    <s v="Red"/>
    <n v="119.96"/>
    <n v="0"/>
    <n v="0"/>
    <n v="0"/>
    <s v="No Discount"/>
    <n v="119.96"/>
    <s v="No Loss"/>
    <d v="2025-08-06T00:00:00"/>
    <n v="20"/>
    <s v="IN STOCK"/>
    <n v="1.1000000000000001"/>
    <n v="1.1000000000000001"/>
    <b v="0"/>
    <x v="0"/>
    <m/>
  </r>
  <r>
    <s v="FB000205"/>
    <x v="2"/>
    <x v="7"/>
    <x v="3"/>
    <s v="XL"/>
    <m/>
    <s v="Gray"/>
    <n v="42.04"/>
    <n v="0.50900000000000001"/>
    <n v="50.9"/>
    <n v="21.39836"/>
    <s v="high Discount"/>
    <n v="20.64"/>
    <s v="High Loss"/>
    <d v="2025-08-06T00:00:00"/>
    <n v="43"/>
    <s v="IN STOCK"/>
    <n v="2.2999999999999998"/>
    <n v="2.2999999999999998"/>
    <b v="1"/>
    <x v="6"/>
    <s v="Wrong Item"/>
  </r>
  <r>
    <s v="FB000206"/>
    <x v="2"/>
    <x v="2"/>
    <x v="1"/>
    <s v="XXL"/>
    <m/>
    <s v="Red"/>
    <n v="54.45"/>
    <n v="0"/>
    <n v="0"/>
    <n v="0"/>
    <s v="No Discount"/>
    <n v="54.45"/>
    <s v="No Loss"/>
    <d v="2025-08-06T00:00:00"/>
    <n v="12"/>
    <s v="IN STOCK"/>
    <n v="2.7"/>
    <n v="2.7"/>
    <b v="0"/>
    <x v="0"/>
    <m/>
  </r>
  <r>
    <s v="FB000207"/>
    <x v="1"/>
    <x v="3"/>
    <x v="0"/>
    <s v="XS"/>
    <s v="M"/>
    <s v="Green"/>
    <n v="66.95"/>
    <n v="0.36399999999999999"/>
    <n v="36.4"/>
    <n v="24.369800000000001"/>
    <s v="high Discount"/>
    <n v="42.58"/>
    <s v="High Loss"/>
    <d v="2024-09-28T00:00:00"/>
    <n v="44"/>
    <s v="IN STOCK"/>
    <n v="1.9"/>
    <n v="1.9"/>
    <b v="1"/>
    <x v="4"/>
    <s v="Quality Issue"/>
  </r>
  <r>
    <s v="FB000208"/>
    <x v="1"/>
    <x v="5"/>
    <x v="0"/>
    <s v="S"/>
    <s v="XL"/>
    <s v="Beige"/>
    <n v="116.96"/>
    <n v="8.8000000000000009E-2"/>
    <n v="8.8000000000000007"/>
    <n v="10.292480000000001"/>
    <s v="Low Discount"/>
    <n v="106.67"/>
    <s v="Medium Loss"/>
    <d v="2025-04-29T00:00:00"/>
    <n v="33"/>
    <s v="IN STOCK"/>
    <n v="1.6"/>
    <n v="1.6"/>
    <b v="0"/>
    <x v="0"/>
    <m/>
  </r>
  <r>
    <s v="FB000209"/>
    <x v="1"/>
    <x v="7"/>
    <x v="2"/>
    <s v="M"/>
    <s v="XXL"/>
    <s v="Pink"/>
    <n v="111.14"/>
    <n v="0"/>
    <n v="0"/>
    <n v="0"/>
    <s v="No Discount"/>
    <n v="111.14"/>
    <s v="No Loss"/>
    <d v="2025-08-06T00:00:00"/>
    <n v="49"/>
    <s v="IN STOCK"/>
    <n v="1.6"/>
    <n v="1.6"/>
    <b v="0"/>
    <x v="0"/>
    <m/>
  </r>
  <r>
    <s v="FB000210"/>
    <x v="1"/>
    <x v="2"/>
    <x v="2"/>
    <s v="L"/>
    <s v="XS"/>
    <s v="Blue"/>
    <n v="59.6"/>
    <n v="0"/>
    <n v="0"/>
    <n v="0"/>
    <s v="No Discount"/>
    <n v="59.6"/>
    <s v="No Loss"/>
    <d v="2025-08-06T00:00:00"/>
    <n v="40"/>
    <s v="IN STOCK"/>
    <n v="2.1"/>
    <n v="2.1"/>
    <b v="0"/>
    <x v="0"/>
    <m/>
  </r>
  <r>
    <s v="FB000211"/>
    <x v="1"/>
    <x v="5"/>
    <x v="0"/>
    <s v="OS"/>
    <s v="S"/>
    <s v="Gray"/>
    <n v="25.49"/>
    <n v="0.16699999999999998"/>
    <n v="16.7"/>
    <n v="4.256829999999999"/>
    <s v="Low Discount"/>
    <n v="21.23"/>
    <s v="Low Loss"/>
    <d v="2025-05-23T00:00:00"/>
    <n v="32"/>
    <s v="IN STOCK"/>
    <n v="0"/>
    <m/>
    <b v="0"/>
    <x v="0"/>
    <m/>
  </r>
  <r>
    <s v="FB000212"/>
    <x v="1"/>
    <x v="0"/>
    <x v="0"/>
    <s v="XXL"/>
    <s v="M"/>
    <s v="Black"/>
    <n v="82.94"/>
    <n v="0"/>
    <n v="0"/>
    <n v="0"/>
    <s v="No Discount"/>
    <n v="82.94"/>
    <s v="No Loss"/>
    <d v="2025-07-17T00:00:00"/>
    <n v="46"/>
    <s v="IN STOCK"/>
    <n v="1.5"/>
    <n v="1.5"/>
    <b v="0"/>
    <x v="0"/>
    <m/>
  </r>
  <r>
    <s v="FB000213"/>
    <x v="1"/>
    <x v="1"/>
    <x v="0"/>
    <s v="XXL"/>
    <s v="L"/>
    <s v="Blue"/>
    <n v="99.71"/>
    <n v="0"/>
    <n v="0"/>
    <n v="0"/>
    <s v="No Discount"/>
    <n v="99.71"/>
    <s v="No Loss"/>
    <d v="2024-08-21T00:00:00"/>
    <n v="23"/>
    <s v="IN STOCK"/>
    <n v="1.4"/>
    <n v="1.4"/>
    <b v="0"/>
    <x v="0"/>
    <m/>
  </r>
  <r>
    <s v="FB000214"/>
    <x v="2"/>
    <x v="2"/>
    <x v="2"/>
    <s v="XL"/>
    <m/>
    <s v="Black"/>
    <n v="69.739999999999995"/>
    <n v="0"/>
    <n v="0"/>
    <n v="0"/>
    <s v="No Discount"/>
    <n v="69.739999999999995"/>
    <s v="No Loss"/>
    <d v="2025-08-06T00:00:00"/>
    <n v="11"/>
    <s v="IN STOCK"/>
    <n v="3.3"/>
    <n v="3.3"/>
    <b v="1"/>
    <x v="5"/>
    <s v="Changed Mind"/>
  </r>
  <r>
    <s v="FB000215"/>
    <x v="4"/>
    <x v="4"/>
    <x v="3"/>
    <s v="XXL"/>
    <s v="XXL"/>
    <s v="Green"/>
    <n v="57.19"/>
    <n v="0"/>
    <n v="0"/>
    <n v="0"/>
    <s v="No Discount"/>
    <n v="57.19"/>
    <s v="No Loss"/>
    <d v="2025-08-06T00:00:00"/>
    <n v="12"/>
    <s v="IN STOCK"/>
    <n v="2.5"/>
    <n v="2.5"/>
    <b v="0"/>
    <x v="0"/>
    <m/>
  </r>
  <r>
    <s v="FB000216"/>
    <x v="1"/>
    <x v="4"/>
    <x v="3"/>
    <s v="S"/>
    <s v="XXL"/>
    <s v="Red"/>
    <n v="58.65"/>
    <n v="0"/>
    <n v="0"/>
    <n v="0"/>
    <s v="No Discount"/>
    <n v="58.65"/>
    <s v="No Loss"/>
    <d v="2025-08-06T00:00:00"/>
    <n v="4"/>
    <s v="LOW STOCK"/>
    <n v="1.1000000000000001"/>
    <n v="1.1000000000000001"/>
    <b v="0"/>
    <x v="0"/>
    <m/>
  </r>
  <r>
    <s v="FB000217"/>
    <x v="0"/>
    <x v="1"/>
    <x v="2"/>
    <s v="XXL"/>
    <s v="XL"/>
    <s v="Pink"/>
    <n v="110.22"/>
    <n v="0"/>
    <n v="0"/>
    <n v="0"/>
    <s v="No Discount"/>
    <n v="110.22"/>
    <s v="No Loss"/>
    <d v="2025-08-06T00:00:00"/>
    <n v="4"/>
    <s v="LOW STOCK"/>
    <n v="1.6"/>
    <n v="1.6"/>
    <b v="0"/>
    <x v="0"/>
    <m/>
  </r>
  <r>
    <s v="FB000218"/>
    <x v="1"/>
    <x v="0"/>
    <x v="3"/>
    <s v="XS"/>
    <s v="XXL"/>
    <s v="Pink"/>
    <n v="69.36"/>
    <n v="0"/>
    <n v="0"/>
    <n v="0"/>
    <s v="No Discount"/>
    <n v="69.36"/>
    <s v="No Loss"/>
    <d v="2025-08-06T00:00:00"/>
    <n v="25"/>
    <s v="IN STOCK"/>
    <n v="0"/>
    <m/>
    <b v="0"/>
    <x v="0"/>
    <m/>
  </r>
  <r>
    <s v="FB000219"/>
    <x v="4"/>
    <x v="0"/>
    <x v="1"/>
    <s v="XXL"/>
    <s v="S"/>
    <s v="Black"/>
    <n v="87.03"/>
    <n v="0"/>
    <n v="0"/>
    <n v="0"/>
    <s v="No Discount"/>
    <n v="87.03"/>
    <s v="No Loss"/>
    <d v="2025-08-06T00:00:00"/>
    <n v="39"/>
    <s v="IN STOCK"/>
    <n v="4.3"/>
    <n v="4.3"/>
    <b v="0"/>
    <x v="0"/>
    <m/>
  </r>
  <r>
    <s v="FB000220"/>
    <x v="5"/>
    <x v="0"/>
    <x v="1"/>
    <s v="XL"/>
    <s v="XXL"/>
    <s v="Brown"/>
    <n v="160.6"/>
    <n v="0.184"/>
    <n v="18.399999999999999"/>
    <n v="29.5504"/>
    <s v="Low Discount"/>
    <n v="131.05000000000001"/>
    <s v="High Loss"/>
    <d v="2025-08-06T00:00:00"/>
    <n v="41"/>
    <s v="IN STOCK"/>
    <n v="3"/>
    <n v="3"/>
    <b v="0"/>
    <x v="0"/>
    <m/>
  </r>
  <r>
    <s v="FB000221"/>
    <x v="0"/>
    <x v="4"/>
    <x v="0"/>
    <s v="S"/>
    <s v="XS"/>
    <s v="Purple"/>
    <n v="167.02"/>
    <n v="0"/>
    <n v="0"/>
    <n v="0"/>
    <s v="No Discount"/>
    <n v="167.02"/>
    <s v="No Loss"/>
    <d v="2025-01-30T00:00:00"/>
    <n v="26"/>
    <s v="IN STOCK"/>
    <n v="2.6"/>
    <n v="2.6"/>
    <b v="1"/>
    <x v="2"/>
    <s v="Size Issue"/>
  </r>
  <r>
    <s v="FB000222"/>
    <x v="1"/>
    <x v="0"/>
    <x v="3"/>
    <s v="XL"/>
    <s v="XXL"/>
    <s v="Gray"/>
    <n v="26.09"/>
    <n v="0"/>
    <n v="0"/>
    <n v="0"/>
    <s v="No Discount"/>
    <n v="26.09"/>
    <s v="No Loss"/>
    <d v="2025-08-06T00:00:00"/>
    <n v="32"/>
    <s v="IN STOCK"/>
    <n v="4.5999999999999996"/>
    <n v="4.5999999999999996"/>
    <b v="1"/>
    <x v="3"/>
    <s v="Damaged"/>
  </r>
  <r>
    <s v="FB000223"/>
    <x v="0"/>
    <x v="4"/>
    <x v="3"/>
    <s v="XXL"/>
    <s v="XL"/>
    <s v="Brown"/>
    <n v="246.65"/>
    <n v="0"/>
    <n v="0"/>
    <n v="0"/>
    <s v="No Discount"/>
    <n v="246.65"/>
    <s v="No Loss"/>
    <d v="2025-08-06T00:00:00"/>
    <n v="17"/>
    <s v="IN STOCK"/>
    <n v="2.9"/>
    <n v="2.9"/>
    <b v="1"/>
    <x v="3"/>
    <s v="Damaged"/>
  </r>
  <r>
    <s v="FB000224"/>
    <x v="0"/>
    <x v="7"/>
    <x v="3"/>
    <s v="XXL"/>
    <s v="S"/>
    <s v="Red"/>
    <n v="206.91"/>
    <n v="0"/>
    <n v="0"/>
    <n v="0"/>
    <s v="No Discount"/>
    <n v="206.91"/>
    <s v="No Loss"/>
    <d v="2025-08-06T00:00:00"/>
    <n v="34"/>
    <s v="IN STOCK"/>
    <n v="2.2999999999999998"/>
    <n v="2.2999999999999998"/>
    <b v="0"/>
    <x v="0"/>
    <m/>
  </r>
  <r>
    <s v="FB000225"/>
    <x v="5"/>
    <x v="6"/>
    <x v="1"/>
    <s v="XS"/>
    <s v="XL"/>
    <s v="Black"/>
    <n v="85.08"/>
    <n v="0"/>
    <n v="0"/>
    <n v="0"/>
    <s v="No Discount"/>
    <n v="85.08"/>
    <s v="No Loss"/>
    <d v="2025-08-06T00:00:00"/>
    <n v="29"/>
    <s v="IN STOCK"/>
    <n v="0"/>
    <m/>
    <b v="0"/>
    <x v="0"/>
    <m/>
  </r>
  <r>
    <s v="FB000226"/>
    <x v="0"/>
    <x v="7"/>
    <x v="0"/>
    <s v="S"/>
    <s v="XXL"/>
    <s v="White"/>
    <n v="240.32"/>
    <n v="0.54799999999999993"/>
    <n v="54.8"/>
    <n v="131.69535999999999"/>
    <s v="high Discount"/>
    <n v="108.62"/>
    <s v="High Loss"/>
    <d v="2024-12-27T00:00:00"/>
    <n v="3"/>
    <s v="LOW STOCK"/>
    <n v="4.5"/>
    <n v="4.5"/>
    <b v="0"/>
    <x v="0"/>
    <m/>
  </r>
  <r>
    <s v="FB000227"/>
    <x v="5"/>
    <x v="1"/>
    <x v="2"/>
    <s v="OS"/>
    <s v="XXL"/>
    <s v="Red"/>
    <n v="130.12"/>
    <n v="1.3999999999999999E-2"/>
    <n v="1.4"/>
    <n v="1.82168"/>
    <s v="Low Discount"/>
    <n v="128.30000000000001"/>
    <s v="Low Loss"/>
    <d v="2025-08-06T00:00:00"/>
    <n v="0"/>
    <s v="NO STOCK"/>
    <n v="5"/>
    <n v="5"/>
    <b v="0"/>
    <x v="0"/>
    <m/>
  </r>
  <r>
    <s v="FB000228"/>
    <x v="4"/>
    <x v="4"/>
    <x v="0"/>
    <s v="S"/>
    <s v="XS"/>
    <s v="Black"/>
    <n v="42.29"/>
    <n v="0.158"/>
    <n v="15.8"/>
    <n v="6.6818200000000001"/>
    <s v="Low Discount"/>
    <n v="35.61"/>
    <s v="Low Loss"/>
    <d v="2024-11-02T00:00:00"/>
    <n v="11"/>
    <s v="IN STOCK"/>
    <n v="1.6"/>
    <n v="1.6"/>
    <b v="0"/>
    <x v="0"/>
    <m/>
  </r>
  <r>
    <s v="FB000229"/>
    <x v="0"/>
    <x v="4"/>
    <x v="0"/>
    <s v="OS"/>
    <s v="S"/>
    <s v="Beige"/>
    <n v="191.54"/>
    <n v="0"/>
    <n v="0"/>
    <n v="0"/>
    <s v="No Discount"/>
    <n v="191.54"/>
    <s v="No Loss"/>
    <d v="2024-10-10T00:00:00"/>
    <n v="18"/>
    <s v="IN STOCK"/>
    <n v="1.2"/>
    <n v="1.2"/>
    <b v="0"/>
    <x v="0"/>
    <m/>
  </r>
  <r>
    <s v="FB000230"/>
    <x v="2"/>
    <x v="5"/>
    <x v="0"/>
    <s v="OS"/>
    <m/>
    <s v="Beige"/>
    <n v="42.23"/>
    <n v="0"/>
    <n v="0"/>
    <n v="0"/>
    <s v="No Discount"/>
    <n v="42.23"/>
    <s v="No Loss"/>
    <d v="2025-07-14T00:00:00"/>
    <n v="15"/>
    <s v="IN STOCK"/>
    <n v="0"/>
    <m/>
    <b v="0"/>
    <x v="0"/>
    <m/>
  </r>
  <r>
    <s v="FB000231"/>
    <x v="3"/>
    <x v="4"/>
    <x v="3"/>
    <s v="OS"/>
    <s v="S"/>
    <s v="Gray"/>
    <n v="109.76"/>
    <n v="0"/>
    <n v="0"/>
    <n v="0"/>
    <s v="No Discount"/>
    <n v="109.76"/>
    <s v="No Loss"/>
    <d v="2025-08-06T00:00:00"/>
    <n v="16"/>
    <s v="IN STOCK"/>
    <n v="4.3"/>
    <n v="4.3"/>
    <b v="0"/>
    <x v="0"/>
    <m/>
  </r>
  <r>
    <s v="FB000232"/>
    <x v="2"/>
    <x v="3"/>
    <x v="3"/>
    <s v="S"/>
    <m/>
    <s v="Red"/>
    <n v="76.8"/>
    <n v="0.433"/>
    <n v="43.3"/>
    <n v="33.254399999999997"/>
    <s v="high Discount"/>
    <n v="43.55"/>
    <s v="High Loss"/>
    <d v="2025-08-06T00:00:00"/>
    <n v="24"/>
    <s v="IN STOCK"/>
    <n v="0"/>
    <m/>
    <b v="0"/>
    <x v="0"/>
    <m/>
  </r>
  <r>
    <s v="FB000233"/>
    <x v="5"/>
    <x v="7"/>
    <x v="1"/>
    <s v="XXL"/>
    <m/>
    <s v="Black"/>
    <n v="56.34"/>
    <n v="0.22399999999999998"/>
    <n v="22.4"/>
    <n v="12.62016"/>
    <s v="Medium Discount"/>
    <n v="43.72"/>
    <s v="Medium Loss"/>
    <d v="2025-08-06T00:00:00"/>
    <n v="37"/>
    <s v="IN STOCK"/>
    <n v="2.5"/>
    <n v="2.5"/>
    <b v="1"/>
    <x v="6"/>
    <s v="Wrong Item"/>
  </r>
  <r>
    <s v="FB000234"/>
    <x v="1"/>
    <x v="6"/>
    <x v="2"/>
    <s v="OS"/>
    <m/>
    <s v="Beige"/>
    <n v="88.41"/>
    <n v="0"/>
    <n v="0"/>
    <n v="0"/>
    <s v="No Discount"/>
    <n v="88.41"/>
    <s v="No Loss"/>
    <d v="2025-08-06T00:00:00"/>
    <n v="24"/>
    <s v="IN STOCK"/>
    <n v="4.4000000000000004"/>
    <n v="4.4000000000000004"/>
    <b v="0"/>
    <x v="0"/>
    <m/>
  </r>
  <r>
    <s v="FB000235"/>
    <x v="1"/>
    <x v="6"/>
    <x v="0"/>
    <s v="OS"/>
    <s v="S"/>
    <s v="Black"/>
    <n v="25.96"/>
    <n v="0"/>
    <n v="0"/>
    <n v="0"/>
    <s v="No Discount"/>
    <n v="25.96"/>
    <s v="No Loss"/>
    <d v="2024-10-04T00:00:00"/>
    <n v="2"/>
    <s v="LOW STOCK"/>
    <n v="1.4"/>
    <n v="1.4"/>
    <b v="0"/>
    <x v="0"/>
    <m/>
  </r>
  <r>
    <s v="FB000236"/>
    <x v="4"/>
    <x v="0"/>
    <x v="0"/>
    <s v="L"/>
    <s v="XXL"/>
    <s v="Red"/>
    <n v="60.25"/>
    <n v="0"/>
    <n v="0"/>
    <n v="0"/>
    <s v="No Discount"/>
    <n v="60.25"/>
    <s v="No Loss"/>
    <d v="2024-08-16T00:00:00"/>
    <n v="25"/>
    <s v="IN STOCK"/>
    <n v="4.0999999999999996"/>
    <n v="4.0999999999999996"/>
    <b v="0"/>
    <x v="0"/>
    <m/>
  </r>
  <r>
    <s v="FB000237"/>
    <x v="2"/>
    <x v="4"/>
    <x v="2"/>
    <s v="OS"/>
    <m/>
    <s v="Red"/>
    <n v="52.33"/>
    <n v="0.191"/>
    <n v="19.100000000000001"/>
    <n v="9.9950299999999999"/>
    <s v="Low Discount"/>
    <n v="42.33"/>
    <s v="Low Loss"/>
    <d v="2025-08-06T00:00:00"/>
    <n v="4"/>
    <s v="LOW STOCK"/>
    <n v="0"/>
    <m/>
    <b v="0"/>
    <x v="0"/>
    <m/>
  </r>
  <r>
    <s v="FB000238"/>
    <x v="2"/>
    <x v="3"/>
    <x v="2"/>
    <s v="XS"/>
    <m/>
    <s v="White"/>
    <n v="67.61"/>
    <n v="0"/>
    <n v="0"/>
    <n v="0"/>
    <s v="No Discount"/>
    <n v="67.61"/>
    <s v="No Loss"/>
    <d v="2025-08-06T00:00:00"/>
    <n v="14"/>
    <s v="IN STOCK"/>
    <n v="1.8"/>
    <n v="1.8"/>
    <b v="0"/>
    <x v="0"/>
    <m/>
  </r>
  <r>
    <s v="FB000239"/>
    <x v="3"/>
    <x v="7"/>
    <x v="0"/>
    <s v="XXL"/>
    <s v="L"/>
    <s v="Brown"/>
    <n v="136"/>
    <n v="0"/>
    <n v="0"/>
    <n v="0"/>
    <s v="No Discount"/>
    <n v="136"/>
    <s v="No Loss"/>
    <d v="2025-08-01T00:00:00"/>
    <n v="46"/>
    <s v="IN STOCK"/>
    <n v="4.5"/>
    <n v="4.5"/>
    <b v="0"/>
    <x v="0"/>
    <m/>
  </r>
  <r>
    <s v="FB000240"/>
    <x v="3"/>
    <x v="0"/>
    <x v="2"/>
    <s v="OS"/>
    <m/>
    <s v="Brown"/>
    <n v="74.48"/>
    <n v="0"/>
    <n v="0"/>
    <n v="0"/>
    <s v="No Discount"/>
    <n v="74.48"/>
    <s v="No Loss"/>
    <d v="2025-08-06T00:00:00"/>
    <n v="24"/>
    <s v="IN STOCK"/>
    <n v="3.7"/>
    <n v="3.7"/>
    <b v="0"/>
    <x v="0"/>
    <m/>
  </r>
  <r>
    <s v="FB000241"/>
    <x v="5"/>
    <x v="7"/>
    <x v="2"/>
    <s v="XXL"/>
    <s v="XS"/>
    <s v="Pink"/>
    <n v="101.39"/>
    <n v="0"/>
    <n v="0"/>
    <n v="0"/>
    <s v="No Discount"/>
    <n v="101.39"/>
    <s v="No Loss"/>
    <d v="2025-08-06T00:00:00"/>
    <n v="33"/>
    <s v="IN STOCK"/>
    <n v="2.4"/>
    <n v="2.4"/>
    <b v="1"/>
    <x v="2"/>
    <s v="Size Issue"/>
  </r>
  <r>
    <s v="FB000242"/>
    <x v="5"/>
    <x v="7"/>
    <x v="2"/>
    <s v="M"/>
    <s v="XXL"/>
    <s v="Green"/>
    <n v="169.68"/>
    <n v="0.41700000000000004"/>
    <n v="41.7"/>
    <n v="70.756560000000007"/>
    <s v="high Discount"/>
    <n v="98.92"/>
    <s v="High Loss"/>
    <d v="2025-08-06T00:00:00"/>
    <n v="43"/>
    <s v="IN STOCK"/>
    <n v="4.5999999999999996"/>
    <n v="4.5999999999999996"/>
    <b v="0"/>
    <x v="0"/>
    <m/>
  </r>
  <r>
    <s v="FB000243"/>
    <x v="2"/>
    <x v="7"/>
    <x v="1"/>
    <s v="L"/>
    <m/>
    <s v="Purple"/>
    <n v="52.45"/>
    <n v="0"/>
    <n v="0"/>
    <n v="0"/>
    <s v="No Discount"/>
    <n v="52.45"/>
    <s v="No Loss"/>
    <d v="2025-08-06T00:00:00"/>
    <n v="34"/>
    <s v="IN STOCK"/>
    <n v="2.1"/>
    <n v="2.1"/>
    <b v="0"/>
    <x v="0"/>
    <m/>
  </r>
  <r>
    <s v="FB000244"/>
    <x v="3"/>
    <x v="1"/>
    <x v="3"/>
    <s v="M"/>
    <s v="XXL"/>
    <s v="Pink"/>
    <n v="153.85"/>
    <n v="0.47600000000000003"/>
    <n v="47.6"/>
    <n v="73.232600000000005"/>
    <s v="high Discount"/>
    <n v="80.62"/>
    <s v="High Loss"/>
    <d v="2025-08-06T00:00:00"/>
    <n v="12"/>
    <s v="IN STOCK"/>
    <n v="3.1"/>
    <n v="3.1"/>
    <b v="0"/>
    <x v="0"/>
    <m/>
  </r>
  <r>
    <s v="FB000245"/>
    <x v="4"/>
    <x v="3"/>
    <x v="2"/>
    <s v="M"/>
    <s v="M"/>
    <s v="Brown"/>
    <n v="32.700000000000003"/>
    <n v="0.505"/>
    <n v="50.5"/>
    <n v="16.513500000000001"/>
    <s v="high Discount"/>
    <n v="16.190000000000001"/>
    <s v="Medium Loss"/>
    <d v="2025-08-06T00:00:00"/>
    <n v="46"/>
    <s v="IN STOCK"/>
    <n v="1.3"/>
    <n v="1.3"/>
    <b v="0"/>
    <x v="0"/>
    <m/>
  </r>
  <r>
    <s v="FB000246"/>
    <x v="0"/>
    <x v="1"/>
    <x v="2"/>
    <s v="M"/>
    <s v="L"/>
    <s v="Navy"/>
    <n v="104.27"/>
    <n v="0.54600000000000004"/>
    <n v="54.6"/>
    <n v="56.931420000000003"/>
    <s v="high Discount"/>
    <n v="47.34"/>
    <s v="High Loss"/>
    <d v="2025-08-06T00:00:00"/>
    <n v="42"/>
    <s v="IN STOCK"/>
    <n v="4.2"/>
    <n v="4.2"/>
    <b v="0"/>
    <x v="0"/>
    <m/>
  </r>
  <r>
    <s v="FB000247"/>
    <x v="5"/>
    <x v="7"/>
    <x v="3"/>
    <s v="XS"/>
    <s v="M"/>
    <s v="Gray"/>
    <n v="80.040000000000006"/>
    <n v="0.50900000000000001"/>
    <n v="50.9"/>
    <n v="40.740360000000003"/>
    <s v="high Discount"/>
    <n v="39.299999999999997"/>
    <s v="High Loss"/>
    <d v="2025-08-06T00:00:00"/>
    <n v="45"/>
    <s v="IN STOCK"/>
    <n v="0"/>
    <m/>
    <b v="0"/>
    <x v="0"/>
    <m/>
  </r>
  <r>
    <s v="FB000248"/>
    <x v="4"/>
    <x v="2"/>
    <x v="0"/>
    <s v="L"/>
    <s v="M"/>
    <s v="Black"/>
    <n v="72.069999999999993"/>
    <n v="0"/>
    <n v="0"/>
    <n v="0"/>
    <s v="No Discount"/>
    <n v="72.069999999999993"/>
    <s v="No Loss"/>
    <d v="2025-05-08T00:00:00"/>
    <n v="20"/>
    <s v="IN STOCK"/>
    <n v="0"/>
    <m/>
    <b v="1"/>
    <x v="1"/>
    <s v="Color Mismatch"/>
  </r>
  <r>
    <s v="FB000249"/>
    <x v="0"/>
    <x v="0"/>
    <x v="2"/>
    <s v="L"/>
    <s v="M"/>
    <s v="Green"/>
    <n v="220.99"/>
    <n v="0"/>
    <n v="0"/>
    <n v="0"/>
    <s v="No Discount"/>
    <n v="220.99"/>
    <s v="No Loss"/>
    <d v="2025-08-06T00:00:00"/>
    <n v="42"/>
    <s v="IN STOCK"/>
    <n v="3.6"/>
    <n v="3.6"/>
    <b v="0"/>
    <x v="0"/>
    <m/>
  </r>
  <r>
    <s v="FB000250"/>
    <x v="0"/>
    <x v="1"/>
    <x v="2"/>
    <s v="L"/>
    <s v="XS"/>
    <s v="Black"/>
    <n v="117.36"/>
    <n v="0.14599999999999999"/>
    <n v="14.6"/>
    <n v="17.13456"/>
    <s v="Low Discount"/>
    <n v="100.23"/>
    <s v="Medium Loss"/>
    <d v="2025-08-06T00:00:00"/>
    <n v="33"/>
    <s v="IN STOCK"/>
    <n v="0"/>
    <m/>
    <b v="1"/>
    <x v="2"/>
    <s v="Size Issue"/>
  </r>
  <r>
    <s v="FB000251"/>
    <x v="0"/>
    <x v="2"/>
    <x v="0"/>
    <s v="XL"/>
    <s v="L"/>
    <s v="Navy"/>
    <n v="198.76"/>
    <n v="0.48799999999999999"/>
    <n v="48.8"/>
    <n v="96.994879999999995"/>
    <s v="high Discount"/>
    <n v="101.77"/>
    <s v="High Loss"/>
    <d v="2025-04-26T00:00:00"/>
    <n v="36"/>
    <s v="IN STOCK"/>
    <n v="3"/>
    <n v="3"/>
    <b v="0"/>
    <x v="0"/>
    <m/>
  </r>
  <r>
    <s v="FB000252"/>
    <x v="0"/>
    <x v="4"/>
    <x v="2"/>
    <s v="S"/>
    <s v="L"/>
    <s v="Black"/>
    <n v="121.03"/>
    <n v="0"/>
    <n v="0"/>
    <n v="0"/>
    <s v="No Discount"/>
    <n v="121.03"/>
    <s v="No Loss"/>
    <d v="2025-08-06T00:00:00"/>
    <n v="14"/>
    <s v="IN STOCK"/>
    <n v="1.6"/>
    <n v="1.6"/>
    <b v="1"/>
    <x v="5"/>
    <s v="Changed Mind"/>
  </r>
  <r>
    <s v="FB000253"/>
    <x v="1"/>
    <x v="4"/>
    <x v="2"/>
    <s v="XXL"/>
    <s v="L"/>
    <s v="White"/>
    <n v="88.62"/>
    <n v="0"/>
    <n v="0"/>
    <n v="0"/>
    <s v="No Discount"/>
    <n v="88.62"/>
    <s v="No Loss"/>
    <d v="2025-08-06T00:00:00"/>
    <n v="48"/>
    <s v="IN STOCK"/>
    <n v="2.4"/>
    <n v="2.4"/>
    <b v="0"/>
    <x v="0"/>
    <m/>
  </r>
  <r>
    <s v="FB000254"/>
    <x v="3"/>
    <x v="4"/>
    <x v="3"/>
    <s v="OS"/>
    <s v="XL"/>
    <s v="Green"/>
    <n v="88.94"/>
    <n v="0"/>
    <n v="0"/>
    <n v="0"/>
    <s v="No Discount"/>
    <n v="88.94"/>
    <s v="No Loss"/>
    <d v="2025-08-06T00:00:00"/>
    <n v="29"/>
    <s v="IN STOCK"/>
    <n v="3.9"/>
    <n v="3.9"/>
    <b v="0"/>
    <x v="0"/>
    <m/>
  </r>
  <r>
    <s v="FB000255"/>
    <x v="4"/>
    <x v="0"/>
    <x v="1"/>
    <s v="XXL"/>
    <s v="S"/>
    <s v="Black"/>
    <n v="115.7"/>
    <n v="0.17800000000000002"/>
    <n v="17.8"/>
    <n v="20.594600000000003"/>
    <s v="Low Discount"/>
    <n v="95.11"/>
    <s v="High Loss"/>
    <d v="2025-08-06T00:00:00"/>
    <n v="32"/>
    <s v="IN STOCK"/>
    <n v="1.7"/>
    <n v="1.7"/>
    <b v="0"/>
    <x v="0"/>
    <m/>
  </r>
  <r>
    <s v="FB000256"/>
    <x v="4"/>
    <x v="7"/>
    <x v="2"/>
    <s v="XL"/>
    <s v="XXL"/>
    <s v="Black"/>
    <n v="75.66"/>
    <n v="0"/>
    <n v="0"/>
    <n v="0"/>
    <s v="No Discount"/>
    <n v="75.66"/>
    <s v="No Loss"/>
    <d v="2025-08-06T00:00:00"/>
    <n v="20"/>
    <s v="IN STOCK"/>
    <n v="3"/>
    <n v="3"/>
    <b v="0"/>
    <x v="0"/>
    <m/>
  </r>
  <r>
    <s v="FB000257"/>
    <x v="2"/>
    <x v="5"/>
    <x v="1"/>
    <s v="OS"/>
    <m/>
    <s v="Green"/>
    <n v="42.11"/>
    <n v="0"/>
    <n v="0"/>
    <n v="0"/>
    <s v="No Discount"/>
    <n v="42.11"/>
    <s v="No Loss"/>
    <d v="2025-08-06T00:00:00"/>
    <n v="26"/>
    <s v="IN STOCK"/>
    <n v="4"/>
    <n v="4"/>
    <b v="0"/>
    <x v="0"/>
    <m/>
  </r>
  <r>
    <s v="FB000258"/>
    <x v="0"/>
    <x v="4"/>
    <x v="0"/>
    <s v="XL"/>
    <s v="XXL"/>
    <s v="Beige"/>
    <n v="247.9"/>
    <n v="4.2999999999999997E-2"/>
    <n v="4.3"/>
    <n v="10.659699999999999"/>
    <s v="Low Discount"/>
    <n v="237.24"/>
    <s v="Medium Loss"/>
    <d v="2024-12-25T00:00:00"/>
    <n v="25"/>
    <s v="IN STOCK"/>
    <n v="4.5999999999999996"/>
    <n v="4.5999999999999996"/>
    <b v="0"/>
    <x v="0"/>
    <m/>
  </r>
  <r>
    <s v="FB000259"/>
    <x v="3"/>
    <x v="2"/>
    <x v="0"/>
    <s v="XL"/>
    <s v="XL"/>
    <s v="Beige"/>
    <n v="143.44999999999999"/>
    <n v="0"/>
    <n v="0"/>
    <n v="0"/>
    <s v="No Discount"/>
    <n v="143.44999999999999"/>
    <s v="No Loss"/>
    <d v="2024-09-27T00:00:00"/>
    <n v="39"/>
    <s v="IN STOCK"/>
    <n v="0"/>
    <m/>
    <b v="1"/>
    <x v="4"/>
    <s v="Quality Issue"/>
  </r>
  <r>
    <s v="FB000260"/>
    <x v="2"/>
    <x v="2"/>
    <x v="1"/>
    <s v="XXL"/>
    <m/>
    <s v="Beige"/>
    <n v="24.96"/>
    <n v="0.44700000000000001"/>
    <n v="44.7"/>
    <n v="11.157120000000001"/>
    <s v="high Discount"/>
    <n v="13.8"/>
    <s v="Medium Loss"/>
    <d v="2025-08-06T00:00:00"/>
    <n v="44"/>
    <s v="IN STOCK"/>
    <n v="0"/>
    <m/>
    <b v="0"/>
    <x v="0"/>
    <m/>
  </r>
  <r>
    <s v="FB000261"/>
    <x v="0"/>
    <x v="7"/>
    <x v="3"/>
    <s v="S"/>
    <s v="XL"/>
    <s v="Navy"/>
    <n v="109.74"/>
    <n v="0"/>
    <n v="0"/>
    <n v="0"/>
    <s v="No Discount"/>
    <n v="109.74"/>
    <s v="No Loss"/>
    <d v="2025-08-06T00:00:00"/>
    <n v="45"/>
    <s v="IN STOCK"/>
    <n v="1.9"/>
    <n v="1.9"/>
    <b v="0"/>
    <x v="0"/>
    <m/>
  </r>
  <r>
    <s v="FB000262"/>
    <x v="5"/>
    <x v="4"/>
    <x v="3"/>
    <s v="XXL"/>
    <s v="XL"/>
    <s v="Blue"/>
    <n v="161.13999999999999"/>
    <n v="0"/>
    <n v="0"/>
    <n v="0"/>
    <s v="No Discount"/>
    <n v="161.13999999999999"/>
    <s v="No Loss"/>
    <d v="2025-08-06T00:00:00"/>
    <n v="44"/>
    <s v="IN STOCK"/>
    <n v="1.6"/>
    <n v="1.6"/>
    <b v="0"/>
    <x v="0"/>
    <m/>
  </r>
  <r>
    <s v="FB000263"/>
    <x v="0"/>
    <x v="2"/>
    <x v="0"/>
    <s v="OS"/>
    <s v="XXL"/>
    <s v="Brown"/>
    <n v="220.14"/>
    <n v="9.1999999999999998E-2"/>
    <n v="9.1999999999999993"/>
    <n v="20.252879999999998"/>
    <s v="Low Discount"/>
    <n v="199.89"/>
    <s v="High Loss"/>
    <d v="2025-06-27T00:00:00"/>
    <n v="23"/>
    <s v="IN STOCK"/>
    <n v="4.8"/>
    <n v="4.8"/>
    <b v="0"/>
    <x v="0"/>
    <m/>
  </r>
  <r>
    <s v="FB000264"/>
    <x v="5"/>
    <x v="7"/>
    <x v="3"/>
    <s v="XS"/>
    <s v="S"/>
    <s v="Pink"/>
    <n v="57.33"/>
    <n v="0"/>
    <n v="0"/>
    <n v="0"/>
    <s v="No Discount"/>
    <n v="57.33"/>
    <s v="No Loss"/>
    <d v="2025-08-06T00:00:00"/>
    <n v="23"/>
    <s v="IN STOCK"/>
    <n v="2"/>
    <n v="2"/>
    <b v="0"/>
    <x v="0"/>
    <m/>
  </r>
  <r>
    <s v="FB000265"/>
    <x v="4"/>
    <x v="0"/>
    <x v="2"/>
    <s v="S"/>
    <s v="XXL"/>
    <s v="Blue"/>
    <n v="108.24"/>
    <n v="0"/>
    <n v="0"/>
    <n v="0"/>
    <s v="No Discount"/>
    <n v="108.24"/>
    <s v="No Loss"/>
    <d v="2025-08-06T00:00:00"/>
    <n v="8"/>
    <s v="LOW STOCK"/>
    <n v="2.2999999999999998"/>
    <n v="2.2999999999999998"/>
    <b v="0"/>
    <x v="0"/>
    <m/>
  </r>
  <r>
    <s v="FB000266"/>
    <x v="2"/>
    <x v="2"/>
    <x v="3"/>
    <s v="OS"/>
    <m/>
    <s v="Gray"/>
    <n v="67.930000000000007"/>
    <n v="0"/>
    <n v="0"/>
    <n v="0"/>
    <s v="No Discount"/>
    <n v="67.930000000000007"/>
    <s v="No Loss"/>
    <d v="2025-08-06T00:00:00"/>
    <n v="22"/>
    <s v="IN STOCK"/>
    <n v="4.5999999999999996"/>
    <n v="4.5999999999999996"/>
    <b v="0"/>
    <x v="0"/>
    <m/>
  </r>
  <r>
    <s v="FB000267"/>
    <x v="5"/>
    <x v="0"/>
    <x v="1"/>
    <s v="S"/>
    <s v="XS"/>
    <s v="Blue"/>
    <n v="168.96"/>
    <n v="0"/>
    <n v="0"/>
    <n v="0"/>
    <s v="No Discount"/>
    <n v="168.96"/>
    <s v="No Loss"/>
    <d v="2025-08-06T00:00:00"/>
    <n v="9"/>
    <s v="LOW STOCK"/>
    <n v="0"/>
    <m/>
    <b v="0"/>
    <x v="0"/>
    <m/>
  </r>
  <r>
    <s v="FB000268"/>
    <x v="1"/>
    <x v="5"/>
    <x v="2"/>
    <s v="OS"/>
    <s v="S"/>
    <s v="White"/>
    <n v="90.63"/>
    <n v="0"/>
    <n v="0"/>
    <n v="0"/>
    <s v="No Discount"/>
    <n v="90.63"/>
    <s v="No Loss"/>
    <d v="2025-08-06T00:00:00"/>
    <n v="33"/>
    <s v="IN STOCK"/>
    <n v="4.2"/>
    <n v="4.2"/>
    <b v="0"/>
    <x v="0"/>
    <m/>
  </r>
  <r>
    <s v="FB000269"/>
    <x v="2"/>
    <x v="3"/>
    <x v="0"/>
    <s v="XXL"/>
    <m/>
    <s v="Green"/>
    <n v="72.3"/>
    <n v="4.0000000000000001E-3"/>
    <n v="0.4"/>
    <n v="0.28920000000000001"/>
    <s v="Low Discount"/>
    <n v="72.010000000000005"/>
    <s v="Low Loss"/>
    <d v="2024-12-29T00:00:00"/>
    <n v="38"/>
    <s v="IN STOCK"/>
    <n v="3"/>
    <n v="3"/>
    <b v="1"/>
    <x v="1"/>
    <s v="Color Mismatch"/>
  </r>
  <r>
    <s v="FB000270"/>
    <x v="4"/>
    <x v="4"/>
    <x v="1"/>
    <s v="M"/>
    <s v="S"/>
    <s v="Beige"/>
    <n v="27.98"/>
    <n v="0"/>
    <n v="0"/>
    <n v="0"/>
    <s v="No Discount"/>
    <n v="27.98"/>
    <s v="No Loss"/>
    <d v="2025-08-06T00:00:00"/>
    <n v="0"/>
    <s v="NO STOCK"/>
    <n v="3"/>
    <n v="3"/>
    <b v="0"/>
    <x v="0"/>
    <m/>
  </r>
  <r>
    <s v="FB000271"/>
    <x v="5"/>
    <x v="7"/>
    <x v="3"/>
    <s v="XXL"/>
    <m/>
    <s v="Navy"/>
    <n v="92.73"/>
    <n v="0"/>
    <n v="0"/>
    <n v="0"/>
    <s v="No Discount"/>
    <n v="92.73"/>
    <s v="No Loss"/>
    <d v="2025-08-06T00:00:00"/>
    <n v="15"/>
    <s v="IN STOCK"/>
    <n v="1.4"/>
    <n v="1.4"/>
    <b v="0"/>
    <x v="0"/>
    <m/>
  </r>
  <r>
    <s v="FB000272"/>
    <x v="4"/>
    <x v="3"/>
    <x v="3"/>
    <s v="XL"/>
    <s v="XXL"/>
    <s v="White"/>
    <n v="64.28"/>
    <n v="0"/>
    <n v="0"/>
    <n v="0"/>
    <s v="No Discount"/>
    <n v="64.28"/>
    <s v="No Loss"/>
    <d v="2025-08-06T00:00:00"/>
    <n v="46"/>
    <s v="IN STOCK"/>
    <n v="3"/>
    <n v="3"/>
    <b v="0"/>
    <x v="0"/>
    <m/>
  </r>
  <r>
    <s v="FB000273"/>
    <x v="5"/>
    <x v="5"/>
    <x v="2"/>
    <s v="L"/>
    <s v="M"/>
    <s v="Black"/>
    <n v="133.12"/>
    <n v="0"/>
    <n v="0"/>
    <n v="0"/>
    <s v="No Discount"/>
    <n v="133.12"/>
    <s v="No Loss"/>
    <d v="2025-08-06T00:00:00"/>
    <n v="35"/>
    <s v="IN STOCK"/>
    <n v="1.9"/>
    <n v="1.9"/>
    <b v="0"/>
    <x v="0"/>
    <m/>
  </r>
  <r>
    <s v="FB000274"/>
    <x v="1"/>
    <x v="6"/>
    <x v="1"/>
    <s v="XS"/>
    <s v="XXL"/>
    <s v="Brown"/>
    <n v="70.36"/>
    <n v="0"/>
    <n v="0"/>
    <n v="0"/>
    <s v="No Discount"/>
    <n v="70.36"/>
    <s v="No Loss"/>
    <d v="2025-08-06T00:00:00"/>
    <n v="0"/>
    <s v="NO STOCK"/>
    <n v="0"/>
    <m/>
    <b v="0"/>
    <x v="0"/>
    <m/>
  </r>
  <r>
    <s v="FB000275"/>
    <x v="0"/>
    <x v="1"/>
    <x v="3"/>
    <s v="OS"/>
    <s v="XL"/>
    <s v="Pink"/>
    <n v="199.01"/>
    <n v="0"/>
    <n v="0"/>
    <n v="0"/>
    <s v="No Discount"/>
    <n v="199.01"/>
    <s v="No Loss"/>
    <d v="2025-08-06T00:00:00"/>
    <n v="8"/>
    <s v="LOW STOCK"/>
    <n v="4.4000000000000004"/>
    <n v="4.4000000000000004"/>
    <b v="0"/>
    <x v="0"/>
    <m/>
  </r>
  <r>
    <s v="FB000276"/>
    <x v="4"/>
    <x v="4"/>
    <x v="3"/>
    <s v="XXL"/>
    <s v="L"/>
    <s v="Navy"/>
    <n v="62.41"/>
    <n v="0.371"/>
    <n v="37.1"/>
    <n v="23.154109999999999"/>
    <s v="high Discount"/>
    <n v="39.26"/>
    <s v="High Loss"/>
    <d v="2025-08-06T00:00:00"/>
    <n v="6"/>
    <s v="LOW STOCK"/>
    <n v="4.0999999999999996"/>
    <n v="4.0999999999999996"/>
    <b v="0"/>
    <x v="0"/>
    <m/>
  </r>
  <r>
    <s v="FB000277"/>
    <x v="3"/>
    <x v="1"/>
    <x v="3"/>
    <s v="OS"/>
    <s v="XS"/>
    <s v="Black"/>
    <n v="71.44"/>
    <n v="0"/>
    <n v="0"/>
    <n v="0"/>
    <s v="No Discount"/>
    <n v="71.44"/>
    <s v="No Loss"/>
    <d v="2025-08-06T00:00:00"/>
    <n v="45"/>
    <s v="IN STOCK"/>
    <n v="4"/>
    <n v="4"/>
    <b v="0"/>
    <x v="0"/>
    <m/>
  </r>
  <r>
    <s v="FB000278"/>
    <x v="5"/>
    <x v="0"/>
    <x v="1"/>
    <s v="OS"/>
    <m/>
    <s v="Blue"/>
    <n v="89.69"/>
    <n v="0"/>
    <n v="0"/>
    <n v="0"/>
    <s v="No Discount"/>
    <n v="89.69"/>
    <s v="No Loss"/>
    <d v="2025-08-06T00:00:00"/>
    <n v="50"/>
    <s v="IN STOCK"/>
    <n v="4.3"/>
    <n v="4.3"/>
    <b v="0"/>
    <x v="0"/>
    <m/>
  </r>
  <r>
    <s v="FB000279"/>
    <x v="0"/>
    <x v="3"/>
    <x v="0"/>
    <s v="S"/>
    <s v="XXL"/>
    <s v="Gray"/>
    <n v="161.65"/>
    <n v="0.10199999999999999"/>
    <n v="10.199999999999999"/>
    <n v="16.488299999999999"/>
    <s v="Low Discount"/>
    <n v="145.16"/>
    <s v="Medium Loss"/>
    <d v="2025-03-30T00:00:00"/>
    <n v="42"/>
    <s v="IN STOCK"/>
    <n v="0"/>
    <m/>
    <b v="0"/>
    <x v="0"/>
    <m/>
  </r>
  <r>
    <s v="FB000280"/>
    <x v="2"/>
    <x v="1"/>
    <x v="1"/>
    <s v="XS"/>
    <m/>
    <s v="White"/>
    <n v="46.59"/>
    <n v="0"/>
    <n v="0"/>
    <n v="0"/>
    <s v="No Discount"/>
    <n v="46.59"/>
    <s v="No Loss"/>
    <d v="2025-08-06T00:00:00"/>
    <n v="29"/>
    <s v="IN STOCK"/>
    <n v="4.8"/>
    <n v="4.8"/>
    <b v="0"/>
    <x v="0"/>
    <m/>
  </r>
  <r>
    <s v="FB000281"/>
    <x v="2"/>
    <x v="0"/>
    <x v="2"/>
    <s v="S"/>
    <m/>
    <s v="Pink"/>
    <n v="74.2"/>
    <n v="0"/>
    <n v="0"/>
    <n v="0"/>
    <s v="No Discount"/>
    <n v="74.2"/>
    <s v="No Loss"/>
    <d v="2025-08-06T00:00:00"/>
    <n v="22"/>
    <s v="IN STOCK"/>
    <n v="1.7"/>
    <n v="1.7"/>
    <b v="0"/>
    <x v="0"/>
    <m/>
  </r>
  <r>
    <s v="FB000282"/>
    <x v="4"/>
    <x v="1"/>
    <x v="2"/>
    <s v="M"/>
    <s v="S"/>
    <s v="Brown"/>
    <n v="99.67"/>
    <n v="0"/>
    <n v="0"/>
    <n v="0"/>
    <s v="No Discount"/>
    <n v="99.67"/>
    <s v="No Loss"/>
    <d v="2025-08-06T00:00:00"/>
    <n v="13"/>
    <s v="IN STOCK"/>
    <n v="5"/>
    <n v="5"/>
    <b v="0"/>
    <x v="0"/>
    <m/>
  </r>
  <r>
    <s v="FB000283"/>
    <x v="3"/>
    <x v="7"/>
    <x v="2"/>
    <s v="OS"/>
    <s v="XS"/>
    <s v="Purple"/>
    <n v="112.74"/>
    <n v="0.23"/>
    <n v="23"/>
    <n v="25.930199999999999"/>
    <s v="Medium Discount"/>
    <n v="86.81"/>
    <s v="High Loss"/>
    <d v="2025-08-06T00:00:00"/>
    <n v="37"/>
    <s v="IN STOCK"/>
    <n v="1"/>
    <n v="1"/>
    <b v="0"/>
    <x v="0"/>
    <m/>
  </r>
  <r>
    <s v="FB000284"/>
    <x v="1"/>
    <x v="2"/>
    <x v="3"/>
    <s v="XL"/>
    <s v="S"/>
    <s v="Black"/>
    <n v="95.82"/>
    <n v="0.39399999999999996"/>
    <n v="39.4"/>
    <n v="37.753079999999997"/>
    <s v="high Discount"/>
    <n v="58.07"/>
    <s v="High Loss"/>
    <d v="2025-08-06T00:00:00"/>
    <n v="6"/>
    <s v="LOW STOCK"/>
    <n v="0"/>
    <m/>
    <b v="1"/>
    <x v="3"/>
    <s v="Damaged"/>
  </r>
  <r>
    <s v="FB000285"/>
    <x v="3"/>
    <x v="5"/>
    <x v="1"/>
    <s v="S"/>
    <s v="M"/>
    <s v="Green"/>
    <n v="157.41999999999999"/>
    <n v="0"/>
    <n v="0"/>
    <n v="0"/>
    <s v="No Discount"/>
    <n v="157.41999999999999"/>
    <s v="No Loss"/>
    <d v="2025-08-06T00:00:00"/>
    <n v="38"/>
    <s v="IN STOCK"/>
    <n v="2.4"/>
    <n v="2.4"/>
    <b v="0"/>
    <x v="0"/>
    <m/>
  </r>
  <r>
    <s v="FB000286"/>
    <x v="2"/>
    <x v="0"/>
    <x v="2"/>
    <s v="OS"/>
    <m/>
    <s v="Red"/>
    <n v="60.17"/>
    <n v="0.14099999999999999"/>
    <n v="14.1"/>
    <n v="8.4839699999999993"/>
    <s v="Low Discount"/>
    <n v="51.69"/>
    <s v="Low Loss"/>
    <d v="2025-08-06T00:00:00"/>
    <n v="38"/>
    <s v="IN STOCK"/>
    <n v="5"/>
    <n v="5"/>
    <b v="0"/>
    <x v="0"/>
    <m/>
  </r>
  <r>
    <s v="FB000287"/>
    <x v="0"/>
    <x v="3"/>
    <x v="1"/>
    <s v="OS"/>
    <s v="XL"/>
    <s v="Pink"/>
    <n v="169.03"/>
    <n v="0"/>
    <n v="0"/>
    <n v="0"/>
    <s v="No Discount"/>
    <n v="169.03"/>
    <s v="No Loss"/>
    <d v="2025-08-06T00:00:00"/>
    <n v="16"/>
    <s v="IN STOCK"/>
    <n v="1.7"/>
    <n v="1.7"/>
    <b v="0"/>
    <x v="0"/>
    <m/>
  </r>
  <r>
    <s v="FB000288"/>
    <x v="5"/>
    <x v="1"/>
    <x v="2"/>
    <s v="M"/>
    <s v="S"/>
    <s v="Pink"/>
    <n v="175.86"/>
    <n v="0"/>
    <n v="0"/>
    <n v="0"/>
    <s v="No Discount"/>
    <n v="175.86"/>
    <s v="No Loss"/>
    <d v="2025-08-06T00:00:00"/>
    <n v="0"/>
    <s v="NO STOCK"/>
    <n v="4.5999999999999996"/>
    <n v="4.5999999999999996"/>
    <b v="0"/>
    <x v="0"/>
    <m/>
  </r>
  <r>
    <s v="FB000289"/>
    <x v="3"/>
    <x v="3"/>
    <x v="3"/>
    <s v="XS"/>
    <m/>
    <s v="Brown"/>
    <n v="169.75"/>
    <n v="0"/>
    <n v="0"/>
    <n v="0"/>
    <s v="No Discount"/>
    <n v="169.75"/>
    <s v="No Loss"/>
    <d v="2025-08-06T00:00:00"/>
    <n v="5"/>
    <s v="LOW STOCK"/>
    <n v="2.7"/>
    <n v="2.7"/>
    <b v="0"/>
    <x v="0"/>
    <m/>
  </r>
  <r>
    <s v="FB000290"/>
    <x v="2"/>
    <x v="4"/>
    <x v="3"/>
    <s v="M"/>
    <m/>
    <s v="Red"/>
    <n v="51.77"/>
    <n v="0.24299999999999999"/>
    <n v="24.3"/>
    <n v="12.580110000000001"/>
    <s v="Medium Discount"/>
    <n v="39.19"/>
    <s v="Medium Loss"/>
    <d v="2025-08-06T00:00:00"/>
    <n v="50"/>
    <s v="IN STOCK"/>
    <n v="3.7"/>
    <n v="3.7"/>
    <b v="0"/>
    <x v="0"/>
    <m/>
  </r>
  <r>
    <s v="FB000291"/>
    <x v="1"/>
    <x v="3"/>
    <x v="2"/>
    <s v="S"/>
    <s v="M"/>
    <s v="Black"/>
    <n v="83.09"/>
    <n v="0"/>
    <n v="0"/>
    <n v="0"/>
    <s v="No Discount"/>
    <n v="83.09"/>
    <s v="No Loss"/>
    <d v="2025-08-06T00:00:00"/>
    <n v="22"/>
    <s v="IN STOCK"/>
    <n v="2.2999999999999998"/>
    <n v="2.2999999999999998"/>
    <b v="0"/>
    <x v="0"/>
    <m/>
  </r>
  <r>
    <s v="FB000292"/>
    <x v="0"/>
    <x v="5"/>
    <x v="1"/>
    <s v="M"/>
    <s v="XS"/>
    <s v="Purple"/>
    <n v="176.1"/>
    <n v="0"/>
    <n v="0"/>
    <n v="0"/>
    <s v="No Discount"/>
    <n v="176.1"/>
    <s v="No Loss"/>
    <d v="2025-08-06T00:00:00"/>
    <n v="12"/>
    <s v="IN STOCK"/>
    <n v="4.5999999999999996"/>
    <n v="4.5999999999999996"/>
    <b v="0"/>
    <x v="0"/>
    <m/>
  </r>
  <r>
    <s v="FB000293"/>
    <x v="4"/>
    <x v="3"/>
    <x v="2"/>
    <s v="XXL"/>
    <s v="M"/>
    <s v="Blue"/>
    <n v="69.11"/>
    <n v="0"/>
    <n v="0"/>
    <n v="0"/>
    <s v="No Discount"/>
    <n v="69.11"/>
    <s v="No Loss"/>
    <d v="2025-08-06T00:00:00"/>
    <n v="18"/>
    <s v="IN STOCK"/>
    <n v="3.9"/>
    <n v="3.9"/>
    <b v="0"/>
    <x v="0"/>
    <m/>
  </r>
  <r>
    <s v="FB000294"/>
    <x v="3"/>
    <x v="0"/>
    <x v="0"/>
    <s v="OS"/>
    <s v="S"/>
    <s v="Purple"/>
    <n v="117.85"/>
    <n v="0"/>
    <n v="0"/>
    <n v="0"/>
    <s v="No Discount"/>
    <n v="117.85"/>
    <s v="No Loss"/>
    <d v="2024-12-23T00:00:00"/>
    <n v="34"/>
    <s v="IN STOCK"/>
    <n v="3.3"/>
    <n v="3.3"/>
    <b v="0"/>
    <x v="0"/>
    <m/>
  </r>
  <r>
    <s v="FB000295"/>
    <x v="3"/>
    <x v="2"/>
    <x v="2"/>
    <s v="S"/>
    <s v="M"/>
    <s v="Purple"/>
    <n v="96.17"/>
    <n v="0.36"/>
    <n v="36"/>
    <n v="34.621200000000002"/>
    <s v="high Discount"/>
    <n v="61.55"/>
    <s v="High Loss"/>
    <d v="2025-08-06T00:00:00"/>
    <n v="45"/>
    <s v="IN STOCK"/>
    <n v="3.5"/>
    <n v="3.5"/>
    <b v="0"/>
    <x v="0"/>
    <m/>
  </r>
  <r>
    <s v="FB000296"/>
    <x v="3"/>
    <x v="0"/>
    <x v="0"/>
    <s v="XXL"/>
    <s v="XXL"/>
    <s v="Red"/>
    <n v="80.14"/>
    <n v="0"/>
    <n v="0"/>
    <n v="0"/>
    <s v="No Discount"/>
    <n v="80.14"/>
    <s v="No Loss"/>
    <d v="2025-03-31T00:00:00"/>
    <n v="10"/>
    <s v="LOW STOCK"/>
    <n v="5"/>
    <n v="5"/>
    <b v="0"/>
    <x v="0"/>
    <m/>
  </r>
  <r>
    <s v="FB000297"/>
    <x v="2"/>
    <x v="6"/>
    <x v="3"/>
    <s v="S"/>
    <m/>
    <s v="Pink"/>
    <n v="55.08"/>
    <n v="0.13"/>
    <n v="13"/>
    <n v="7.1604000000000001"/>
    <s v="Low Discount"/>
    <n v="47.92"/>
    <s v="Low Loss"/>
    <d v="2025-08-06T00:00:00"/>
    <n v="17"/>
    <s v="IN STOCK"/>
    <n v="3.9"/>
    <n v="3.9"/>
    <b v="0"/>
    <x v="0"/>
    <m/>
  </r>
  <r>
    <s v="FB000298"/>
    <x v="5"/>
    <x v="3"/>
    <x v="2"/>
    <s v="L"/>
    <s v="S"/>
    <s v="Pink"/>
    <n v="165.84"/>
    <n v="0.504"/>
    <n v="50.4"/>
    <n v="83.583359999999999"/>
    <s v="high Discount"/>
    <n v="82.26"/>
    <s v="High Loss"/>
    <d v="2025-08-06T00:00:00"/>
    <n v="17"/>
    <s v="IN STOCK"/>
    <n v="3.2"/>
    <n v="3.2"/>
    <b v="1"/>
    <x v="3"/>
    <s v="Damaged"/>
  </r>
  <r>
    <s v="FB000299"/>
    <x v="5"/>
    <x v="6"/>
    <x v="3"/>
    <s v="XXL"/>
    <s v="XXL"/>
    <s v="Red"/>
    <n v="82.7"/>
    <n v="0"/>
    <n v="0"/>
    <n v="0"/>
    <s v="No Discount"/>
    <n v="82.7"/>
    <s v="No Loss"/>
    <d v="2025-08-06T00:00:00"/>
    <n v="20"/>
    <s v="IN STOCK"/>
    <n v="4"/>
    <n v="4"/>
    <b v="0"/>
    <x v="0"/>
    <m/>
  </r>
  <r>
    <s v="FB000300"/>
    <x v="0"/>
    <x v="2"/>
    <x v="0"/>
    <s v="XL"/>
    <s v="S"/>
    <s v="Purple"/>
    <n v="222.86"/>
    <n v="6.6000000000000003E-2"/>
    <n v="6.6"/>
    <n v="14.708760000000002"/>
    <s v="Low Discount"/>
    <n v="208.15"/>
    <s v="Medium Loss"/>
    <d v="2024-12-19T00:00:00"/>
    <n v="29"/>
    <s v="IN STOCK"/>
    <n v="2.1"/>
    <n v="2.1"/>
    <b v="0"/>
    <x v="0"/>
    <m/>
  </r>
  <r>
    <s v="FB000301"/>
    <x v="1"/>
    <x v="3"/>
    <x v="1"/>
    <s v="XL"/>
    <s v="L"/>
    <s v="Gray"/>
    <n v="107.15"/>
    <n v="0"/>
    <n v="0"/>
    <n v="0"/>
    <s v="No Discount"/>
    <n v="107.15"/>
    <s v="No Loss"/>
    <d v="2025-08-06T00:00:00"/>
    <n v="33"/>
    <s v="IN STOCK"/>
    <n v="0"/>
    <m/>
    <b v="1"/>
    <x v="6"/>
    <s v="Wrong Item"/>
  </r>
  <r>
    <s v="FB000302"/>
    <x v="3"/>
    <x v="4"/>
    <x v="2"/>
    <s v="XXL"/>
    <s v="XXL"/>
    <s v="Gray"/>
    <n v="85.54"/>
    <n v="0"/>
    <n v="0"/>
    <n v="0"/>
    <s v="No Discount"/>
    <n v="85.54"/>
    <s v="No Loss"/>
    <d v="2025-08-06T00:00:00"/>
    <n v="30"/>
    <s v="IN STOCK"/>
    <n v="0"/>
    <m/>
    <b v="0"/>
    <x v="0"/>
    <m/>
  </r>
  <r>
    <s v="FB000303"/>
    <x v="4"/>
    <x v="3"/>
    <x v="3"/>
    <s v="M"/>
    <s v="XL"/>
    <s v="Green"/>
    <n v="34.36"/>
    <n v="5.4000000000000006E-2"/>
    <n v="5.4"/>
    <n v="1.8554400000000002"/>
    <s v="Low Discount"/>
    <n v="32.5"/>
    <s v="Low Loss"/>
    <d v="2025-08-06T00:00:00"/>
    <n v="49"/>
    <s v="IN STOCK"/>
    <n v="4.5"/>
    <n v="4.5"/>
    <b v="0"/>
    <x v="0"/>
    <m/>
  </r>
  <r>
    <s v="FB000304"/>
    <x v="4"/>
    <x v="3"/>
    <x v="1"/>
    <s v="OS"/>
    <s v="XL"/>
    <s v="Black"/>
    <n v="111.25"/>
    <n v="0.42200000000000004"/>
    <n v="42.2"/>
    <n v="46.947500000000005"/>
    <s v="high Discount"/>
    <n v="64.3"/>
    <s v="High Loss"/>
    <d v="2025-08-06T00:00:00"/>
    <n v="34"/>
    <s v="IN STOCK"/>
    <n v="3"/>
    <n v="3"/>
    <b v="0"/>
    <x v="0"/>
    <m/>
  </r>
  <r>
    <s v="FB000305"/>
    <x v="1"/>
    <x v="0"/>
    <x v="0"/>
    <s v="M"/>
    <s v="XXL"/>
    <s v="Pink"/>
    <n v="39.97"/>
    <n v="0.35200000000000004"/>
    <n v="35.200000000000003"/>
    <n v="14.06944"/>
    <s v="high Discount"/>
    <n v="25.9"/>
    <s v="Medium Loss"/>
    <d v="2025-01-22T00:00:00"/>
    <n v="15"/>
    <s v="IN STOCK"/>
    <n v="2.2999999999999998"/>
    <n v="2.2999999999999998"/>
    <b v="0"/>
    <x v="0"/>
    <m/>
  </r>
  <r>
    <s v="FB000306"/>
    <x v="3"/>
    <x v="7"/>
    <x v="3"/>
    <s v="S"/>
    <s v="M"/>
    <s v="White"/>
    <n v="60.34"/>
    <n v="0"/>
    <n v="0"/>
    <n v="0"/>
    <s v="No Discount"/>
    <n v="60.34"/>
    <s v="No Loss"/>
    <d v="2025-08-06T00:00:00"/>
    <n v="4"/>
    <s v="LOW STOCK"/>
    <n v="0"/>
    <m/>
    <b v="0"/>
    <x v="0"/>
    <m/>
  </r>
  <r>
    <s v="FB000307"/>
    <x v="2"/>
    <x v="6"/>
    <x v="3"/>
    <s v="L"/>
    <m/>
    <s v="Blue"/>
    <n v="17.7"/>
    <n v="0"/>
    <n v="0"/>
    <n v="0"/>
    <s v="No Discount"/>
    <n v="17.7"/>
    <s v="No Loss"/>
    <d v="2025-08-06T00:00:00"/>
    <n v="42"/>
    <s v="IN STOCK"/>
    <n v="3.9"/>
    <n v="3.9"/>
    <b v="0"/>
    <x v="0"/>
    <m/>
  </r>
  <r>
    <s v="FB000308"/>
    <x v="4"/>
    <x v="3"/>
    <x v="3"/>
    <s v="L"/>
    <s v="M"/>
    <s v="White"/>
    <n v="57.88"/>
    <n v="0"/>
    <n v="0"/>
    <n v="0"/>
    <s v="No Discount"/>
    <n v="57.88"/>
    <s v="No Loss"/>
    <d v="2025-08-06T00:00:00"/>
    <n v="39"/>
    <s v="IN STOCK"/>
    <n v="3"/>
    <n v="3"/>
    <b v="0"/>
    <x v="0"/>
    <m/>
  </r>
  <r>
    <s v="FB000309"/>
    <x v="1"/>
    <x v="3"/>
    <x v="3"/>
    <s v="XXL"/>
    <s v="S"/>
    <s v="Blue"/>
    <n v="25.15"/>
    <n v="0"/>
    <n v="0"/>
    <n v="0"/>
    <s v="No Discount"/>
    <n v="25.15"/>
    <s v="No Loss"/>
    <d v="2025-08-06T00:00:00"/>
    <n v="34"/>
    <s v="IN STOCK"/>
    <n v="2.6"/>
    <n v="2.6"/>
    <b v="0"/>
    <x v="0"/>
    <m/>
  </r>
  <r>
    <s v="FB000310"/>
    <x v="0"/>
    <x v="3"/>
    <x v="0"/>
    <s v="XL"/>
    <s v="L"/>
    <s v="Purple"/>
    <n v="157.44999999999999"/>
    <n v="0"/>
    <n v="0"/>
    <n v="0"/>
    <s v="No Discount"/>
    <n v="157.44999999999999"/>
    <s v="No Loss"/>
    <d v="2025-05-26T00:00:00"/>
    <n v="7"/>
    <s v="LOW STOCK"/>
    <n v="2.9"/>
    <n v="2.9"/>
    <b v="0"/>
    <x v="0"/>
    <m/>
  </r>
  <r>
    <s v="FB000311"/>
    <x v="4"/>
    <x v="4"/>
    <x v="1"/>
    <s v="XXL"/>
    <s v="L"/>
    <s v="Purple"/>
    <n v="65.72"/>
    <n v="9.0999999999999998E-2"/>
    <n v="9.1"/>
    <n v="5.9805199999999994"/>
    <s v="Low Discount"/>
    <n v="59.74"/>
    <s v="Low Loss"/>
    <d v="2025-08-06T00:00:00"/>
    <n v="10"/>
    <s v="LOW STOCK"/>
    <n v="2.8"/>
    <n v="2.8"/>
    <b v="1"/>
    <x v="4"/>
    <s v="Quality Issue"/>
  </r>
  <r>
    <s v="FB000312"/>
    <x v="5"/>
    <x v="7"/>
    <x v="1"/>
    <s v="XS"/>
    <s v="XXL"/>
    <s v="Brown"/>
    <n v="92.8"/>
    <n v="0"/>
    <n v="0"/>
    <n v="0"/>
    <s v="No Discount"/>
    <n v="92.8"/>
    <s v="No Loss"/>
    <d v="2025-08-06T00:00:00"/>
    <n v="25"/>
    <s v="IN STOCK"/>
    <n v="2.5"/>
    <n v="2.5"/>
    <b v="0"/>
    <x v="0"/>
    <m/>
  </r>
  <r>
    <s v="FB000313"/>
    <x v="5"/>
    <x v="2"/>
    <x v="1"/>
    <s v="XS"/>
    <s v="XL"/>
    <s v="Blue"/>
    <n v="88.65"/>
    <n v="0"/>
    <n v="0"/>
    <n v="0"/>
    <s v="No Discount"/>
    <n v="88.65"/>
    <s v="No Loss"/>
    <d v="2025-08-06T00:00:00"/>
    <n v="11"/>
    <s v="IN STOCK"/>
    <n v="3.3"/>
    <n v="3.3"/>
    <b v="0"/>
    <x v="0"/>
    <m/>
  </r>
  <r>
    <s v="FB000314"/>
    <x v="1"/>
    <x v="0"/>
    <x v="1"/>
    <s v="XS"/>
    <s v="XXL"/>
    <s v="Beige"/>
    <n v="47.07"/>
    <n v="0.57399999999999995"/>
    <n v="57.4"/>
    <n v="27.018179999999997"/>
    <s v="high Discount"/>
    <n v="20.05"/>
    <s v="High Loss"/>
    <d v="2025-08-06T00:00:00"/>
    <n v="24"/>
    <s v="IN STOCK"/>
    <n v="1.3"/>
    <n v="1.3"/>
    <b v="1"/>
    <x v="2"/>
    <s v="Size Issue"/>
  </r>
  <r>
    <s v="FB000315"/>
    <x v="0"/>
    <x v="5"/>
    <x v="3"/>
    <s v="L"/>
    <s v="XS"/>
    <s v="Red"/>
    <n v="101.75"/>
    <n v="0"/>
    <n v="0"/>
    <n v="0"/>
    <s v="No Discount"/>
    <n v="101.75"/>
    <s v="No Loss"/>
    <d v="2025-08-06T00:00:00"/>
    <n v="7"/>
    <s v="LOW STOCK"/>
    <n v="3.1"/>
    <n v="3.1"/>
    <b v="0"/>
    <x v="0"/>
    <m/>
  </r>
  <r>
    <s v="FB000316"/>
    <x v="5"/>
    <x v="3"/>
    <x v="0"/>
    <s v="OS"/>
    <s v="XS"/>
    <s v="Blue"/>
    <n v="131.08000000000001"/>
    <n v="7.4999999999999997E-2"/>
    <n v="7.5"/>
    <n v="9.8310000000000013"/>
    <s v="Low Discount"/>
    <n v="121.25"/>
    <s v="Low Loss"/>
    <d v="2024-12-04T00:00:00"/>
    <n v="20"/>
    <s v="IN STOCK"/>
    <n v="4.5"/>
    <n v="4.5"/>
    <b v="1"/>
    <x v="6"/>
    <s v="Wrong Item"/>
  </r>
  <r>
    <s v="FB000317"/>
    <x v="1"/>
    <x v="0"/>
    <x v="2"/>
    <s v="S"/>
    <s v="XS"/>
    <s v="Black"/>
    <n v="82.06"/>
    <n v="0.26100000000000001"/>
    <n v="26.1"/>
    <n v="21.417660000000001"/>
    <s v="Medium Discount"/>
    <n v="60.64"/>
    <s v="High Loss"/>
    <d v="2025-08-06T00:00:00"/>
    <n v="32"/>
    <s v="IN STOCK"/>
    <n v="1.5"/>
    <n v="1.5"/>
    <b v="0"/>
    <x v="0"/>
    <m/>
  </r>
  <r>
    <s v="FB000318"/>
    <x v="5"/>
    <x v="4"/>
    <x v="3"/>
    <s v="S"/>
    <s v="L"/>
    <s v="Purple"/>
    <n v="66.31"/>
    <n v="0"/>
    <n v="0"/>
    <n v="0"/>
    <s v="No Discount"/>
    <n v="66.31"/>
    <s v="No Loss"/>
    <d v="2025-08-06T00:00:00"/>
    <n v="47"/>
    <s v="IN STOCK"/>
    <n v="3.9"/>
    <n v="3.9"/>
    <b v="0"/>
    <x v="0"/>
    <m/>
  </r>
  <r>
    <s v="FB000319"/>
    <x v="2"/>
    <x v="1"/>
    <x v="2"/>
    <s v="XXL"/>
    <m/>
    <s v="Green"/>
    <n v="26.03"/>
    <n v="0"/>
    <n v="0"/>
    <n v="0"/>
    <s v="No Discount"/>
    <n v="26.03"/>
    <s v="No Loss"/>
    <d v="2025-08-06T00:00:00"/>
    <n v="15"/>
    <s v="IN STOCK"/>
    <n v="3.8"/>
    <n v="3.8"/>
    <b v="0"/>
    <x v="0"/>
    <m/>
  </r>
  <r>
    <s v="FB000320"/>
    <x v="3"/>
    <x v="1"/>
    <x v="0"/>
    <s v="OS"/>
    <s v="S"/>
    <s v="Beige"/>
    <n v="152.53"/>
    <n v="0"/>
    <n v="0"/>
    <n v="0"/>
    <s v="No Discount"/>
    <n v="152.53"/>
    <s v="No Loss"/>
    <d v="2024-11-21T00:00:00"/>
    <n v="24"/>
    <s v="IN STOCK"/>
    <n v="4.2"/>
    <n v="4.2"/>
    <b v="0"/>
    <x v="0"/>
    <m/>
  </r>
  <r>
    <s v="FB000321"/>
    <x v="4"/>
    <x v="3"/>
    <x v="2"/>
    <s v="XL"/>
    <s v="S"/>
    <s v="Beige"/>
    <n v="26.16"/>
    <n v="0.16200000000000001"/>
    <n v="16.2"/>
    <n v="4.2379199999999999"/>
    <s v="Low Discount"/>
    <n v="21.92"/>
    <s v="Low Loss"/>
    <d v="2025-08-06T00:00:00"/>
    <n v="13"/>
    <s v="IN STOCK"/>
    <n v="2.2999999999999998"/>
    <n v="2.2999999999999998"/>
    <b v="0"/>
    <x v="0"/>
    <m/>
  </r>
  <r>
    <s v="FB000322"/>
    <x v="5"/>
    <x v="1"/>
    <x v="1"/>
    <s v="M"/>
    <s v="XXL"/>
    <s v="Blue"/>
    <n v="89.17"/>
    <n v="0.10800000000000001"/>
    <n v="10.8"/>
    <n v="9.6303600000000014"/>
    <s v="Low Discount"/>
    <n v="79.540000000000006"/>
    <s v="Low Loss"/>
    <d v="2025-08-06T00:00:00"/>
    <n v="27"/>
    <s v="IN STOCK"/>
    <n v="3.3"/>
    <n v="3.3"/>
    <b v="0"/>
    <x v="0"/>
    <m/>
  </r>
  <r>
    <s v="FB000323"/>
    <x v="4"/>
    <x v="4"/>
    <x v="0"/>
    <s v="M"/>
    <m/>
    <s v="White"/>
    <n v="106.37"/>
    <n v="0"/>
    <n v="0"/>
    <n v="0"/>
    <s v="No Discount"/>
    <n v="106.37"/>
    <s v="No Loss"/>
    <d v="2025-04-06T00:00:00"/>
    <n v="37"/>
    <s v="IN STOCK"/>
    <n v="4.9000000000000004"/>
    <n v="4.9000000000000004"/>
    <b v="0"/>
    <x v="0"/>
    <m/>
  </r>
  <r>
    <s v="FB000324"/>
    <x v="5"/>
    <x v="3"/>
    <x v="2"/>
    <s v="S"/>
    <s v="XL"/>
    <s v="White"/>
    <n v="80.95"/>
    <n v="0.36799999999999999"/>
    <n v="36.799999999999997"/>
    <n v="29.7896"/>
    <s v="high Discount"/>
    <n v="51.16"/>
    <s v="High Loss"/>
    <d v="2025-08-06T00:00:00"/>
    <n v="16"/>
    <s v="IN STOCK"/>
    <n v="2.5"/>
    <n v="2.5"/>
    <b v="0"/>
    <x v="0"/>
    <m/>
  </r>
  <r>
    <s v="FB000325"/>
    <x v="0"/>
    <x v="2"/>
    <x v="3"/>
    <s v="OS"/>
    <s v="M"/>
    <s v="Navy"/>
    <n v="169.84"/>
    <n v="0.502"/>
    <n v="50.2"/>
    <n v="85.259680000000003"/>
    <s v="high Discount"/>
    <n v="84.58"/>
    <s v="High Loss"/>
    <d v="2025-08-06T00:00:00"/>
    <n v="21"/>
    <s v="IN STOCK"/>
    <n v="3"/>
    <n v="3"/>
    <b v="1"/>
    <x v="4"/>
    <s v="Quality Issue"/>
  </r>
  <r>
    <s v="FB000326"/>
    <x v="5"/>
    <x v="7"/>
    <x v="2"/>
    <s v="XS"/>
    <s v="M"/>
    <s v="Green"/>
    <n v="159.4"/>
    <n v="8.8000000000000009E-2"/>
    <n v="8.8000000000000007"/>
    <n v="14.027200000000002"/>
    <s v="Low Discount"/>
    <n v="145.37"/>
    <s v="Medium Loss"/>
    <d v="2025-08-06T00:00:00"/>
    <n v="43"/>
    <s v="IN STOCK"/>
    <n v="4.5"/>
    <n v="4.5"/>
    <b v="0"/>
    <x v="0"/>
    <m/>
  </r>
  <r>
    <s v="FB000327"/>
    <x v="4"/>
    <x v="7"/>
    <x v="1"/>
    <s v="OS"/>
    <s v="S"/>
    <s v="Black"/>
    <n v="106.53"/>
    <n v="0.46500000000000002"/>
    <n v="46.5"/>
    <n v="49.536450000000002"/>
    <s v="high Discount"/>
    <n v="56.99"/>
    <s v="High Loss"/>
    <d v="2025-08-06T00:00:00"/>
    <n v="17"/>
    <s v="IN STOCK"/>
    <n v="0"/>
    <m/>
    <b v="0"/>
    <x v="0"/>
    <m/>
  </r>
  <r>
    <s v="FB000328"/>
    <x v="2"/>
    <x v="6"/>
    <x v="0"/>
    <s v="L"/>
    <m/>
    <s v="Black"/>
    <n v="78.81"/>
    <n v="0.44700000000000001"/>
    <n v="44.7"/>
    <n v="35.228070000000002"/>
    <s v="high Discount"/>
    <n v="43.58"/>
    <s v="High Loss"/>
    <d v="2024-09-13T00:00:00"/>
    <n v="34"/>
    <s v="IN STOCK"/>
    <n v="1.4"/>
    <n v="1.4"/>
    <b v="0"/>
    <x v="0"/>
    <m/>
  </r>
  <r>
    <s v="FB000329"/>
    <x v="0"/>
    <x v="1"/>
    <x v="3"/>
    <s v="XS"/>
    <s v="XS"/>
    <s v="Gray"/>
    <n v="117.45"/>
    <n v="0.29499999999999998"/>
    <n v="29.5"/>
    <n v="34.647750000000002"/>
    <s v="Medium Discount"/>
    <n v="82.8"/>
    <s v="High Loss"/>
    <d v="2025-08-06T00:00:00"/>
    <n v="43"/>
    <s v="IN STOCK"/>
    <n v="1.2"/>
    <n v="1.2"/>
    <b v="0"/>
    <x v="0"/>
    <m/>
  </r>
  <r>
    <s v="FB000330"/>
    <x v="2"/>
    <x v="6"/>
    <x v="0"/>
    <s v="XL"/>
    <m/>
    <s v="Beige"/>
    <n v="76.94"/>
    <n v="0"/>
    <n v="0"/>
    <n v="0"/>
    <s v="No Discount"/>
    <n v="76.94"/>
    <s v="No Loss"/>
    <d v="2025-06-13T00:00:00"/>
    <n v="21"/>
    <s v="IN STOCK"/>
    <n v="4.3"/>
    <n v="4.3"/>
    <b v="0"/>
    <x v="0"/>
    <m/>
  </r>
  <r>
    <s v="FB000331"/>
    <x v="0"/>
    <x v="6"/>
    <x v="3"/>
    <s v="OS"/>
    <s v="L"/>
    <s v="White"/>
    <n v="232.19"/>
    <n v="0"/>
    <n v="0"/>
    <n v="0"/>
    <s v="No Discount"/>
    <n v="232.19"/>
    <s v="No Loss"/>
    <d v="2025-08-06T00:00:00"/>
    <n v="31"/>
    <s v="IN STOCK"/>
    <n v="1.3"/>
    <n v="1.3"/>
    <b v="1"/>
    <x v="5"/>
    <s v="Changed Mind"/>
  </r>
  <r>
    <s v="FB000332"/>
    <x v="5"/>
    <x v="7"/>
    <x v="2"/>
    <s v="OS"/>
    <s v="XS"/>
    <s v="Navy"/>
    <n v="80.400000000000006"/>
    <n v="0.52100000000000002"/>
    <n v="52.1"/>
    <n v="41.888400000000004"/>
    <s v="high Discount"/>
    <n v="38.51"/>
    <s v="High Loss"/>
    <d v="2025-08-06T00:00:00"/>
    <n v="7"/>
    <s v="LOW STOCK"/>
    <n v="1.2"/>
    <n v="1.2"/>
    <b v="0"/>
    <x v="0"/>
    <m/>
  </r>
  <r>
    <s v="FB000333"/>
    <x v="4"/>
    <x v="3"/>
    <x v="3"/>
    <s v="S"/>
    <s v="XL"/>
    <s v="Black"/>
    <n v="102.82"/>
    <n v="0"/>
    <n v="0"/>
    <n v="0"/>
    <s v="No Discount"/>
    <n v="102.82"/>
    <s v="No Loss"/>
    <d v="2025-08-06T00:00:00"/>
    <n v="50"/>
    <s v="IN STOCK"/>
    <n v="3.6"/>
    <n v="3.6"/>
    <b v="0"/>
    <x v="0"/>
    <m/>
  </r>
  <r>
    <s v="FB000334"/>
    <x v="2"/>
    <x v="0"/>
    <x v="0"/>
    <s v="XXL"/>
    <m/>
    <s v="Navy"/>
    <n v="48.5"/>
    <n v="0"/>
    <n v="0"/>
    <n v="0"/>
    <s v="No Discount"/>
    <n v="48.5"/>
    <s v="No Loss"/>
    <d v="2025-05-09T00:00:00"/>
    <n v="46"/>
    <s v="IN STOCK"/>
    <n v="0"/>
    <m/>
    <b v="0"/>
    <x v="0"/>
    <m/>
  </r>
  <r>
    <s v="FB000335"/>
    <x v="4"/>
    <x v="3"/>
    <x v="2"/>
    <s v="M"/>
    <m/>
    <s v="Pink"/>
    <n v="88.4"/>
    <n v="0"/>
    <n v="0"/>
    <n v="0"/>
    <s v="No Discount"/>
    <n v="88.4"/>
    <s v="No Loss"/>
    <d v="2025-08-06T00:00:00"/>
    <n v="1"/>
    <s v="LOW STOCK"/>
    <n v="1.4"/>
    <n v="1.4"/>
    <b v="0"/>
    <x v="0"/>
    <m/>
  </r>
  <r>
    <s v="FB000336"/>
    <x v="3"/>
    <x v="3"/>
    <x v="1"/>
    <s v="XS"/>
    <s v="S"/>
    <s v="Black"/>
    <n v="112.5"/>
    <n v="0"/>
    <n v="0"/>
    <n v="0"/>
    <s v="No Discount"/>
    <n v="112.5"/>
    <s v="No Loss"/>
    <d v="2025-08-06T00:00:00"/>
    <n v="11"/>
    <s v="IN STOCK"/>
    <n v="4.3"/>
    <n v="4.3"/>
    <b v="0"/>
    <x v="0"/>
    <m/>
  </r>
  <r>
    <s v="FB000337"/>
    <x v="4"/>
    <x v="0"/>
    <x v="2"/>
    <s v="XL"/>
    <s v="XXL"/>
    <s v="Gray"/>
    <n v="97.95"/>
    <n v="0.111"/>
    <n v="11.1"/>
    <n v="10.872450000000001"/>
    <s v="Low Discount"/>
    <n v="87.08"/>
    <s v="Medium Loss"/>
    <d v="2025-08-06T00:00:00"/>
    <n v="25"/>
    <s v="IN STOCK"/>
    <n v="2.4"/>
    <n v="2.4"/>
    <b v="0"/>
    <x v="0"/>
    <m/>
  </r>
  <r>
    <s v="FB000338"/>
    <x v="0"/>
    <x v="4"/>
    <x v="3"/>
    <s v="S"/>
    <s v="M"/>
    <s v="Pink"/>
    <n v="114.51"/>
    <n v="0.36899999999999999"/>
    <n v="36.9"/>
    <n v="42.254190000000001"/>
    <s v="high Discount"/>
    <n v="72.260000000000005"/>
    <s v="High Loss"/>
    <d v="2025-08-06T00:00:00"/>
    <n v="33"/>
    <s v="IN STOCK"/>
    <n v="1.5"/>
    <n v="1.5"/>
    <b v="0"/>
    <x v="0"/>
    <m/>
  </r>
  <r>
    <s v="FB000339"/>
    <x v="4"/>
    <x v="0"/>
    <x v="1"/>
    <s v="M"/>
    <s v="XS"/>
    <s v="Brown"/>
    <n v="27.85"/>
    <n v="0"/>
    <n v="0"/>
    <n v="0"/>
    <s v="No Discount"/>
    <n v="27.85"/>
    <s v="No Loss"/>
    <d v="2025-08-06T00:00:00"/>
    <n v="0"/>
    <s v="NO STOCK"/>
    <n v="1.5"/>
    <n v="1.5"/>
    <b v="0"/>
    <x v="0"/>
    <m/>
  </r>
  <r>
    <s v="FB000340"/>
    <x v="3"/>
    <x v="5"/>
    <x v="0"/>
    <s v="M"/>
    <s v="XL"/>
    <s v="Blue"/>
    <n v="82.08"/>
    <n v="0.40600000000000003"/>
    <n v="40.6"/>
    <n v="33.324480000000001"/>
    <s v="high Discount"/>
    <n v="48.76"/>
    <s v="High Loss"/>
    <d v="2025-05-23T00:00:00"/>
    <n v="43"/>
    <s v="IN STOCK"/>
    <n v="2.5"/>
    <n v="2.5"/>
    <b v="1"/>
    <x v="4"/>
    <s v="Quality Issue"/>
  </r>
  <r>
    <s v="FB000341"/>
    <x v="4"/>
    <x v="3"/>
    <x v="3"/>
    <s v="S"/>
    <s v="S"/>
    <s v="Black"/>
    <n v="116.41"/>
    <n v="0.40700000000000003"/>
    <n v="40.700000000000003"/>
    <n v="47.378869999999999"/>
    <s v="high Discount"/>
    <n v="69.03"/>
    <s v="High Loss"/>
    <d v="2025-08-06T00:00:00"/>
    <n v="23"/>
    <s v="IN STOCK"/>
    <n v="1.2"/>
    <n v="1.2"/>
    <b v="0"/>
    <x v="0"/>
    <m/>
  </r>
  <r>
    <s v="FB000342"/>
    <x v="4"/>
    <x v="5"/>
    <x v="0"/>
    <s v="OS"/>
    <s v="M"/>
    <s v="White"/>
    <n v="95.61"/>
    <n v="0"/>
    <n v="0"/>
    <n v="0"/>
    <s v="No Discount"/>
    <n v="95.61"/>
    <s v="No Loss"/>
    <d v="2025-06-10T00:00:00"/>
    <n v="47"/>
    <s v="IN STOCK"/>
    <n v="4.7"/>
    <n v="4.7"/>
    <b v="1"/>
    <x v="4"/>
    <s v="Quality Issue"/>
  </r>
  <r>
    <s v="FB000343"/>
    <x v="3"/>
    <x v="3"/>
    <x v="2"/>
    <s v="L"/>
    <s v="M"/>
    <s v="White"/>
    <n v="70.040000000000006"/>
    <n v="0"/>
    <n v="0"/>
    <n v="0"/>
    <s v="No Discount"/>
    <n v="70.040000000000006"/>
    <s v="No Loss"/>
    <d v="2025-08-06T00:00:00"/>
    <n v="12"/>
    <s v="IN STOCK"/>
    <n v="2.4"/>
    <n v="2.4"/>
    <b v="0"/>
    <x v="0"/>
    <m/>
  </r>
  <r>
    <s v="FB000344"/>
    <x v="3"/>
    <x v="2"/>
    <x v="1"/>
    <s v="XS"/>
    <s v="S"/>
    <s v="Gray"/>
    <n v="112.59"/>
    <n v="0.54"/>
    <n v="54"/>
    <n v="60.798600000000008"/>
    <s v="high Discount"/>
    <n v="51.79"/>
    <s v="High Loss"/>
    <d v="2025-08-06T00:00:00"/>
    <n v="17"/>
    <s v="IN STOCK"/>
    <n v="4"/>
    <n v="4"/>
    <b v="0"/>
    <x v="0"/>
    <m/>
  </r>
  <r>
    <s v="FB000345"/>
    <x v="2"/>
    <x v="0"/>
    <x v="3"/>
    <s v="XXL"/>
    <m/>
    <s v="Purple"/>
    <n v="26.8"/>
    <n v="9.0000000000000011E-3"/>
    <n v="0.9"/>
    <n v="0.24120000000000003"/>
    <s v="Low Discount"/>
    <n v="26.56"/>
    <s v="Low Loss"/>
    <d v="2025-08-06T00:00:00"/>
    <n v="25"/>
    <s v="IN STOCK"/>
    <n v="1.2"/>
    <n v="1.2"/>
    <b v="1"/>
    <x v="1"/>
    <s v="Color Mismatch"/>
  </r>
  <r>
    <s v="FB000346"/>
    <x v="1"/>
    <x v="4"/>
    <x v="3"/>
    <s v="OS"/>
    <s v="L"/>
    <s v="Blue"/>
    <n v="50.09"/>
    <n v="0"/>
    <n v="0"/>
    <n v="0"/>
    <s v="No Discount"/>
    <n v="50.09"/>
    <s v="No Loss"/>
    <d v="2025-08-06T00:00:00"/>
    <n v="47"/>
    <s v="IN STOCK"/>
    <n v="4"/>
    <n v="4"/>
    <b v="0"/>
    <x v="0"/>
    <m/>
  </r>
  <r>
    <s v="FB000347"/>
    <x v="4"/>
    <x v="3"/>
    <x v="0"/>
    <s v="XS"/>
    <s v="XS"/>
    <s v="Green"/>
    <n v="92.84"/>
    <n v="4.2000000000000003E-2"/>
    <n v="4.2"/>
    <n v="3.8992800000000005"/>
    <s v="Low Discount"/>
    <n v="88.94"/>
    <s v="Low Loss"/>
    <d v="2025-01-13T00:00:00"/>
    <n v="0"/>
    <s v="NO STOCK"/>
    <n v="0"/>
    <m/>
    <b v="1"/>
    <x v="2"/>
    <s v="Size Issue"/>
  </r>
  <r>
    <s v="FB000348"/>
    <x v="1"/>
    <x v="1"/>
    <x v="3"/>
    <s v="OS"/>
    <s v="XXL"/>
    <s v="Gray"/>
    <n v="114.63"/>
    <n v="0"/>
    <n v="0"/>
    <n v="0"/>
    <s v="No Discount"/>
    <n v="114.63"/>
    <s v="No Loss"/>
    <d v="2025-08-06T00:00:00"/>
    <n v="47"/>
    <s v="IN STOCK"/>
    <n v="3.8"/>
    <n v="3.8"/>
    <b v="1"/>
    <x v="5"/>
    <s v="Changed Mind"/>
  </r>
  <r>
    <s v="FB000349"/>
    <x v="2"/>
    <x v="6"/>
    <x v="3"/>
    <s v="XL"/>
    <m/>
    <s v="Purple"/>
    <n v="21.9"/>
    <n v="0.29199999999999998"/>
    <n v="29.2"/>
    <n v="6.3947999999999992"/>
    <s v="Medium Discount"/>
    <n v="15.51"/>
    <s v="Low Loss"/>
    <d v="2025-08-06T00:00:00"/>
    <n v="35"/>
    <s v="IN STOCK"/>
    <n v="2"/>
    <n v="2"/>
    <b v="0"/>
    <x v="0"/>
    <m/>
  </r>
  <r>
    <s v="FB000350"/>
    <x v="5"/>
    <x v="0"/>
    <x v="0"/>
    <s v="XS"/>
    <s v="XS"/>
    <s v="Navy"/>
    <n v="100.55"/>
    <n v="0.46700000000000003"/>
    <n v="46.7"/>
    <n v="46.956850000000003"/>
    <s v="high Discount"/>
    <n v="53.59"/>
    <s v="High Loss"/>
    <d v="2025-02-01T00:00:00"/>
    <n v="30"/>
    <s v="IN STOCK"/>
    <n v="0"/>
    <m/>
    <b v="0"/>
    <x v="0"/>
    <m/>
  </r>
  <r>
    <s v="FB000351"/>
    <x v="2"/>
    <x v="7"/>
    <x v="3"/>
    <s v="OS"/>
    <m/>
    <s v="Brown"/>
    <n v="47.45"/>
    <n v="0.16399999999999998"/>
    <n v="16.399999999999999"/>
    <n v="7.7817999999999996"/>
    <s v="Low Discount"/>
    <n v="39.67"/>
    <s v="Low Loss"/>
    <d v="2025-08-06T00:00:00"/>
    <n v="33"/>
    <s v="IN STOCK"/>
    <n v="1.7"/>
    <n v="1.7"/>
    <b v="0"/>
    <x v="0"/>
    <m/>
  </r>
  <r>
    <s v="FB000352"/>
    <x v="4"/>
    <x v="4"/>
    <x v="3"/>
    <s v="L"/>
    <s v="XL"/>
    <s v="Brown"/>
    <n v="113.21"/>
    <n v="0"/>
    <n v="0"/>
    <n v="0"/>
    <s v="No Discount"/>
    <n v="113.21"/>
    <s v="No Loss"/>
    <d v="2025-08-06T00:00:00"/>
    <n v="8"/>
    <s v="LOW STOCK"/>
    <n v="2.7"/>
    <n v="2.7"/>
    <b v="0"/>
    <x v="0"/>
    <m/>
  </r>
  <r>
    <s v="FB000353"/>
    <x v="5"/>
    <x v="2"/>
    <x v="0"/>
    <s v="XL"/>
    <s v="XS"/>
    <s v="Black"/>
    <n v="163.27000000000001"/>
    <n v="0"/>
    <n v="0"/>
    <n v="0"/>
    <s v="No Discount"/>
    <n v="163.27000000000001"/>
    <s v="No Loss"/>
    <d v="2025-04-23T00:00:00"/>
    <n v="24"/>
    <s v="IN STOCK"/>
    <n v="2.5"/>
    <n v="2.5"/>
    <b v="0"/>
    <x v="0"/>
    <m/>
  </r>
  <r>
    <s v="FB000354"/>
    <x v="2"/>
    <x v="1"/>
    <x v="2"/>
    <s v="OS"/>
    <m/>
    <s v="Black"/>
    <n v="44.58"/>
    <n v="0"/>
    <n v="0"/>
    <n v="0"/>
    <s v="No Discount"/>
    <n v="44.58"/>
    <s v="No Loss"/>
    <d v="2025-08-06T00:00:00"/>
    <n v="21"/>
    <s v="IN STOCK"/>
    <n v="0"/>
    <m/>
    <b v="0"/>
    <x v="0"/>
    <m/>
  </r>
  <r>
    <s v="FB000355"/>
    <x v="5"/>
    <x v="7"/>
    <x v="3"/>
    <s v="OS"/>
    <s v="L"/>
    <s v="Red"/>
    <n v="166.53"/>
    <n v="0"/>
    <n v="0"/>
    <n v="0"/>
    <s v="No Discount"/>
    <n v="166.53"/>
    <s v="No Loss"/>
    <d v="2025-08-06T00:00:00"/>
    <n v="28"/>
    <s v="IN STOCK"/>
    <n v="1.7"/>
    <n v="1.7"/>
    <b v="0"/>
    <x v="0"/>
    <m/>
  </r>
  <r>
    <s v="FB000356"/>
    <x v="3"/>
    <x v="2"/>
    <x v="3"/>
    <s v="L"/>
    <s v="XL"/>
    <s v="Pink"/>
    <n v="144.61000000000001"/>
    <n v="0"/>
    <n v="0"/>
    <n v="0"/>
    <s v="No Discount"/>
    <n v="144.61000000000001"/>
    <s v="No Loss"/>
    <d v="2025-08-06T00:00:00"/>
    <n v="21"/>
    <s v="IN STOCK"/>
    <n v="2.5"/>
    <n v="2.5"/>
    <b v="0"/>
    <x v="0"/>
    <m/>
  </r>
  <r>
    <s v="FB000357"/>
    <x v="2"/>
    <x v="3"/>
    <x v="2"/>
    <s v="L"/>
    <m/>
    <s v="Navy"/>
    <n v="31"/>
    <n v="0"/>
    <n v="0"/>
    <n v="0"/>
    <s v="No Discount"/>
    <n v="31"/>
    <s v="No Loss"/>
    <d v="2025-08-06T00:00:00"/>
    <n v="29"/>
    <s v="IN STOCK"/>
    <n v="1.9"/>
    <n v="1.9"/>
    <b v="0"/>
    <x v="0"/>
    <m/>
  </r>
  <r>
    <s v="FB000358"/>
    <x v="2"/>
    <x v="7"/>
    <x v="1"/>
    <s v="XS"/>
    <m/>
    <s v="Pink"/>
    <n v="68.569999999999993"/>
    <n v="0.29399999999999998"/>
    <n v="29.4"/>
    <n v="20.159579999999998"/>
    <s v="Medium Discount"/>
    <n v="48.41"/>
    <s v="High Loss"/>
    <d v="2025-08-06T00:00:00"/>
    <n v="4"/>
    <s v="LOW STOCK"/>
    <n v="3.5"/>
    <n v="3.5"/>
    <b v="0"/>
    <x v="0"/>
    <m/>
  </r>
  <r>
    <s v="FB000359"/>
    <x v="5"/>
    <x v="7"/>
    <x v="3"/>
    <s v="XXL"/>
    <s v="L"/>
    <s v="Red"/>
    <n v="73.040000000000006"/>
    <n v="0.56499999999999995"/>
    <n v="56.5"/>
    <n v="41.267600000000002"/>
    <s v="high Discount"/>
    <n v="31.77"/>
    <s v="High Loss"/>
    <d v="2025-08-06T00:00:00"/>
    <n v="15"/>
    <s v="IN STOCK"/>
    <n v="3"/>
    <n v="3"/>
    <b v="1"/>
    <x v="5"/>
    <s v="Changed Mind"/>
  </r>
  <r>
    <s v="FB000360"/>
    <x v="1"/>
    <x v="4"/>
    <x v="0"/>
    <s v="L"/>
    <s v="L"/>
    <s v="Purple"/>
    <n v="95.19"/>
    <n v="0"/>
    <n v="0"/>
    <n v="0"/>
    <s v="No Discount"/>
    <n v="95.19"/>
    <s v="No Loss"/>
    <d v="2025-02-09T00:00:00"/>
    <n v="13"/>
    <s v="IN STOCK"/>
    <n v="4.0999999999999996"/>
    <n v="4.0999999999999996"/>
    <b v="0"/>
    <x v="0"/>
    <m/>
  </r>
  <r>
    <s v="FB000361"/>
    <x v="1"/>
    <x v="6"/>
    <x v="1"/>
    <s v="S"/>
    <s v="XS"/>
    <s v="Purple"/>
    <n v="104.94"/>
    <n v="0"/>
    <n v="0"/>
    <n v="0"/>
    <s v="No Discount"/>
    <n v="104.94"/>
    <s v="No Loss"/>
    <d v="2025-08-06T00:00:00"/>
    <n v="42"/>
    <s v="IN STOCK"/>
    <n v="2"/>
    <n v="2"/>
    <b v="0"/>
    <x v="0"/>
    <m/>
  </r>
  <r>
    <s v="FB000362"/>
    <x v="4"/>
    <x v="6"/>
    <x v="0"/>
    <s v="S"/>
    <s v="XXL"/>
    <s v="Beige"/>
    <n v="97.29"/>
    <n v="0"/>
    <n v="0"/>
    <n v="0"/>
    <s v="No Discount"/>
    <n v="97.29"/>
    <s v="No Loss"/>
    <d v="2025-07-29T00:00:00"/>
    <n v="42"/>
    <s v="IN STOCK"/>
    <n v="4.5"/>
    <n v="4.5"/>
    <b v="0"/>
    <x v="0"/>
    <m/>
  </r>
  <r>
    <s v="FB000363"/>
    <x v="3"/>
    <x v="3"/>
    <x v="1"/>
    <s v="OS"/>
    <s v="L"/>
    <s v="White"/>
    <n v="83.05"/>
    <n v="0.39799999999999996"/>
    <n v="39.799999999999997"/>
    <n v="33.053899999999999"/>
    <s v="high Discount"/>
    <n v="50"/>
    <s v="High Loss"/>
    <d v="2025-08-06T00:00:00"/>
    <n v="5"/>
    <s v="LOW STOCK"/>
    <n v="3.4"/>
    <n v="3.4"/>
    <b v="0"/>
    <x v="0"/>
    <m/>
  </r>
  <r>
    <s v="FB000364"/>
    <x v="0"/>
    <x v="1"/>
    <x v="2"/>
    <s v="L"/>
    <s v="S"/>
    <s v="Beige"/>
    <n v="86.13"/>
    <n v="0"/>
    <n v="0"/>
    <n v="0"/>
    <s v="No Discount"/>
    <n v="86.13"/>
    <s v="No Loss"/>
    <d v="2025-08-06T00:00:00"/>
    <n v="28"/>
    <s v="IN STOCK"/>
    <n v="2.7"/>
    <n v="2.7"/>
    <b v="0"/>
    <x v="0"/>
    <m/>
  </r>
  <r>
    <s v="FB000365"/>
    <x v="4"/>
    <x v="2"/>
    <x v="3"/>
    <s v="L"/>
    <s v="S"/>
    <s v="White"/>
    <n v="104.13"/>
    <n v="0.28699999999999998"/>
    <n v="28.7"/>
    <n v="29.885309999999997"/>
    <s v="Medium Discount"/>
    <n v="74.239999999999995"/>
    <s v="High Loss"/>
    <d v="2025-08-06T00:00:00"/>
    <n v="23"/>
    <s v="IN STOCK"/>
    <n v="3.1"/>
    <n v="3.1"/>
    <b v="0"/>
    <x v="0"/>
    <m/>
  </r>
  <r>
    <s v="FB000366"/>
    <x v="2"/>
    <x v="1"/>
    <x v="2"/>
    <s v="XL"/>
    <m/>
    <s v="Green"/>
    <n v="41.7"/>
    <n v="0"/>
    <n v="0"/>
    <n v="0"/>
    <s v="No Discount"/>
    <n v="41.7"/>
    <s v="No Loss"/>
    <d v="2025-08-06T00:00:00"/>
    <n v="18"/>
    <s v="IN STOCK"/>
    <n v="3.2"/>
    <n v="3.2"/>
    <b v="0"/>
    <x v="0"/>
    <m/>
  </r>
  <r>
    <s v="FB000367"/>
    <x v="0"/>
    <x v="2"/>
    <x v="0"/>
    <s v="OS"/>
    <s v="L"/>
    <s v="White"/>
    <n v="80.11"/>
    <n v="0"/>
    <n v="0"/>
    <n v="0"/>
    <s v="No Discount"/>
    <n v="80.11"/>
    <s v="No Loss"/>
    <d v="2025-04-16T00:00:00"/>
    <n v="34"/>
    <s v="IN STOCK"/>
    <n v="1.8"/>
    <n v="1.8"/>
    <b v="0"/>
    <x v="0"/>
    <m/>
  </r>
  <r>
    <s v="FB000368"/>
    <x v="1"/>
    <x v="5"/>
    <x v="2"/>
    <s v="XXL"/>
    <s v="L"/>
    <s v="White"/>
    <n v="97.84"/>
    <n v="0"/>
    <n v="0"/>
    <n v="0"/>
    <s v="No Discount"/>
    <n v="97.84"/>
    <s v="No Loss"/>
    <d v="2025-08-06T00:00:00"/>
    <n v="16"/>
    <s v="IN STOCK"/>
    <n v="0"/>
    <m/>
    <b v="0"/>
    <x v="0"/>
    <m/>
  </r>
  <r>
    <s v="FB000369"/>
    <x v="4"/>
    <x v="6"/>
    <x v="2"/>
    <s v="XL"/>
    <s v="XL"/>
    <s v="Beige"/>
    <n v="77.37"/>
    <n v="0.35200000000000004"/>
    <n v="35.200000000000003"/>
    <n v="27.234240000000003"/>
    <s v="high Discount"/>
    <n v="50.14"/>
    <s v="High Loss"/>
    <d v="2025-08-06T00:00:00"/>
    <n v="14"/>
    <s v="IN STOCK"/>
    <n v="2.2999999999999998"/>
    <n v="2.2999999999999998"/>
    <b v="0"/>
    <x v="0"/>
    <m/>
  </r>
  <r>
    <s v="FB000370"/>
    <x v="2"/>
    <x v="4"/>
    <x v="2"/>
    <s v="XXL"/>
    <m/>
    <s v="Red"/>
    <n v="36.35"/>
    <n v="0.376"/>
    <n v="37.6"/>
    <n v="13.6676"/>
    <s v="high Discount"/>
    <n v="22.68"/>
    <s v="Medium Loss"/>
    <d v="2025-08-06T00:00:00"/>
    <n v="49"/>
    <s v="IN STOCK"/>
    <n v="4"/>
    <n v="4"/>
    <b v="1"/>
    <x v="5"/>
    <s v="Changed Mind"/>
  </r>
  <r>
    <s v="FB000371"/>
    <x v="0"/>
    <x v="2"/>
    <x v="1"/>
    <s v="S"/>
    <s v="XXL"/>
    <s v="Green"/>
    <n v="181.04"/>
    <n v="0.20199999999999999"/>
    <n v="20.2"/>
    <n v="36.570079999999997"/>
    <s v="Medium Discount"/>
    <n v="144.47"/>
    <s v="High Loss"/>
    <d v="2025-08-06T00:00:00"/>
    <n v="17"/>
    <s v="IN STOCK"/>
    <n v="0"/>
    <m/>
    <b v="1"/>
    <x v="2"/>
    <s v="Size Issue"/>
  </r>
  <r>
    <s v="FB000372"/>
    <x v="0"/>
    <x v="0"/>
    <x v="0"/>
    <s v="XL"/>
    <s v="XL"/>
    <s v="Black"/>
    <n v="158.37"/>
    <n v="0"/>
    <n v="0"/>
    <n v="0"/>
    <s v="No Discount"/>
    <n v="158.37"/>
    <s v="No Loss"/>
    <d v="2025-02-15T00:00:00"/>
    <n v="33"/>
    <s v="IN STOCK"/>
    <n v="0"/>
    <m/>
    <b v="0"/>
    <x v="0"/>
    <m/>
  </r>
  <r>
    <s v="FB000373"/>
    <x v="3"/>
    <x v="7"/>
    <x v="3"/>
    <s v="XL"/>
    <s v="XXL"/>
    <s v="Purple"/>
    <n v="91.98"/>
    <n v="0"/>
    <n v="0"/>
    <n v="0"/>
    <s v="No Discount"/>
    <n v="91.98"/>
    <s v="No Loss"/>
    <d v="2025-08-06T00:00:00"/>
    <n v="48"/>
    <s v="IN STOCK"/>
    <n v="3.9"/>
    <n v="3.9"/>
    <b v="0"/>
    <x v="0"/>
    <m/>
  </r>
  <r>
    <s v="FB000374"/>
    <x v="3"/>
    <x v="0"/>
    <x v="1"/>
    <s v="XS"/>
    <s v="S"/>
    <s v="Brown"/>
    <n v="140.29"/>
    <n v="0.55299999999999994"/>
    <n v="55.3"/>
    <n v="77.580369999999988"/>
    <s v="high Discount"/>
    <n v="62.71"/>
    <s v="High Loss"/>
    <d v="2025-08-06T00:00:00"/>
    <n v="5"/>
    <s v="LOW STOCK"/>
    <n v="4.4000000000000004"/>
    <n v="4.4000000000000004"/>
    <b v="0"/>
    <x v="0"/>
    <m/>
  </r>
  <r>
    <s v="FB000375"/>
    <x v="1"/>
    <x v="1"/>
    <x v="0"/>
    <s v="OS"/>
    <s v="XL"/>
    <s v="Red"/>
    <n v="26.01"/>
    <n v="0"/>
    <n v="0"/>
    <n v="0"/>
    <s v="No Discount"/>
    <n v="26.01"/>
    <s v="No Loss"/>
    <d v="2025-02-23T00:00:00"/>
    <n v="9"/>
    <s v="LOW STOCK"/>
    <n v="4"/>
    <n v="4"/>
    <b v="0"/>
    <x v="0"/>
    <m/>
  </r>
  <r>
    <s v="FB000376"/>
    <x v="1"/>
    <x v="7"/>
    <x v="1"/>
    <s v="XS"/>
    <s v="XL"/>
    <s v="Blue"/>
    <n v="51.06"/>
    <n v="9.5000000000000001E-2"/>
    <n v="9.5"/>
    <n v="4.8507000000000007"/>
    <s v="Low Discount"/>
    <n v="46.21"/>
    <s v="Low Loss"/>
    <d v="2025-08-06T00:00:00"/>
    <n v="34"/>
    <s v="IN STOCK"/>
    <n v="1.1000000000000001"/>
    <n v="1.1000000000000001"/>
    <b v="0"/>
    <x v="0"/>
    <m/>
  </r>
  <r>
    <s v="FB000377"/>
    <x v="0"/>
    <x v="6"/>
    <x v="2"/>
    <s v="OS"/>
    <s v="XS"/>
    <s v="Red"/>
    <n v="132.91999999999999"/>
    <n v="0"/>
    <n v="0"/>
    <n v="0"/>
    <s v="No Discount"/>
    <n v="132.91999999999999"/>
    <s v="No Loss"/>
    <d v="2025-08-06T00:00:00"/>
    <n v="36"/>
    <s v="IN STOCK"/>
    <n v="1.2"/>
    <n v="1.2"/>
    <b v="0"/>
    <x v="0"/>
    <m/>
  </r>
  <r>
    <s v="FB000378"/>
    <x v="2"/>
    <x v="6"/>
    <x v="2"/>
    <s v="OS"/>
    <m/>
    <s v="Purple"/>
    <n v="16.57"/>
    <n v="0"/>
    <n v="0"/>
    <n v="0"/>
    <s v="No Discount"/>
    <n v="16.57"/>
    <s v="No Loss"/>
    <d v="2025-08-06T00:00:00"/>
    <n v="17"/>
    <s v="IN STOCK"/>
    <n v="0"/>
    <m/>
    <b v="0"/>
    <x v="0"/>
    <m/>
  </r>
  <r>
    <s v="FB000379"/>
    <x v="4"/>
    <x v="7"/>
    <x v="1"/>
    <s v="XS"/>
    <s v="XS"/>
    <s v="Black"/>
    <n v="78.599999999999994"/>
    <n v="0.45799999999999996"/>
    <n v="45.8"/>
    <n v="35.998799999999996"/>
    <s v="high Discount"/>
    <n v="42.6"/>
    <s v="High Loss"/>
    <d v="2025-08-06T00:00:00"/>
    <n v="6"/>
    <s v="LOW STOCK"/>
    <n v="2.7"/>
    <n v="2.7"/>
    <b v="0"/>
    <x v="0"/>
    <m/>
  </r>
  <r>
    <s v="FB000380"/>
    <x v="2"/>
    <x v="3"/>
    <x v="3"/>
    <s v="M"/>
    <m/>
    <s v="Brown"/>
    <n v="69.38"/>
    <n v="0"/>
    <n v="0"/>
    <n v="0"/>
    <s v="No Discount"/>
    <n v="69.38"/>
    <s v="No Loss"/>
    <d v="2025-08-06T00:00:00"/>
    <n v="43"/>
    <s v="IN STOCK"/>
    <n v="2.4"/>
    <n v="2.4"/>
    <b v="0"/>
    <x v="0"/>
    <m/>
  </r>
  <r>
    <s v="FB000381"/>
    <x v="2"/>
    <x v="3"/>
    <x v="2"/>
    <s v="OS"/>
    <m/>
    <s v="Pink"/>
    <n v="23.58"/>
    <n v="0"/>
    <n v="0"/>
    <n v="0"/>
    <s v="No Discount"/>
    <n v="23.58"/>
    <s v="No Loss"/>
    <d v="2025-08-06T00:00:00"/>
    <n v="16"/>
    <s v="IN STOCK"/>
    <n v="1.3"/>
    <n v="1.3"/>
    <b v="0"/>
    <x v="0"/>
    <m/>
  </r>
  <r>
    <s v="FB000382"/>
    <x v="1"/>
    <x v="4"/>
    <x v="0"/>
    <s v="M"/>
    <s v="XS"/>
    <s v="Navy"/>
    <n v="119.91"/>
    <n v="0.27800000000000002"/>
    <n v="27.8"/>
    <n v="33.334980000000002"/>
    <s v="Medium Discount"/>
    <n v="86.58"/>
    <s v="High Loss"/>
    <d v="2024-09-28T00:00:00"/>
    <n v="12"/>
    <s v="IN STOCK"/>
    <n v="1.7"/>
    <n v="1.7"/>
    <b v="0"/>
    <x v="0"/>
    <m/>
  </r>
  <r>
    <s v="FB000383"/>
    <x v="0"/>
    <x v="4"/>
    <x v="3"/>
    <s v="XL"/>
    <s v="M"/>
    <s v="Black"/>
    <n v="111.05"/>
    <n v="1.3999999999999999E-2"/>
    <n v="1.4"/>
    <n v="1.5546999999999997"/>
    <s v="Low Discount"/>
    <n v="109.5"/>
    <s v="Low Loss"/>
    <d v="2025-08-06T00:00:00"/>
    <n v="7"/>
    <s v="LOW STOCK"/>
    <n v="2.8"/>
    <n v="2.8"/>
    <b v="0"/>
    <x v="0"/>
    <m/>
  </r>
  <r>
    <s v="FB000384"/>
    <x v="2"/>
    <x v="2"/>
    <x v="3"/>
    <s v="L"/>
    <m/>
    <s v="Gray"/>
    <n v="60.22"/>
    <n v="0"/>
    <n v="0"/>
    <n v="0"/>
    <s v="No Discount"/>
    <n v="60.22"/>
    <s v="No Loss"/>
    <d v="2025-08-06T00:00:00"/>
    <n v="6"/>
    <s v="LOW STOCK"/>
    <n v="2.1"/>
    <n v="2.1"/>
    <b v="0"/>
    <x v="0"/>
    <m/>
  </r>
  <r>
    <s v="FB000385"/>
    <x v="0"/>
    <x v="6"/>
    <x v="1"/>
    <s v="OS"/>
    <s v="M"/>
    <s v="Navy"/>
    <n v="133.52000000000001"/>
    <n v="0"/>
    <n v="0"/>
    <n v="0"/>
    <s v="No Discount"/>
    <n v="133.52000000000001"/>
    <s v="No Loss"/>
    <d v="2025-08-06T00:00:00"/>
    <n v="27"/>
    <s v="IN STOCK"/>
    <n v="3.6"/>
    <n v="3.6"/>
    <b v="0"/>
    <x v="0"/>
    <m/>
  </r>
  <r>
    <s v="FB000386"/>
    <x v="5"/>
    <x v="2"/>
    <x v="0"/>
    <s v="OS"/>
    <s v="XL"/>
    <s v="Brown"/>
    <n v="54.97"/>
    <n v="0.496"/>
    <n v="49.6"/>
    <n v="27.26512"/>
    <s v="high Discount"/>
    <n v="27.7"/>
    <s v="High Loss"/>
    <d v="2024-10-08T00:00:00"/>
    <n v="48"/>
    <s v="IN STOCK"/>
    <n v="4.5"/>
    <n v="4.5"/>
    <b v="0"/>
    <x v="0"/>
    <m/>
  </r>
  <r>
    <s v="FB000387"/>
    <x v="1"/>
    <x v="1"/>
    <x v="1"/>
    <s v="L"/>
    <s v="L"/>
    <s v="White"/>
    <n v="85.94"/>
    <n v="0"/>
    <n v="0"/>
    <n v="0"/>
    <s v="No Discount"/>
    <n v="85.94"/>
    <s v="No Loss"/>
    <d v="2025-08-06T00:00:00"/>
    <n v="42"/>
    <s v="IN STOCK"/>
    <n v="4.3"/>
    <n v="4.3"/>
    <b v="0"/>
    <x v="0"/>
    <m/>
  </r>
  <r>
    <s v="FB000388"/>
    <x v="2"/>
    <x v="4"/>
    <x v="2"/>
    <s v="XL"/>
    <m/>
    <s v="Black"/>
    <n v="24.64"/>
    <n v="0"/>
    <n v="0"/>
    <n v="0"/>
    <s v="No Discount"/>
    <n v="24.64"/>
    <s v="No Loss"/>
    <d v="2025-08-06T00:00:00"/>
    <n v="6"/>
    <s v="LOW STOCK"/>
    <n v="4.4000000000000004"/>
    <n v="4.4000000000000004"/>
    <b v="0"/>
    <x v="0"/>
    <m/>
  </r>
  <r>
    <s v="FB000389"/>
    <x v="2"/>
    <x v="2"/>
    <x v="0"/>
    <s v="XS"/>
    <m/>
    <s v="Blue"/>
    <n v="28.82"/>
    <n v="0"/>
    <n v="0"/>
    <n v="0"/>
    <s v="No Discount"/>
    <n v="28.82"/>
    <s v="No Loss"/>
    <d v="2024-10-23T00:00:00"/>
    <n v="30"/>
    <s v="IN STOCK"/>
    <n v="2.8"/>
    <n v="2.8"/>
    <b v="0"/>
    <x v="0"/>
    <m/>
  </r>
  <r>
    <s v="FB000390"/>
    <x v="3"/>
    <x v="7"/>
    <x v="3"/>
    <s v="XS"/>
    <s v="L"/>
    <s v="Pink"/>
    <n v="79.59"/>
    <n v="0.24299999999999999"/>
    <n v="24.3"/>
    <n v="19.34037"/>
    <s v="Medium Discount"/>
    <n v="60.25"/>
    <s v="Medium Loss"/>
    <d v="2025-08-06T00:00:00"/>
    <n v="37"/>
    <s v="IN STOCK"/>
    <n v="1.7"/>
    <n v="1.7"/>
    <b v="0"/>
    <x v="0"/>
    <m/>
  </r>
  <r>
    <s v="FB000391"/>
    <x v="5"/>
    <x v="6"/>
    <x v="2"/>
    <s v="M"/>
    <s v="XL"/>
    <s v="Blue"/>
    <n v="49.44"/>
    <n v="0"/>
    <n v="0"/>
    <n v="0"/>
    <s v="No Discount"/>
    <n v="49.44"/>
    <s v="No Loss"/>
    <d v="2025-08-06T00:00:00"/>
    <n v="19"/>
    <s v="IN STOCK"/>
    <n v="3.4"/>
    <n v="3.4"/>
    <b v="0"/>
    <x v="0"/>
    <m/>
  </r>
  <r>
    <s v="FB000392"/>
    <x v="1"/>
    <x v="3"/>
    <x v="1"/>
    <s v="OS"/>
    <s v="XS"/>
    <s v="Blue"/>
    <n v="41.46"/>
    <n v="0"/>
    <n v="0"/>
    <n v="0"/>
    <s v="No Discount"/>
    <n v="41.46"/>
    <s v="No Loss"/>
    <d v="2025-08-06T00:00:00"/>
    <n v="36"/>
    <s v="IN STOCK"/>
    <n v="3.5"/>
    <n v="3.5"/>
    <b v="0"/>
    <x v="0"/>
    <m/>
  </r>
  <r>
    <s v="FB000393"/>
    <x v="5"/>
    <x v="1"/>
    <x v="2"/>
    <s v="L"/>
    <s v="XS"/>
    <s v="Beige"/>
    <n v="131.76"/>
    <n v="0.35399999999999998"/>
    <n v="35.4"/>
    <n v="46.643039999999992"/>
    <s v="high Discount"/>
    <n v="85.12"/>
    <s v="High Loss"/>
    <d v="2025-08-06T00:00:00"/>
    <n v="21"/>
    <s v="IN STOCK"/>
    <n v="4.7"/>
    <n v="4.7"/>
    <b v="0"/>
    <x v="0"/>
    <m/>
  </r>
  <r>
    <s v="FB000394"/>
    <x v="4"/>
    <x v="3"/>
    <x v="2"/>
    <s v="XS"/>
    <s v="M"/>
    <s v="Blue"/>
    <n v="56.53"/>
    <n v="0.27899999999999997"/>
    <n v="27.9"/>
    <n v="15.771869999999998"/>
    <s v="Medium Discount"/>
    <n v="40.76"/>
    <s v="Medium Loss"/>
    <d v="2025-08-06T00:00:00"/>
    <n v="22"/>
    <s v="IN STOCK"/>
    <n v="0"/>
    <m/>
    <b v="0"/>
    <x v="0"/>
    <m/>
  </r>
  <r>
    <s v="FB000395"/>
    <x v="1"/>
    <x v="0"/>
    <x v="1"/>
    <s v="L"/>
    <m/>
    <s v="Blue"/>
    <n v="111.72"/>
    <n v="0.33299999999999996"/>
    <n v="33.299999999999997"/>
    <n v="37.202759999999998"/>
    <s v="high Discount"/>
    <n v="74.52"/>
    <s v="High Loss"/>
    <d v="2025-08-06T00:00:00"/>
    <n v="47"/>
    <s v="IN STOCK"/>
    <n v="2"/>
    <n v="2"/>
    <b v="1"/>
    <x v="4"/>
    <s v="Quality Issue"/>
  </r>
  <r>
    <s v="FB000396"/>
    <x v="1"/>
    <x v="0"/>
    <x v="1"/>
    <s v="OS"/>
    <s v="L"/>
    <s v="Beige"/>
    <n v="99.96"/>
    <n v="0.47600000000000003"/>
    <n v="47.6"/>
    <n v="47.580959999999997"/>
    <s v="high Discount"/>
    <n v="52.38"/>
    <s v="High Loss"/>
    <d v="2025-08-06T00:00:00"/>
    <n v="18"/>
    <s v="IN STOCK"/>
    <n v="2"/>
    <n v="2"/>
    <b v="1"/>
    <x v="4"/>
    <s v="Quality Issue"/>
  </r>
  <r>
    <s v="FB000397"/>
    <x v="5"/>
    <x v="1"/>
    <x v="2"/>
    <s v="L"/>
    <s v="XS"/>
    <s v="Red"/>
    <n v="110.04"/>
    <n v="0.57100000000000006"/>
    <n v="57.1"/>
    <n v="62.832840000000012"/>
    <s v="high Discount"/>
    <n v="47.21"/>
    <s v="High Loss"/>
    <d v="2025-08-06T00:00:00"/>
    <n v="0"/>
    <s v="NO STOCK"/>
    <n v="4.7"/>
    <n v="4.7"/>
    <b v="0"/>
    <x v="0"/>
    <m/>
  </r>
  <r>
    <s v="FB000398"/>
    <x v="5"/>
    <x v="7"/>
    <x v="1"/>
    <s v="XL"/>
    <s v="L"/>
    <s v="Blue"/>
    <n v="141.84"/>
    <n v="0"/>
    <n v="0"/>
    <n v="0"/>
    <s v="No Discount"/>
    <n v="141.84"/>
    <s v="No Loss"/>
    <d v="2025-08-06T00:00:00"/>
    <n v="39"/>
    <s v="IN STOCK"/>
    <n v="1.7"/>
    <n v="1.7"/>
    <b v="0"/>
    <x v="0"/>
    <m/>
  </r>
  <r>
    <s v="FB000399"/>
    <x v="2"/>
    <x v="4"/>
    <x v="1"/>
    <s v="OS"/>
    <m/>
    <s v="Brown"/>
    <n v="32.630000000000003"/>
    <n v="0.42899999999999999"/>
    <n v="42.9"/>
    <n v="13.998270000000002"/>
    <s v="high Discount"/>
    <n v="18.63"/>
    <s v="Medium Loss"/>
    <d v="2025-08-06T00:00:00"/>
    <n v="5"/>
    <s v="LOW STOCK"/>
    <n v="1.1000000000000001"/>
    <n v="1.1000000000000001"/>
    <b v="0"/>
    <x v="0"/>
    <m/>
  </r>
  <r>
    <s v="FB000400"/>
    <x v="0"/>
    <x v="0"/>
    <x v="0"/>
    <s v="OS"/>
    <s v="L"/>
    <s v="Black"/>
    <n v="189.68"/>
    <n v="0.40799999999999997"/>
    <n v="40.799999999999997"/>
    <n v="77.389439999999993"/>
    <s v="high Discount"/>
    <n v="112.29"/>
    <s v="High Loss"/>
    <d v="2024-09-21T00:00:00"/>
    <n v="27"/>
    <s v="IN STOCK"/>
    <n v="1.8"/>
    <n v="1.8"/>
    <b v="1"/>
    <x v="3"/>
    <s v="Damaged"/>
  </r>
  <r>
    <s v="FB000401"/>
    <x v="5"/>
    <x v="5"/>
    <x v="2"/>
    <s v="OS"/>
    <s v="XL"/>
    <s v="Pink"/>
    <n v="150.88999999999999"/>
    <n v="0.46799999999999997"/>
    <n v="46.8"/>
    <n v="70.616519999999994"/>
    <s v="high Discount"/>
    <n v="80.27"/>
    <s v="High Loss"/>
    <d v="2025-08-06T00:00:00"/>
    <n v="18"/>
    <s v="IN STOCK"/>
    <n v="4.9000000000000004"/>
    <n v="4.9000000000000004"/>
    <b v="0"/>
    <x v="0"/>
    <m/>
  </r>
  <r>
    <s v="FB000402"/>
    <x v="2"/>
    <x v="6"/>
    <x v="2"/>
    <s v="XS"/>
    <m/>
    <s v="Navy"/>
    <n v="42.66"/>
    <n v="0.215"/>
    <n v="21.5"/>
    <n v="9.1718999999999991"/>
    <s v="Medium Discount"/>
    <n v="33.49"/>
    <s v="Low Loss"/>
    <d v="2025-08-06T00:00:00"/>
    <n v="16"/>
    <s v="IN STOCK"/>
    <n v="0"/>
    <m/>
    <b v="0"/>
    <x v="0"/>
    <m/>
  </r>
  <r>
    <s v="FB000403"/>
    <x v="2"/>
    <x v="1"/>
    <x v="2"/>
    <s v="XL"/>
    <m/>
    <s v="Red"/>
    <n v="62.05"/>
    <n v="0"/>
    <n v="0"/>
    <n v="0"/>
    <s v="No Discount"/>
    <n v="62.05"/>
    <s v="No Loss"/>
    <d v="2025-08-06T00:00:00"/>
    <n v="50"/>
    <s v="IN STOCK"/>
    <n v="1.4"/>
    <n v="1.4"/>
    <b v="1"/>
    <x v="5"/>
    <s v="Changed Mind"/>
  </r>
  <r>
    <s v="FB000404"/>
    <x v="2"/>
    <x v="2"/>
    <x v="1"/>
    <s v="XL"/>
    <m/>
    <s v="Green"/>
    <n v="74.319999999999993"/>
    <n v="0"/>
    <n v="0"/>
    <n v="0"/>
    <s v="No Discount"/>
    <n v="74.319999999999993"/>
    <s v="No Loss"/>
    <d v="2025-08-06T00:00:00"/>
    <n v="4"/>
    <s v="LOW STOCK"/>
    <n v="2.2000000000000002"/>
    <n v="2.2000000000000002"/>
    <b v="0"/>
    <x v="0"/>
    <m/>
  </r>
  <r>
    <s v="FB000405"/>
    <x v="0"/>
    <x v="1"/>
    <x v="1"/>
    <s v="XS"/>
    <s v="XS"/>
    <s v="Navy"/>
    <n v="217.34"/>
    <n v="0"/>
    <n v="0"/>
    <n v="0"/>
    <s v="No Discount"/>
    <n v="217.34"/>
    <s v="No Loss"/>
    <d v="2025-08-06T00:00:00"/>
    <n v="4"/>
    <s v="LOW STOCK"/>
    <n v="4.2"/>
    <n v="4.2"/>
    <b v="0"/>
    <x v="0"/>
    <m/>
  </r>
  <r>
    <s v="FB000406"/>
    <x v="1"/>
    <x v="0"/>
    <x v="3"/>
    <s v="XS"/>
    <s v="XL"/>
    <s v="White"/>
    <n v="111.14"/>
    <n v="0.56700000000000006"/>
    <n v="56.7"/>
    <n v="63.016380000000005"/>
    <s v="high Discount"/>
    <n v="48.12"/>
    <s v="High Loss"/>
    <d v="2025-08-06T00:00:00"/>
    <n v="29"/>
    <s v="IN STOCK"/>
    <n v="1.5"/>
    <n v="1.5"/>
    <b v="0"/>
    <x v="0"/>
    <m/>
  </r>
  <r>
    <s v="FB000407"/>
    <x v="3"/>
    <x v="4"/>
    <x v="1"/>
    <s v="OS"/>
    <s v="XL"/>
    <s v="Navy"/>
    <n v="62.5"/>
    <n v="0"/>
    <n v="0"/>
    <n v="0"/>
    <s v="No Discount"/>
    <n v="62.5"/>
    <s v="No Loss"/>
    <d v="2025-08-06T00:00:00"/>
    <n v="0"/>
    <s v="NO STOCK"/>
    <n v="1.9"/>
    <n v="1.9"/>
    <b v="1"/>
    <x v="5"/>
    <s v="Changed Mind"/>
  </r>
  <r>
    <s v="FB000408"/>
    <x v="0"/>
    <x v="2"/>
    <x v="1"/>
    <s v="XS"/>
    <s v="XS"/>
    <s v="Blue"/>
    <n v="165.88"/>
    <n v="3.4000000000000002E-2"/>
    <n v="3.4"/>
    <n v="5.63992"/>
    <s v="Low Discount"/>
    <n v="160.24"/>
    <s v="Low Loss"/>
    <d v="2025-08-06T00:00:00"/>
    <n v="42"/>
    <s v="IN STOCK"/>
    <n v="2.4"/>
    <n v="2.4"/>
    <b v="0"/>
    <x v="0"/>
    <m/>
  </r>
  <r>
    <s v="FB000409"/>
    <x v="0"/>
    <x v="6"/>
    <x v="2"/>
    <s v="XL"/>
    <s v="XS"/>
    <s v="Brown"/>
    <n v="179.8"/>
    <n v="0"/>
    <n v="0"/>
    <n v="0"/>
    <s v="No Discount"/>
    <n v="179.8"/>
    <s v="No Loss"/>
    <d v="2025-08-06T00:00:00"/>
    <n v="25"/>
    <s v="IN STOCK"/>
    <n v="1.7"/>
    <n v="1.7"/>
    <b v="0"/>
    <x v="0"/>
    <m/>
  </r>
  <r>
    <s v="FB000410"/>
    <x v="2"/>
    <x v="0"/>
    <x v="3"/>
    <s v="L"/>
    <m/>
    <s v="Beige"/>
    <n v="34.15"/>
    <n v="0"/>
    <n v="0"/>
    <n v="0"/>
    <s v="No Discount"/>
    <n v="34.15"/>
    <s v="No Loss"/>
    <d v="2025-08-06T00:00:00"/>
    <n v="27"/>
    <s v="IN STOCK"/>
    <n v="4.0999999999999996"/>
    <n v="4.0999999999999996"/>
    <b v="0"/>
    <x v="0"/>
    <m/>
  </r>
  <r>
    <s v="FB000411"/>
    <x v="1"/>
    <x v="6"/>
    <x v="0"/>
    <s v="XS"/>
    <s v="XS"/>
    <s v="Green"/>
    <n v="101.88"/>
    <n v="0"/>
    <n v="0"/>
    <n v="0"/>
    <s v="No Discount"/>
    <n v="101.88"/>
    <s v="No Loss"/>
    <d v="2025-03-14T00:00:00"/>
    <n v="46"/>
    <s v="IN STOCK"/>
    <n v="0"/>
    <m/>
    <b v="1"/>
    <x v="2"/>
    <s v="Size Issue"/>
  </r>
  <r>
    <s v="FB000412"/>
    <x v="3"/>
    <x v="2"/>
    <x v="3"/>
    <s v="XXL"/>
    <s v="XL"/>
    <s v="Blue"/>
    <n v="187.58"/>
    <n v="0"/>
    <n v="0"/>
    <n v="0"/>
    <s v="No Discount"/>
    <n v="187.58"/>
    <s v="No Loss"/>
    <d v="2025-08-06T00:00:00"/>
    <n v="46"/>
    <s v="IN STOCK"/>
    <n v="2.9"/>
    <n v="2.9"/>
    <b v="0"/>
    <x v="0"/>
    <m/>
  </r>
  <r>
    <s v="FB000413"/>
    <x v="0"/>
    <x v="5"/>
    <x v="2"/>
    <s v="M"/>
    <s v="L"/>
    <s v="Pink"/>
    <n v="145.02000000000001"/>
    <n v="0"/>
    <n v="0"/>
    <n v="0"/>
    <s v="No Discount"/>
    <n v="145.02000000000001"/>
    <s v="No Loss"/>
    <d v="2025-08-06T00:00:00"/>
    <n v="36"/>
    <s v="IN STOCK"/>
    <n v="2.6"/>
    <n v="2.6"/>
    <b v="0"/>
    <x v="0"/>
    <m/>
  </r>
  <r>
    <s v="FB000414"/>
    <x v="4"/>
    <x v="6"/>
    <x v="3"/>
    <s v="XXL"/>
    <s v="XS"/>
    <s v="Blue"/>
    <n v="101.61"/>
    <n v="0.26899999999999996"/>
    <n v="26.9"/>
    <n v="27.333089999999995"/>
    <s v="Medium Discount"/>
    <n v="74.28"/>
    <s v="High Loss"/>
    <d v="2025-08-06T00:00:00"/>
    <n v="38"/>
    <s v="IN STOCK"/>
    <n v="3.4"/>
    <n v="3.4"/>
    <b v="1"/>
    <x v="3"/>
    <s v="Damaged"/>
  </r>
  <r>
    <s v="FB000415"/>
    <x v="5"/>
    <x v="4"/>
    <x v="2"/>
    <s v="M"/>
    <s v="XXL"/>
    <s v="Beige"/>
    <n v="71.14"/>
    <n v="0"/>
    <n v="0"/>
    <n v="0"/>
    <s v="No Discount"/>
    <n v="71.14"/>
    <s v="No Loss"/>
    <d v="2025-08-06T00:00:00"/>
    <n v="33"/>
    <s v="IN STOCK"/>
    <n v="3.1"/>
    <n v="3.1"/>
    <b v="0"/>
    <x v="0"/>
    <m/>
  </r>
  <r>
    <s v="FB000416"/>
    <x v="5"/>
    <x v="5"/>
    <x v="3"/>
    <s v="XXL"/>
    <s v="M"/>
    <s v="Green"/>
    <n v="55.21"/>
    <n v="0"/>
    <n v="0"/>
    <n v="0"/>
    <s v="No Discount"/>
    <n v="55.21"/>
    <s v="No Loss"/>
    <d v="2025-08-06T00:00:00"/>
    <n v="2"/>
    <s v="LOW STOCK"/>
    <n v="3.8"/>
    <n v="3.8"/>
    <b v="1"/>
    <x v="6"/>
    <s v="Wrong Item"/>
  </r>
  <r>
    <s v="FB000417"/>
    <x v="1"/>
    <x v="0"/>
    <x v="3"/>
    <s v="XS"/>
    <s v="XXL"/>
    <s v="Black"/>
    <n v="94.96"/>
    <n v="0.35399999999999998"/>
    <n v="35.4"/>
    <n v="33.615839999999999"/>
    <s v="high Discount"/>
    <n v="61.34"/>
    <s v="High Loss"/>
    <d v="2025-08-06T00:00:00"/>
    <n v="34"/>
    <s v="IN STOCK"/>
    <n v="3.9"/>
    <n v="3.9"/>
    <b v="0"/>
    <x v="0"/>
    <m/>
  </r>
  <r>
    <s v="FB000418"/>
    <x v="3"/>
    <x v="3"/>
    <x v="0"/>
    <s v="M"/>
    <s v="M"/>
    <s v="Purple"/>
    <n v="138.69"/>
    <n v="0"/>
    <n v="0"/>
    <n v="0"/>
    <s v="No Discount"/>
    <n v="138.69"/>
    <s v="No Loss"/>
    <d v="2024-12-02T00:00:00"/>
    <n v="0"/>
    <s v="NO STOCK"/>
    <n v="2.9"/>
    <n v="2.9"/>
    <b v="0"/>
    <x v="0"/>
    <m/>
  </r>
  <r>
    <s v="FB000419"/>
    <x v="0"/>
    <x v="6"/>
    <x v="0"/>
    <s v="L"/>
    <s v="XXL"/>
    <s v="Navy"/>
    <n v="175.7"/>
    <n v="0"/>
    <n v="0"/>
    <n v="0"/>
    <s v="No Discount"/>
    <n v="175.7"/>
    <s v="No Loss"/>
    <d v="2025-02-23T00:00:00"/>
    <n v="20"/>
    <s v="IN STOCK"/>
    <n v="3"/>
    <n v="3"/>
    <b v="0"/>
    <x v="0"/>
    <m/>
  </r>
  <r>
    <s v="FB000420"/>
    <x v="3"/>
    <x v="1"/>
    <x v="3"/>
    <s v="M"/>
    <s v="XS"/>
    <s v="Black"/>
    <n v="145.18"/>
    <n v="0.35700000000000004"/>
    <n v="35.700000000000003"/>
    <n v="51.829260000000005"/>
    <s v="high Discount"/>
    <n v="93.35"/>
    <s v="High Loss"/>
    <d v="2025-08-06T00:00:00"/>
    <n v="25"/>
    <s v="IN STOCK"/>
    <n v="2.2000000000000002"/>
    <n v="2.2000000000000002"/>
    <b v="0"/>
    <x v="0"/>
    <m/>
  </r>
  <r>
    <s v="FB000421"/>
    <x v="5"/>
    <x v="3"/>
    <x v="3"/>
    <s v="M"/>
    <s v="M"/>
    <s v="Black"/>
    <n v="169.34"/>
    <n v="0.44600000000000001"/>
    <n v="44.6"/>
    <n v="75.52564000000001"/>
    <s v="high Discount"/>
    <n v="93.81"/>
    <s v="High Loss"/>
    <d v="2025-08-06T00:00:00"/>
    <n v="37"/>
    <s v="IN STOCK"/>
    <n v="2.7"/>
    <n v="2.7"/>
    <b v="0"/>
    <x v="0"/>
    <m/>
  </r>
  <r>
    <s v="FB000422"/>
    <x v="1"/>
    <x v="1"/>
    <x v="3"/>
    <s v="XL"/>
    <s v="L"/>
    <s v="Red"/>
    <n v="103.14"/>
    <n v="0"/>
    <n v="0"/>
    <n v="0"/>
    <s v="No Discount"/>
    <n v="103.14"/>
    <s v="No Loss"/>
    <d v="2025-08-06T00:00:00"/>
    <n v="13"/>
    <s v="IN STOCK"/>
    <n v="4.5"/>
    <n v="4.5"/>
    <b v="0"/>
    <x v="0"/>
    <m/>
  </r>
  <r>
    <s v="FB000423"/>
    <x v="1"/>
    <x v="3"/>
    <x v="2"/>
    <s v="XL"/>
    <s v="M"/>
    <s v="Beige"/>
    <n v="97.47"/>
    <n v="0.32"/>
    <n v="32"/>
    <n v="31.1904"/>
    <s v="high Discount"/>
    <n v="66.28"/>
    <s v="High Loss"/>
    <d v="2025-08-06T00:00:00"/>
    <n v="27"/>
    <s v="IN STOCK"/>
    <n v="3"/>
    <n v="3"/>
    <b v="0"/>
    <x v="0"/>
    <m/>
  </r>
  <r>
    <s v="FB000424"/>
    <x v="5"/>
    <x v="5"/>
    <x v="0"/>
    <s v="OS"/>
    <s v="M"/>
    <s v="Navy"/>
    <n v="50.69"/>
    <n v="0.26300000000000001"/>
    <n v="26.3"/>
    <n v="13.331469999999999"/>
    <s v="Medium Discount"/>
    <n v="37.36"/>
    <s v="Medium Loss"/>
    <d v="2024-10-29T00:00:00"/>
    <n v="37"/>
    <s v="IN STOCK"/>
    <n v="4.0999999999999996"/>
    <n v="4.0999999999999996"/>
    <b v="0"/>
    <x v="0"/>
    <m/>
  </r>
  <r>
    <s v="FB000425"/>
    <x v="0"/>
    <x v="2"/>
    <x v="2"/>
    <s v="XXL"/>
    <s v="XL"/>
    <s v="Black"/>
    <n v="127.75"/>
    <n v="0"/>
    <n v="0"/>
    <n v="0"/>
    <s v="No Discount"/>
    <n v="127.75"/>
    <s v="No Loss"/>
    <d v="2025-08-06T00:00:00"/>
    <n v="32"/>
    <s v="IN STOCK"/>
    <n v="3.6"/>
    <n v="3.6"/>
    <b v="0"/>
    <x v="0"/>
    <m/>
  </r>
  <r>
    <s v="FB000426"/>
    <x v="1"/>
    <x v="7"/>
    <x v="1"/>
    <s v="XL"/>
    <s v="XL"/>
    <s v="Black"/>
    <n v="111.64"/>
    <n v="0"/>
    <n v="0"/>
    <n v="0"/>
    <s v="No Discount"/>
    <n v="111.64"/>
    <s v="No Loss"/>
    <d v="2025-08-06T00:00:00"/>
    <n v="13"/>
    <s v="IN STOCK"/>
    <n v="4.8"/>
    <n v="4.8"/>
    <b v="0"/>
    <x v="0"/>
    <m/>
  </r>
  <r>
    <s v="FB000427"/>
    <x v="3"/>
    <x v="1"/>
    <x v="2"/>
    <s v="OS"/>
    <m/>
    <s v="Purple"/>
    <n v="134.6"/>
    <n v="0.11599999999999999"/>
    <n v="11.6"/>
    <n v="15.613599999999998"/>
    <s v="Low Discount"/>
    <n v="118.99"/>
    <s v="Medium Loss"/>
    <d v="2025-08-06T00:00:00"/>
    <n v="47"/>
    <s v="IN STOCK"/>
    <n v="3.9"/>
    <n v="3.9"/>
    <b v="0"/>
    <x v="0"/>
    <m/>
  </r>
  <r>
    <s v="FB000428"/>
    <x v="4"/>
    <x v="0"/>
    <x v="0"/>
    <s v="OS"/>
    <s v="XXL"/>
    <s v="Purple"/>
    <n v="56.05"/>
    <n v="0"/>
    <n v="0"/>
    <n v="0"/>
    <s v="No Discount"/>
    <n v="56.05"/>
    <s v="No Loss"/>
    <d v="2025-07-16T00:00:00"/>
    <n v="9"/>
    <s v="LOW STOCK"/>
    <n v="0"/>
    <m/>
    <b v="0"/>
    <x v="0"/>
    <m/>
  </r>
  <r>
    <s v="FB000429"/>
    <x v="5"/>
    <x v="2"/>
    <x v="2"/>
    <s v="L"/>
    <s v="XL"/>
    <s v="Purple"/>
    <n v="106.2"/>
    <n v="0"/>
    <n v="0"/>
    <n v="0"/>
    <s v="No Discount"/>
    <n v="106.2"/>
    <s v="No Loss"/>
    <d v="2025-08-06T00:00:00"/>
    <n v="35"/>
    <s v="IN STOCK"/>
    <n v="4.5"/>
    <n v="4.5"/>
    <b v="0"/>
    <x v="0"/>
    <m/>
  </r>
  <r>
    <s v="FB000430"/>
    <x v="3"/>
    <x v="3"/>
    <x v="2"/>
    <s v="M"/>
    <m/>
    <s v="Green"/>
    <n v="104.26"/>
    <n v="0.20600000000000002"/>
    <n v="20.6"/>
    <n v="21.477560000000004"/>
    <s v="Medium Discount"/>
    <n v="82.78"/>
    <s v="High Loss"/>
    <d v="2025-08-06T00:00:00"/>
    <n v="31"/>
    <s v="IN STOCK"/>
    <n v="3"/>
    <n v="3"/>
    <b v="0"/>
    <x v="0"/>
    <m/>
  </r>
  <r>
    <s v="FB000431"/>
    <x v="2"/>
    <x v="1"/>
    <x v="0"/>
    <s v="XS"/>
    <m/>
    <s v="Purple"/>
    <n v="24.53"/>
    <n v="0"/>
    <n v="0"/>
    <n v="0"/>
    <s v="No Discount"/>
    <n v="24.53"/>
    <s v="No Loss"/>
    <d v="2024-08-20T00:00:00"/>
    <n v="44"/>
    <s v="IN STOCK"/>
    <n v="4.2"/>
    <n v="4.2"/>
    <b v="0"/>
    <x v="0"/>
    <m/>
  </r>
  <r>
    <s v="FB000432"/>
    <x v="3"/>
    <x v="3"/>
    <x v="0"/>
    <s v="XL"/>
    <s v="L"/>
    <s v="Green"/>
    <n v="131.25"/>
    <n v="0"/>
    <n v="0"/>
    <n v="0"/>
    <s v="No Discount"/>
    <n v="131.25"/>
    <s v="No Loss"/>
    <d v="2025-06-18T00:00:00"/>
    <n v="12"/>
    <s v="IN STOCK"/>
    <n v="1.6"/>
    <n v="1.6"/>
    <b v="0"/>
    <x v="0"/>
    <m/>
  </r>
  <r>
    <s v="FB000433"/>
    <x v="4"/>
    <x v="7"/>
    <x v="2"/>
    <s v="XL"/>
    <s v="M"/>
    <s v="Red"/>
    <n v="72.849999999999994"/>
    <n v="0"/>
    <n v="0"/>
    <n v="0"/>
    <s v="No Discount"/>
    <n v="72.849999999999994"/>
    <s v="No Loss"/>
    <d v="2025-08-06T00:00:00"/>
    <n v="25"/>
    <s v="IN STOCK"/>
    <n v="3.8"/>
    <n v="3.8"/>
    <b v="0"/>
    <x v="0"/>
    <m/>
  </r>
  <r>
    <s v="FB000434"/>
    <x v="3"/>
    <x v="0"/>
    <x v="1"/>
    <s v="L"/>
    <s v="XS"/>
    <s v="Green"/>
    <n v="135.38999999999999"/>
    <n v="0"/>
    <n v="0"/>
    <n v="0"/>
    <s v="No Discount"/>
    <n v="135.38999999999999"/>
    <s v="No Loss"/>
    <d v="2025-08-06T00:00:00"/>
    <n v="26"/>
    <s v="IN STOCK"/>
    <n v="3.9"/>
    <n v="3.9"/>
    <b v="0"/>
    <x v="0"/>
    <m/>
  </r>
  <r>
    <s v="FB000435"/>
    <x v="3"/>
    <x v="0"/>
    <x v="1"/>
    <s v="L"/>
    <s v="XL"/>
    <s v="Navy"/>
    <n v="166.94"/>
    <n v="4.2000000000000003E-2"/>
    <n v="4.2"/>
    <n v="7.0114800000000006"/>
    <s v="Low Discount"/>
    <n v="159.93"/>
    <s v="Low Loss"/>
    <d v="2025-08-06T00:00:00"/>
    <n v="17"/>
    <s v="IN STOCK"/>
    <n v="2.6"/>
    <n v="2.6"/>
    <b v="1"/>
    <x v="1"/>
    <s v="Color Mismatch"/>
  </r>
  <r>
    <s v="FB000436"/>
    <x v="3"/>
    <x v="2"/>
    <x v="0"/>
    <s v="L"/>
    <s v="XL"/>
    <s v="Green"/>
    <n v="135.36000000000001"/>
    <n v="0.41700000000000004"/>
    <n v="41.7"/>
    <n v="56.44512000000001"/>
    <s v="high Discount"/>
    <n v="78.91"/>
    <s v="High Loss"/>
    <d v="2024-12-20T00:00:00"/>
    <n v="17"/>
    <s v="IN STOCK"/>
    <n v="4.3"/>
    <n v="4.3"/>
    <b v="0"/>
    <x v="0"/>
    <m/>
  </r>
  <r>
    <s v="FB000437"/>
    <x v="4"/>
    <x v="5"/>
    <x v="0"/>
    <s v="XS"/>
    <s v="L"/>
    <s v="Blue"/>
    <n v="96.05"/>
    <n v="0"/>
    <n v="0"/>
    <n v="0"/>
    <s v="No Discount"/>
    <n v="96.05"/>
    <s v="No Loss"/>
    <d v="2024-09-09T00:00:00"/>
    <n v="15"/>
    <s v="IN STOCK"/>
    <n v="4"/>
    <n v="4"/>
    <b v="0"/>
    <x v="0"/>
    <m/>
  </r>
  <r>
    <s v="FB000438"/>
    <x v="0"/>
    <x v="4"/>
    <x v="3"/>
    <s v="L"/>
    <s v="L"/>
    <s v="Red"/>
    <n v="116.1"/>
    <n v="0"/>
    <n v="0"/>
    <n v="0"/>
    <s v="No Discount"/>
    <n v="116.1"/>
    <s v="No Loss"/>
    <d v="2025-08-06T00:00:00"/>
    <n v="27"/>
    <s v="IN STOCK"/>
    <n v="3.6"/>
    <n v="3.6"/>
    <b v="1"/>
    <x v="5"/>
    <s v="Changed Mind"/>
  </r>
  <r>
    <s v="FB000439"/>
    <x v="3"/>
    <x v="3"/>
    <x v="2"/>
    <s v="OS"/>
    <s v="L"/>
    <s v="Black"/>
    <n v="91.53"/>
    <n v="0"/>
    <n v="0"/>
    <n v="0"/>
    <s v="No Discount"/>
    <n v="91.53"/>
    <s v="No Loss"/>
    <d v="2025-08-06T00:00:00"/>
    <n v="8"/>
    <s v="LOW STOCK"/>
    <n v="1.5"/>
    <n v="1.5"/>
    <b v="0"/>
    <x v="0"/>
    <m/>
  </r>
  <r>
    <s v="FB000440"/>
    <x v="4"/>
    <x v="0"/>
    <x v="1"/>
    <s v="OS"/>
    <s v="XS"/>
    <s v="Gray"/>
    <n v="102.16"/>
    <n v="0"/>
    <n v="0"/>
    <n v="0"/>
    <s v="No Discount"/>
    <n v="102.16"/>
    <s v="No Loss"/>
    <d v="2025-08-06T00:00:00"/>
    <n v="50"/>
    <s v="IN STOCK"/>
    <n v="0"/>
    <m/>
    <b v="0"/>
    <x v="0"/>
    <m/>
  </r>
  <r>
    <s v="FB000441"/>
    <x v="3"/>
    <x v="1"/>
    <x v="1"/>
    <s v="L"/>
    <s v="L"/>
    <s v="Gray"/>
    <n v="67.739999999999995"/>
    <n v="3.3000000000000002E-2"/>
    <n v="3.3"/>
    <n v="2.23542"/>
    <s v="Low Discount"/>
    <n v="65.5"/>
    <s v="Low Loss"/>
    <d v="2025-08-06T00:00:00"/>
    <n v="23"/>
    <s v="IN STOCK"/>
    <n v="1.5"/>
    <n v="1.5"/>
    <b v="0"/>
    <x v="0"/>
    <m/>
  </r>
  <r>
    <s v="FB000442"/>
    <x v="2"/>
    <x v="2"/>
    <x v="1"/>
    <s v="OS"/>
    <m/>
    <s v="Green"/>
    <n v="38.340000000000003"/>
    <n v="0"/>
    <n v="0"/>
    <n v="0"/>
    <s v="No Discount"/>
    <n v="38.340000000000003"/>
    <s v="No Loss"/>
    <d v="2025-08-06T00:00:00"/>
    <n v="14"/>
    <s v="IN STOCK"/>
    <n v="1.4"/>
    <n v="1.4"/>
    <b v="0"/>
    <x v="0"/>
    <m/>
  </r>
  <r>
    <s v="FB000443"/>
    <x v="2"/>
    <x v="0"/>
    <x v="1"/>
    <s v="OS"/>
    <m/>
    <s v="Gray"/>
    <n v="60.49"/>
    <n v="0"/>
    <n v="0"/>
    <n v="0"/>
    <s v="No Discount"/>
    <n v="60.49"/>
    <s v="No Loss"/>
    <d v="2025-08-06T00:00:00"/>
    <n v="30"/>
    <s v="IN STOCK"/>
    <n v="2.5"/>
    <n v="2.5"/>
    <b v="0"/>
    <x v="0"/>
    <m/>
  </r>
  <r>
    <s v="FB000444"/>
    <x v="0"/>
    <x v="2"/>
    <x v="0"/>
    <s v="L"/>
    <s v="L"/>
    <s v="Navy"/>
    <n v="90.27"/>
    <n v="0"/>
    <n v="0"/>
    <n v="0"/>
    <s v="No Discount"/>
    <n v="90.27"/>
    <s v="No Loss"/>
    <d v="2025-04-16T00:00:00"/>
    <n v="35"/>
    <s v="IN STOCK"/>
    <n v="4.2"/>
    <n v="4.2"/>
    <b v="0"/>
    <x v="0"/>
    <m/>
  </r>
  <r>
    <s v="FB000445"/>
    <x v="2"/>
    <x v="2"/>
    <x v="3"/>
    <s v="XXL"/>
    <m/>
    <s v="Red"/>
    <n v="45.42"/>
    <n v="0"/>
    <n v="0"/>
    <n v="0"/>
    <s v="No Discount"/>
    <n v="45.42"/>
    <s v="No Loss"/>
    <d v="2025-08-06T00:00:00"/>
    <n v="36"/>
    <s v="IN STOCK"/>
    <n v="1.3"/>
    <n v="1.3"/>
    <b v="0"/>
    <x v="0"/>
    <m/>
  </r>
  <r>
    <s v="FB000446"/>
    <x v="1"/>
    <x v="5"/>
    <x v="0"/>
    <s v="OS"/>
    <m/>
    <s v="Purple"/>
    <n v="58.56"/>
    <n v="0"/>
    <n v="0"/>
    <n v="0"/>
    <s v="No Discount"/>
    <n v="58.56"/>
    <s v="No Loss"/>
    <d v="2025-01-23T00:00:00"/>
    <n v="21"/>
    <s v="IN STOCK"/>
    <n v="2.2999999999999998"/>
    <n v="2.2999999999999998"/>
    <b v="0"/>
    <x v="0"/>
    <m/>
  </r>
  <r>
    <s v="FB000447"/>
    <x v="5"/>
    <x v="4"/>
    <x v="3"/>
    <s v="M"/>
    <s v="L"/>
    <s v="Pink"/>
    <n v="167.64"/>
    <n v="0"/>
    <n v="0"/>
    <n v="0"/>
    <s v="No Discount"/>
    <n v="167.64"/>
    <s v="No Loss"/>
    <d v="2025-08-06T00:00:00"/>
    <n v="18"/>
    <s v="IN STOCK"/>
    <n v="4.0999999999999996"/>
    <n v="4.0999999999999996"/>
    <b v="0"/>
    <x v="0"/>
    <m/>
  </r>
  <r>
    <s v="FB000448"/>
    <x v="0"/>
    <x v="0"/>
    <x v="2"/>
    <s v="OS"/>
    <s v="XXL"/>
    <s v="Red"/>
    <n v="193.14"/>
    <n v="0"/>
    <n v="0"/>
    <n v="0"/>
    <s v="No Discount"/>
    <n v="193.14"/>
    <s v="No Loss"/>
    <d v="2025-08-06T00:00:00"/>
    <n v="7"/>
    <s v="LOW STOCK"/>
    <n v="3.5"/>
    <n v="3.5"/>
    <b v="0"/>
    <x v="0"/>
    <m/>
  </r>
  <r>
    <s v="FB000449"/>
    <x v="2"/>
    <x v="6"/>
    <x v="1"/>
    <s v="XL"/>
    <m/>
    <s v="Gray"/>
    <n v="60.06"/>
    <n v="0.156"/>
    <n v="15.6"/>
    <n v="9.3693600000000004"/>
    <s v="Low Discount"/>
    <n v="50.69"/>
    <s v="Low Loss"/>
    <d v="2025-08-06T00:00:00"/>
    <n v="49"/>
    <s v="IN STOCK"/>
    <n v="2"/>
    <n v="2"/>
    <b v="1"/>
    <x v="1"/>
    <s v="Color Mismatch"/>
  </r>
  <r>
    <s v="FB000450"/>
    <x v="4"/>
    <x v="2"/>
    <x v="2"/>
    <s v="XXL"/>
    <s v="M"/>
    <s v="Gray"/>
    <n v="35.369999999999997"/>
    <n v="0"/>
    <n v="0"/>
    <n v="0"/>
    <s v="No Discount"/>
    <n v="35.369999999999997"/>
    <s v="No Loss"/>
    <d v="2025-08-06T00:00:00"/>
    <n v="29"/>
    <s v="IN STOCK"/>
    <n v="4.7"/>
    <n v="4.7"/>
    <b v="0"/>
    <x v="0"/>
    <m/>
  </r>
  <r>
    <s v="FB000451"/>
    <x v="2"/>
    <x v="3"/>
    <x v="3"/>
    <s v="OS"/>
    <m/>
    <s v="Purple"/>
    <n v="39.85"/>
    <n v="0"/>
    <n v="0"/>
    <n v="0"/>
    <s v="No Discount"/>
    <n v="39.85"/>
    <s v="No Loss"/>
    <d v="2025-08-06T00:00:00"/>
    <n v="28"/>
    <s v="IN STOCK"/>
    <n v="2.4"/>
    <n v="2.4"/>
    <b v="0"/>
    <x v="0"/>
    <m/>
  </r>
  <r>
    <s v="FB000452"/>
    <x v="1"/>
    <x v="0"/>
    <x v="1"/>
    <s v="XL"/>
    <s v="XL"/>
    <s v="Black"/>
    <n v="85.34"/>
    <n v="0.59399999999999997"/>
    <n v="59.4"/>
    <n v="50.691960000000002"/>
    <s v="high Discount"/>
    <n v="34.65"/>
    <s v="High Loss"/>
    <d v="2025-08-06T00:00:00"/>
    <n v="5"/>
    <s v="LOW STOCK"/>
    <n v="4.9000000000000004"/>
    <n v="4.9000000000000004"/>
    <b v="0"/>
    <x v="0"/>
    <m/>
  </r>
  <r>
    <s v="FB000453"/>
    <x v="4"/>
    <x v="7"/>
    <x v="2"/>
    <s v="XXL"/>
    <s v="XXL"/>
    <s v="White"/>
    <n v="81.17"/>
    <n v="0"/>
    <n v="0"/>
    <n v="0"/>
    <s v="No Discount"/>
    <n v="81.17"/>
    <s v="No Loss"/>
    <d v="2025-08-06T00:00:00"/>
    <n v="21"/>
    <s v="IN STOCK"/>
    <n v="1.2"/>
    <n v="1.2"/>
    <b v="0"/>
    <x v="0"/>
    <m/>
  </r>
  <r>
    <s v="FB000454"/>
    <x v="2"/>
    <x v="5"/>
    <x v="0"/>
    <s v="XS"/>
    <m/>
    <s v="White"/>
    <n v="16.809999999999999"/>
    <n v="0"/>
    <n v="0"/>
    <n v="0"/>
    <s v="No Discount"/>
    <n v="16.809999999999999"/>
    <s v="No Loss"/>
    <d v="2025-07-31T00:00:00"/>
    <n v="16"/>
    <s v="IN STOCK"/>
    <n v="2.8"/>
    <n v="2.8"/>
    <b v="0"/>
    <x v="0"/>
    <m/>
  </r>
  <r>
    <s v="FB000455"/>
    <x v="1"/>
    <x v="5"/>
    <x v="1"/>
    <s v="M"/>
    <s v="XL"/>
    <s v="Black"/>
    <n v="115.71"/>
    <n v="0.55000000000000004"/>
    <n v="55"/>
    <n v="63.640500000000003"/>
    <s v="high Discount"/>
    <n v="52.07"/>
    <s v="High Loss"/>
    <d v="2025-08-06T00:00:00"/>
    <n v="6"/>
    <s v="LOW STOCK"/>
    <n v="1.6"/>
    <n v="1.6"/>
    <b v="0"/>
    <x v="0"/>
    <m/>
  </r>
  <r>
    <s v="FB000456"/>
    <x v="4"/>
    <x v="3"/>
    <x v="3"/>
    <s v="XS"/>
    <s v="XXL"/>
    <s v="Pink"/>
    <n v="49.87"/>
    <n v="0"/>
    <n v="0"/>
    <n v="0"/>
    <s v="No Discount"/>
    <n v="49.87"/>
    <s v="No Loss"/>
    <d v="2025-08-06T00:00:00"/>
    <n v="17"/>
    <s v="IN STOCK"/>
    <n v="2.1"/>
    <n v="2.1"/>
    <b v="0"/>
    <x v="0"/>
    <m/>
  </r>
  <r>
    <s v="FB000457"/>
    <x v="3"/>
    <x v="3"/>
    <x v="2"/>
    <s v="XS"/>
    <s v="XS"/>
    <s v="Beige"/>
    <n v="107.96"/>
    <n v="0.52900000000000003"/>
    <n v="52.9"/>
    <n v="57.110839999999996"/>
    <s v="high Discount"/>
    <n v="50.85"/>
    <s v="High Loss"/>
    <d v="2025-08-06T00:00:00"/>
    <n v="2"/>
    <s v="LOW STOCK"/>
    <n v="4.9000000000000004"/>
    <n v="4.9000000000000004"/>
    <b v="0"/>
    <x v="0"/>
    <m/>
  </r>
  <r>
    <s v="FB000458"/>
    <x v="3"/>
    <x v="3"/>
    <x v="3"/>
    <s v="M"/>
    <s v="M"/>
    <s v="Black"/>
    <n v="138.35"/>
    <n v="0.317"/>
    <n v="31.7"/>
    <n v="43.856949999999998"/>
    <s v="high Discount"/>
    <n v="94.49"/>
    <s v="High Loss"/>
    <d v="2025-08-06T00:00:00"/>
    <n v="3"/>
    <s v="LOW STOCK"/>
    <n v="2.5"/>
    <n v="2.5"/>
    <b v="0"/>
    <x v="0"/>
    <m/>
  </r>
  <r>
    <s v="FB000459"/>
    <x v="1"/>
    <x v="6"/>
    <x v="0"/>
    <s v="OS"/>
    <s v="XS"/>
    <s v="Red"/>
    <n v="32.01"/>
    <n v="0"/>
    <n v="0"/>
    <n v="0"/>
    <s v="No Discount"/>
    <n v="32.01"/>
    <s v="No Loss"/>
    <d v="2025-05-09T00:00:00"/>
    <n v="43"/>
    <s v="IN STOCK"/>
    <n v="3.4"/>
    <n v="3.4"/>
    <b v="1"/>
    <x v="6"/>
    <s v="Wrong Item"/>
  </r>
  <r>
    <s v="FB000460"/>
    <x v="5"/>
    <x v="4"/>
    <x v="2"/>
    <s v="XXL"/>
    <s v="XS"/>
    <s v="Black"/>
    <n v="129.08000000000001"/>
    <n v="0.50600000000000001"/>
    <n v="50.6"/>
    <n v="65.314480000000003"/>
    <s v="high Discount"/>
    <n v="63.77"/>
    <s v="High Loss"/>
    <d v="2025-08-06T00:00:00"/>
    <n v="10"/>
    <s v="LOW STOCK"/>
    <n v="4.4000000000000004"/>
    <n v="4.4000000000000004"/>
    <b v="0"/>
    <x v="0"/>
    <m/>
  </r>
  <r>
    <s v="FB000461"/>
    <x v="5"/>
    <x v="2"/>
    <x v="1"/>
    <s v="XL"/>
    <s v="M"/>
    <s v="Gray"/>
    <n v="68.569999999999993"/>
    <n v="0.56399999999999995"/>
    <n v="56.4"/>
    <n v="38.673479999999991"/>
    <s v="high Discount"/>
    <n v="29.9"/>
    <s v="High Loss"/>
    <d v="2025-08-06T00:00:00"/>
    <n v="30"/>
    <s v="IN STOCK"/>
    <n v="1.8"/>
    <n v="1.8"/>
    <b v="0"/>
    <x v="0"/>
    <m/>
  </r>
  <r>
    <s v="FB000462"/>
    <x v="2"/>
    <x v="4"/>
    <x v="1"/>
    <s v="XS"/>
    <m/>
    <s v="Gray"/>
    <n v="46.46"/>
    <n v="0"/>
    <n v="0"/>
    <n v="0"/>
    <s v="No Discount"/>
    <n v="46.46"/>
    <s v="No Loss"/>
    <d v="2025-08-06T00:00:00"/>
    <n v="30"/>
    <s v="IN STOCK"/>
    <n v="0"/>
    <m/>
    <b v="0"/>
    <x v="0"/>
    <m/>
  </r>
  <r>
    <s v="FB000463"/>
    <x v="0"/>
    <x v="2"/>
    <x v="2"/>
    <s v="S"/>
    <s v="XXL"/>
    <s v="White"/>
    <n v="124.68"/>
    <n v="0.58200000000000007"/>
    <n v="58.2"/>
    <n v="72.563760000000016"/>
    <s v="high Discount"/>
    <n v="52.12"/>
    <s v="High Loss"/>
    <d v="2025-08-06T00:00:00"/>
    <n v="44"/>
    <s v="IN STOCK"/>
    <n v="3.2"/>
    <n v="3.2"/>
    <b v="0"/>
    <x v="0"/>
    <m/>
  </r>
  <r>
    <s v="FB000464"/>
    <x v="4"/>
    <x v="4"/>
    <x v="0"/>
    <s v="XS"/>
    <s v="XL"/>
    <s v="Red"/>
    <n v="36.85"/>
    <n v="0"/>
    <n v="0"/>
    <n v="0"/>
    <s v="No Discount"/>
    <n v="36.85"/>
    <s v="No Loss"/>
    <d v="2025-07-03T00:00:00"/>
    <n v="0"/>
    <s v="NO STOCK"/>
    <n v="4.4000000000000004"/>
    <n v="4.4000000000000004"/>
    <b v="0"/>
    <x v="0"/>
    <m/>
  </r>
  <r>
    <s v="FB000465"/>
    <x v="0"/>
    <x v="5"/>
    <x v="1"/>
    <s v="L"/>
    <s v="XS"/>
    <s v="Black"/>
    <n v="229.63"/>
    <n v="3.0000000000000001E-3"/>
    <n v="0.3"/>
    <n v="0.68889"/>
    <s v="Low Discount"/>
    <n v="228.94"/>
    <s v="Low Loss"/>
    <d v="2025-08-06T00:00:00"/>
    <n v="30"/>
    <s v="IN STOCK"/>
    <n v="3.4"/>
    <n v="3.4"/>
    <b v="0"/>
    <x v="0"/>
    <m/>
  </r>
  <r>
    <s v="FB000466"/>
    <x v="1"/>
    <x v="5"/>
    <x v="0"/>
    <s v="OS"/>
    <s v="S"/>
    <s v="Navy"/>
    <n v="74.09"/>
    <n v="0"/>
    <n v="0"/>
    <n v="0"/>
    <s v="No Discount"/>
    <n v="74.09"/>
    <s v="No Loss"/>
    <d v="2024-09-07T00:00:00"/>
    <n v="35"/>
    <s v="IN STOCK"/>
    <n v="3.4"/>
    <n v="3.4"/>
    <b v="0"/>
    <x v="0"/>
    <m/>
  </r>
  <r>
    <s v="FB000467"/>
    <x v="4"/>
    <x v="2"/>
    <x v="0"/>
    <s v="S"/>
    <s v="XS"/>
    <s v="Brown"/>
    <n v="27.22"/>
    <n v="0"/>
    <n v="0"/>
    <n v="0"/>
    <s v="No Discount"/>
    <n v="27.22"/>
    <s v="No Loss"/>
    <d v="2024-09-09T00:00:00"/>
    <n v="14"/>
    <s v="IN STOCK"/>
    <n v="2.4"/>
    <n v="2.4"/>
    <b v="0"/>
    <x v="0"/>
    <m/>
  </r>
  <r>
    <s v="FB000468"/>
    <x v="1"/>
    <x v="5"/>
    <x v="0"/>
    <s v="XS"/>
    <s v="L"/>
    <s v="Purple"/>
    <n v="32.64"/>
    <n v="1.3999999999999999E-2"/>
    <n v="1.4"/>
    <n v="0.45695999999999998"/>
    <s v="Low Discount"/>
    <n v="32.18"/>
    <s v="Low Loss"/>
    <d v="2025-05-06T00:00:00"/>
    <n v="29"/>
    <s v="IN STOCK"/>
    <n v="1.5"/>
    <n v="1.5"/>
    <b v="1"/>
    <x v="5"/>
    <s v="Changed Mind"/>
  </r>
  <r>
    <s v="FB000469"/>
    <x v="2"/>
    <x v="0"/>
    <x v="3"/>
    <s v="OS"/>
    <m/>
    <s v="Purple"/>
    <n v="30.25"/>
    <n v="0.11800000000000001"/>
    <n v="11.8"/>
    <n v="3.5695000000000001"/>
    <s v="Low Discount"/>
    <n v="26.68"/>
    <s v="Low Loss"/>
    <d v="2025-08-06T00:00:00"/>
    <n v="30"/>
    <s v="IN STOCK"/>
    <n v="3.4"/>
    <n v="3.4"/>
    <b v="0"/>
    <x v="0"/>
    <m/>
  </r>
  <r>
    <s v="FB000470"/>
    <x v="0"/>
    <x v="1"/>
    <x v="3"/>
    <s v="XS"/>
    <s v="S"/>
    <s v="Brown"/>
    <n v="180.57"/>
    <n v="0"/>
    <n v="0"/>
    <n v="0"/>
    <s v="No Discount"/>
    <n v="180.57"/>
    <s v="No Loss"/>
    <d v="2025-08-06T00:00:00"/>
    <n v="28"/>
    <s v="IN STOCK"/>
    <n v="0"/>
    <m/>
    <b v="0"/>
    <x v="0"/>
    <m/>
  </r>
  <r>
    <s v="FB000471"/>
    <x v="4"/>
    <x v="1"/>
    <x v="3"/>
    <s v="L"/>
    <s v="XS"/>
    <s v="White"/>
    <n v="96.55"/>
    <n v="0"/>
    <n v="0"/>
    <n v="0"/>
    <s v="No Discount"/>
    <n v="96.55"/>
    <s v="No Loss"/>
    <d v="2025-08-06T00:00:00"/>
    <n v="17"/>
    <s v="IN STOCK"/>
    <n v="4.4000000000000004"/>
    <n v="4.4000000000000004"/>
    <b v="0"/>
    <x v="0"/>
    <m/>
  </r>
  <r>
    <s v="FB000472"/>
    <x v="4"/>
    <x v="5"/>
    <x v="2"/>
    <s v="L"/>
    <m/>
    <s v="Pink"/>
    <n v="68.53"/>
    <n v="0.54299999999999993"/>
    <n v="54.3"/>
    <n v="37.211789999999993"/>
    <s v="high Discount"/>
    <n v="31.32"/>
    <s v="High Loss"/>
    <d v="2025-08-06T00:00:00"/>
    <n v="38"/>
    <s v="IN STOCK"/>
    <n v="2.9"/>
    <n v="2.9"/>
    <b v="0"/>
    <x v="0"/>
    <m/>
  </r>
  <r>
    <s v="FB000473"/>
    <x v="3"/>
    <x v="6"/>
    <x v="2"/>
    <s v="M"/>
    <s v="XS"/>
    <s v="White"/>
    <n v="71.94"/>
    <n v="0"/>
    <n v="0"/>
    <n v="0"/>
    <s v="No Discount"/>
    <n v="71.94"/>
    <s v="No Loss"/>
    <d v="2025-08-06T00:00:00"/>
    <n v="45"/>
    <s v="IN STOCK"/>
    <n v="3.3"/>
    <n v="3.3"/>
    <b v="0"/>
    <x v="0"/>
    <m/>
  </r>
  <r>
    <s v="FB000474"/>
    <x v="3"/>
    <x v="6"/>
    <x v="2"/>
    <s v="S"/>
    <s v="L"/>
    <s v="Blue"/>
    <n v="80.72"/>
    <n v="9.9000000000000005E-2"/>
    <n v="9.9"/>
    <n v="7.9912800000000006"/>
    <s v="Low Discount"/>
    <n v="72.73"/>
    <s v="Low Loss"/>
    <d v="2025-08-06T00:00:00"/>
    <n v="37"/>
    <s v="IN STOCK"/>
    <n v="2.5"/>
    <n v="2.5"/>
    <b v="0"/>
    <x v="0"/>
    <m/>
  </r>
  <r>
    <s v="FB000475"/>
    <x v="0"/>
    <x v="0"/>
    <x v="1"/>
    <s v="OS"/>
    <s v="L"/>
    <s v="Green"/>
    <n v="208.8"/>
    <n v="0"/>
    <n v="0"/>
    <n v="0"/>
    <s v="No Discount"/>
    <n v="208.8"/>
    <s v="No Loss"/>
    <d v="2025-08-06T00:00:00"/>
    <n v="13"/>
    <s v="IN STOCK"/>
    <n v="1.6"/>
    <n v="1.6"/>
    <b v="0"/>
    <x v="0"/>
    <m/>
  </r>
  <r>
    <s v="FB000476"/>
    <x v="3"/>
    <x v="3"/>
    <x v="3"/>
    <s v="XL"/>
    <s v="M"/>
    <s v="Navy"/>
    <n v="158.15"/>
    <n v="0.54100000000000004"/>
    <n v="54.1"/>
    <n v="85.559150000000002"/>
    <s v="high Discount"/>
    <n v="72.59"/>
    <s v="High Loss"/>
    <d v="2025-08-06T00:00:00"/>
    <n v="36"/>
    <s v="IN STOCK"/>
    <n v="4.5"/>
    <n v="4.5"/>
    <b v="0"/>
    <x v="0"/>
    <m/>
  </r>
  <r>
    <s v="FB000477"/>
    <x v="1"/>
    <x v="0"/>
    <x v="2"/>
    <s v="XS"/>
    <s v="S"/>
    <s v="White"/>
    <n v="85.92"/>
    <n v="0"/>
    <n v="0"/>
    <n v="0"/>
    <s v="No Discount"/>
    <n v="85.92"/>
    <s v="No Loss"/>
    <d v="2025-08-06T00:00:00"/>
    <n v="12"/>
    <s v="IN STOCK"/>
    <n v="0"/>
    <m/>
    <b v="0"/>
    <x v="0"/>
    <m/>
  </r>
  <r>
    <s v="FB000478"/>
    <x v="2"/>
    <x v="6"/>
    <x v="0"/>
    <s v="S"/>
    <m/>
    <s v="Pink"/>
    <n v="69.59"/>
    <n v="0"/>
    <n v="0"/>
    <n v="0"/>
    <s v="No Discount"/>
    <n v="69.59"/>
    <s v="No Loss"/>
    <d v="2024-09-26T00:00:00"/>
    <n v="38"/>
    <s v="IN STOCK"/>
    <n v="1.5"/>
    <n v="1.5"/>
    <b v="0"/>
    <x v="0"/>
    <m/>
  </r>
  <r>
    <s v="FB000479"/>
    <x v="5"/>
    <x v="0"/>
    <x v="1"/>
    <s v="S"/>
    <s v="XL"/>
    <s v="Red"/>
    <n v="136.16999999999999"/>
    <n v="0.191"/>
    <n v="19.100000000000001"/>
    <n v="26.008469999999999"/>
    <s v="Low Discount"/>
    <n v="110.16"/>
    <s v="High Loss"/>
    <d v="2025-08-06T00:00:00"/>
    <n v="14"/>
    <s v="IN STOCK"/>
    <n v="0"/>
    <m/>
    <b v="0"/>
    <x v="0"/>
    <m/>
  </r>
  <r>
    <s v="FB000480"/>
    <x v="3"/>
    <x v="3"/>
    <x v="0"/>
    <s v="XS"/>
    <s v="XS"/>
    <s v="Pink"/>
    <n v="124.26"/>
    <n v="0"/>
    <n v="0"/>
    <n v="0"/>
    <s v="No Discount"/>
    <n v="124.26"/>
    <s v="No Loss"/>
    <d v="2024-08-08T00:00:00"/>
    <n v="44"/>
    <s v="IN STOCK"/>
    <n v="4"/>
    <n v="4"/>
    <b v="0"/>
    <x v="0"/>
    <m/>
  </r>
  <r>
    <s v="FB000481"/>
    <x v="3"/>
    <x v="2"/>
    <x v="1"/>
    <s v="XS"/>
    <s v="S"/>
    <s v="Black"/>
    <n v="129.33000000000001"/>
    <n v="0"/>
    <n v="0"/>
    <n v="0"/>
    <s v="No Discount"/>
    <n v="129.33000000000001"/>
    <s v="No Loss"/>
    <d v="2025-08-06T00:00:00"/>
    <n v="15"/>
    <s v="IN STOCK"/>
    <n v="3.1"/>
    <n v="3.1"/>
    <b v="0"/>
    <x v="0"/>
    <m/>
  </r>
  <r>
    <s v="FB000482"/>
    <x v="5"/>
    <x v="4"/>
    <x v="0"/>
    <s v="S"/>
    <s v="S"/>
    <s v="Navy"/>
    <n v="123.93"/>
    <n v="0.3"/>
    <n v="30"/>
    <n v="37.179000000000002"/>
    <s v="Medium Discount"/>
    <n v="86.75"/>
    <s v="High Loss"/>
    <d v="2025-07-31T00:00:00"/>
    <n v="39"/>
    <s v="IN STOCK"/>
    <n v="1.9"/>
    <n v="1.9"/>
    <b v="0"/>
    <x v="0"/>
    <m/>
  </r>
  <r>
    <s v="FB000483"/>
    <x v="3"/>
    <x v="0"/>
    <x v="3"/>
    <s v="OS"/>
    <s v="XS"/>
    <s v="Beige"/>
    <n v="62.76"/>
    <n v="0"/>
    <n v="0"/>
    <n v="0"/>
    <s v="No Discount"/>
    <n v="62.76"/>
    <s v="No Loss"/>
    <d v="2025-08-06T00:00:00"/>
    <n v="12"/>
    <s v="IN STOCK"/>
    <n v="4.7"/>
    <n v="4.7"/>
    <b v="0"/>
    <x v="0"/>
    <m/>
  </r>
  <r>
    <s v="FB000484"/>
    <x v="3"/>
    <x v="1"/>
    <x v="0"/>
    <s v="XL"/>
    <s v="XS"/>
    <s v="Blue"/>
    <n v="74.540000000000006"/>
    <n v="0"/>
    <n v="0"/>
    <n v="0"/>
    <s v="No Discount"/>
    <n v="74.540000000000006"/>
    <s v="No Loss"/>
    <d v="2024-11-07T00:00:00"/>
    <n v="4"/>
    <s v="LOW STOCK"/>
    <n v="3.5"/>
    <n v="3.5"/>
    <b v="0"/>
    <x v="0"/>
    <m/>
  </r>
  <r>
    <s v="FB000485"/>
    <x v="1"/>
    <x v="6"/>
    <x v="3"/>
    <s v="OS"/>
    <s v="S"/>
    <s v="Pink"/>
    <n v="114.03"/>
    <n v="0"/>
    <n v="0"/>
    <n v="0"/>
    <s v="No Discount"/>
    <n v="114.03"/>
    <s v="No Loss"/>
    <d v="2025-08-06T00:00:00"/>
    <n v="2"/>
    <s v="LOW STOCK"/>
    <n v="0"/>
    <m/>
    <b v="0"/>
    <x v="0"/>
    <m/>
  </r>
  <r>
    <s v="FB000486"/>
    <x v="2"/>
    <x v="6"/>
    <x v="2"/>
    <s v="OS"/>
    <m/>
    <s v="White"/>
    <n v="20.59"/>
    <n v="0.27600000000000002"/>
    <n v="27.6"/>
    <n v="5.6828400000000006"/>
    <s v="Medium Discount"/>
    <n v="14.91"/>
    <s v="Low Loss"/>
    <d v="2025-08-06T00:00:00"/>
    <n v="36"/>
    <s v="IN STOCK"/>
    <n v="0"/>
    <m/>
    <b v="0"/>
    <x v="0"/>
    <m/>
  </r>
  <r>
    <s v="FB000487"/>
    <x v="3"/>
    <x v="2"/>
    <x v="3"/>
    <s v="OS"/>
    <s v="XL"/>
    <s v="Blue"/>
    <n v="167.86"/>
    <n v="0"/>
    <n v="0"/>
    <n v="0"/>
    <s v="No Discount"/>
    <n v="167.86"/>
    <s v="No Loss"/>
    <d v="2025-08-06T00:00:00"/>
    <n v="17"/>
    <s v="IN STOCK"/>
    <n v="3.2"/>
    <n v="3.2"/>
    <b v="0"/>
    <x v="0"/>
    <m/>
  </r>
  <r>
    <s v="FB000488"/>
    <x v="2"/>
    <x v="1"/>
    <x v="2"/>
    <s v="M"/>
    <m/>
    <s v="Gray"/>
    <n v="62.2"/>
    <n v="0.377"/>
    <n v="37.700000000000003"/>
    <n v="23.449400000000001"/>
    <s v="high Discount"/>
    <n v="38.75"/>
    <s v="High Loss"/>
    <d v="2025-08-06T00:00:00"/>
    <n v="16"/>
    <s v="IN STOCK"/>
    <n v="3.1"/>
    <n v="3.1"/>
    <b v="0"/>
    <x v="0"/>
    <m/>
  </r>
  <r>
    <s v="FB000489"/>
    <x v="0"/>
    <x v="2"/>
    <x v="2"/>
    <s v="XS"/>
    <m/>
    <s v="Pink"/>
    <n v="223.69"/>
    <n v="6.3E-2"/>
    <n v="6.3"/>
    <n v="14.09247"/>
    <s v="Low Discount"/>
    <n v="209.6"/>
    <s v="Medium Loss"/>
    <d v="2025-08-06T00:00:00"/>
    <n v="18"/>
    <s v="IN STOCK"/>
    <n v="1.9"/>
    <n v="1.9"/>
    <b v="0"/>
    <x v="0"/>
    <m/>
  </r>
  <r>
    <s v="FB000490"/>
    <x v="2"/>
    <x v="3"/>
    <x v="3"/>
    <s v="XXL"/>
    <m/>
    <s v="Blue"/>
    <n v="67.13"/>
    <n v="0"/>
    <n v="0"/>
    <n v="0"/>
    <s v="No Discount"/>
    <n v="67.13"/>
    <s v="No Loss"/>
    <d v="2025-08-06T00:00:00"/>
    <n v="3"/>
    <s v="LOW STOCK"/>
    <n v="1.4"/>
    <n v="1.4"/>
    <b v="0"/>
    <x v="0"/>
    <m/>
  </r>
  <r>
    <s v="FB000491"/>
    <x v="5"/>
    <x v="0"/>
    <x v="3"/>
    <s v="XS"/>
    <s v="M"/>
    <s v="Red"/>
    <n v="144.81"/>
    <n v="0.33299999999999996"/>
    <n v="33.299999999999997"/>
    <n v="48.221729999999994"/>
    <s v="high Discount"/>
    <n v="96.59"/>
    <s v="High Loss"/>
    <d v="2025-08-06T00:00:00"/>
    <n v="33"/>
    <s v="IN STOCK"/>
    <n v="2.8"/>
    <n v="2.8"/>
    <b v="0"/>
    <x v="0"/>
    <m/>
  </r>
  <r>
    <s v="FB000492"/>
    <x v="0"/>
    <x v="6"/>
    <x v="1"/>
    <s v="XXL"/>
    <s v="XS"/>
    <s v="Purple"/>
    <n v="152.93"/>
    <n v="0.53"/>
    <n v="53"/>
    <n v="81.052900000000008"/>
    <s v="high Discount"/>
    <n v="71.88"/>
    <s v="High Loss"/>
    <d v="2025-08-06T00:00:00"/>
    <n v="2"/>
    <s v="LOW STOCK"/>
    <n v="4.5999999999999996"/>
    <n v="4.5999999999999996"/>
    <b v="1"/>
    <x v="5"/>
    <s v="Changed Mind"/>
  </r>
  <r>
    <s v="FB000493"/>
    <x v="5"/>
    <x v="7"/>
    <x v="3"/>
    <s v="OS"/>
    <s v="XXL"/>
    <s v="White"/>
    <n v="111.29"/>
    <n v="0"/>
    <n v="0"/>
    <n v="0"/>
    <s v="No Discount"/>
    <n v="111.29"/>
    <s v="No Loss"/>
    <d v="2025-08-06T00:00:00"/>
    <n v="48"/>
    <s v="IN STOCK"/>
    <n v="4.9000000000000004"/>
    <n v="4.9000000000000004"/>
    <b v="0"/>
    <x v="0"/>
    <m/>
  </r>
  <r>
    <s v="FB000494"/>
    <x v="0"/>
    <x v="2"/>
    <x v="1"/>
    <s v="L"/>
    <s v="XS"/>
    <s v="Pink"/>
    <n v="159.18"/>
    <n v="0"/>
    <n v="0"/>
    <n v="0"/>
    <s v="No Discount"/>
    <n v="159.18"/>
    <s v="No Loss"/>
    <d v="2025-08-06T00:00:00"/>
    <n v="38"/>
    <s v="IN STOCK"/>
    <n v="2.4"/>
    <n v="2.4"/>
    <b v="1"/>
    <x v="4"/>
    <s v="Quality Issue"/>
  </r>
  <r>
    <s v="FB000495"/>
    <x v="0"/>
    <x v="0"/>
    <x v="1"/>
    <s v="XXL"/>
    <s v="XXL"/>
    <s v="White"/>
    <n v="215.93"/>
    <n v="0"/>
    <n v="0"/>
    <n v="0"/>
    <s v="No Discount"/>
    <n v="215.93"/>
    <s v="No Loss"/>
    <d v="2025-08-06T00:00:00"/>
    <n v="43"/>
    <s v="IN STOCK"/>
    <n v="3.5"/>
    <n v="3.5"/>
    <b v="0"/>
    <x v="0"/>
    <m/>
  </r>
  <r>
    <s v="FB000496"/>
    <x v="1"/>
    <x v="5"/>
    <x v="0"/>
    <s v="M"/>
    <m/>
    <s v="Beige"/>
    <n v="51.69"/>
    <n v="0.33399999999999996"/>
    <n v="33.4"/>
    <n v="17.264459999999996"/>
    <s v="high Discount"/>
    <n v="34.43"/>
    <s v="Medium Loss"/>
    <d v="2024-08-07T00:00:00"/>
    <n v="36"/>
    <s v="IN STOCK"/>
    <n v="3.4"/>
    <n v="3.4"/>
    <b v="0"/>
    <x v="0"/>
    <m/>
  </r>
  <r>
    <s v="FB000497"/>
    <x v="0"/>
    <x v="5"/>
    <x v="3"/>
    <s v="S"/>
    <s v="L"/>
    <s v="Pink"/>
    <n v="137.38"/>
    <n v="0"/>
    <n v="0"/>
    <n v="0"/>
    <s v="No Discount"/>
    <n v="137.38"/>
    <s v="No Loss"/>
    <d v="2025-08-06T00:00:00"/>
    <n v="43"/>
    <s v="IN STOCK"/>
    <n v="3.5"/>
    <n v="3.5"/>
    <b v="0"/>
    <x v="0"/>
    <m/>
  </r>
  <r>
    <s v="FB000498"/>
    <x v="4"/>
    <x v="7"/>
    <x v="2"/>
    <s v="L"/>
    <s v="XXL"/>
    <s v="Green"/>
    <n v="96.7"/>
    <n v="0.38799999999999996"/>
    <n v="38.799999999999997"/>
    <n v="37.519599999999997"/>
    <s v="high Discount"/>
    <n v="59.18"/>
    <s v="High Loss"/>
    <d v="2025-08-06T00:00:00"/>
    <n v="46"/>
    <s v="IN STOCK"/>
    <n v="1.7"/>
    <n v="1.7"/>
    <b v="0"/>
    <x v="0"/>
    <m/>
  </r>
  <r>
    <s v="FB000499"/>
    <x v="4"/>
    <x v="4"/>
    <x v="0"/>
    <s v="XXL"/>
    <s v="M"/>
    <s v="Purple"/>
    <n v="58.73"/>
    <n v="0.38100000000000001"/>
    <n v="38.1"/>
    <n v="22.37613"/>
    <s v="high Discount"/>
    <n v="36.35"/>
    <s v="High Loss"/>
    <d v="2024-12-27T00:00:00"/>
    <n v="50"/>
    <s v="IN STOCK"/>
    <n v="1.2"/>
    <n v="1.2"/>
    <b v="0"/>
    <x v="0"/>
    <m/>
  </r>
  <r>
    <s v="FB000500"/>
    <x v="0"/>
    <x v="6"/>
    <x v="1"/>
    <s v="XL"/>
    <s v="S"/>
    <s v="Green"/>
    <n v="204.68"/>
    <n v="0"/>
    <n v="0"/>
    <n v="0"/>
    <s v="No Discount"/>
    <n v="204.68"/>
    <s v="No Loss"/>
    <d v="2025-08-06T00:00:00"/>
    <n v="33"/>
    <s v="IN STOCK"/>
    <n v="3.1"/>
    <n v="3.1"/>
    <b v="0"/>
    <x v="0"/>
    <m/>
  </r>
  <r>
    <s v="FB000501"/>
    <x v="4"/>
    <x v="7"/>
    <x v="0"/>
    <s v="XXL"/>
    <s v="L"/>
    <s v="White"/>
    <n v="117.26"/>
    <n v="0"/>
    <n v="0"/>
    <n v="0"/>
    <s v="No Discount"/>
    <n v="117.26"/>
    <s v="No Loss"/>
    <d v="2024-09-25T00:00:00"/>
    <n v="29"/>
    <s v="IN STOCK"/>
    <n v="0"/>
    <m/>
    <b v="0"/>
    <x v="0"/>
    <m/>
  </r>
  <r>
    <s v="FB000502"/>
    <x v="0"/>
    <x v="6"/>
    <x v="3"/>
    <s v="XL"/>
    <s v="XXL"/>
    <s v="White"/>
    <n v="91.95"/>
    <n v="0"/>
    <n v="0"/>
    <n v="0"/>
    <s v="No Discount"/>
    <n v="91.95"/>
    <s v="No Loss"/>
    <d v="2025-08-06T00:00:00"/>
    <n v="1"/>
    <s v="LOW STOCK"/>
    <n v="2.5"/>
    <n v="2.5"/>
    <b v="0"/>
    <x v="0"/>
    <m/>
  </r>
  <r>
    <s v="FB000503"/>
    <x v="4"/>
    <x v="6"/>
    <x v="2"/>
    <s v="OS"/>
    <s v="XL"/>
    <s v="Navy"/>
    <n v="94.53"/>
    <n v="0"/>
    <n v="0"/>
    <n v="0"/>
    <s v="No Discount"/>
    <n v="94.53"/>
    <s v="No Loss"/>
    <d v="2025-08-06T00:00:00"/>
    <n v="13"/>
    <s v="IN STOCK"/>
    <n v="2.4"/>
    <n v="2.4"/>
    <b v="0"/>
    <x v="0"/>
    <m/>
  </r>
  <r>
    <s v="FB000504"/>
    <x v="5"/>
    <x v="3"/>
    <x v="2"/>
    <s v="M"/>
    <s v="XXL"/>
    <s v="White"/>
    <n v="71.94"/>
    <n v="0.03"/>
    <n v="3"/>
    <n v="2.1581999999999999"/>
    <s v="Low Discount"/>
    <n v="69.78"/>
    <s v="Low Loss"/>
    <d v="2025-08-06T00:00:00"/>
    <n v="45"/>
    <s v="IN STOCK"/>
    <n v="1.4"/>
    <n v="1.4"/>
    <b v="0"/>
    <x v="0"/>
    <m/>
  </r>
  <r>
    <s v="FB000505"/>
    <x v="5"/>
    <x v="5"/>
    <x v="1"/>
    <s v="OS"/>
    <s v="XL"/>
    <s v="Green"/>
    <n v="177.72"/>
    <n v="5.9000000000000004E-2"/>
    <n v="5.9"/>
    <n v="10.485480000000001"/>
    <s v="Low Discount"/>
    <n v="167.23"/>
    <s v="Medium Loss"/>
    <d v="2025-08-06T00:00:00"/>
    <n v="47"/>
    <s v="IN STOCK"/>
    <n v="0"/>
    <m/>
    <b v="0"/>
    <x v="0"/>
    <m/>
  </r>
  <r>
    <s v="FB000506"/>
    <x v="2"/>
    <x v="0"/>
    <x v="3"/>
    <s v="XL"/>
    <m/>
    <s v="White"/>
    <n v="34.4"/>
    <n v="0"/>
    <n v="0"/>
    <n v="0"/>
    <s v="No Discount"/>
    <n v="34.4"/>
    <s v="No Loss"/>
    <d v="2025-08-06T00:00:00"/>
    <n v="43"/>
    <s v="IN STOCK"/>
    <n v="3"/>
    <n v="3"/>
    <b v="1"/>
    <x v="6"/>
    <s v="Wrong Item"/>
  </r>
  <r>
    <s v="FB000507"/>
    <x v="4"/>
    <x v="2"/>
    <x v="0"/>
    <s v="XL"/>
    <s v="M"/>
    <s v="Gray"/>
    <n v="119.72"/>
    <n v="0"/>
    <n v="0"/>
    <n v="0"/>
    <s v="No Discount"/>
    <n v="119.72"/>
    <s v="No Loss"/>
    <d v="2025-01-18T00:00:00"/>
    <n v="18"/>
    <s v="IN STOCK"/>
    <n v="3.7"/>
    <n v="3.7"/>
    <b v="0"/>
    <x v="0"/>
    <m/>
  </r>
  <r>
    <s v="FB000508"/>
    <x v="2"/>
    <x v="4"/>
    <x v="3"/>
    <s v="XS"/>
    <m/>
    <s v="Brown"/>
    <n v="44.09"/>
    <n v="0"/>
    <n v="0"/>
    <n v="0"/>
    <s v="No Discount"/>
    <n v="44.09"/>
    <s v="No Loss"/>
    <d v="2025-08-06T00:00:00"/>
    <n v="2"/>
    <s v="LOW STOCK"/>
    <n v="2"/>
    <n v="2"/>
    <b v="0"/>
    <x v="0"/>
    <m/>
  </r>
  <r>
    <s v="FB000509"/>
    <x v="4"/>
    <x v="3"/>
    <x v="0"/>
    <s v="OS"/>
    <s v="XL"/>
    <s v="Purple"/>
    <n v="42.47"/>
    <n v="0"/>
    <n v="0"/>
    <n v="0"/>
    <s v="No Discount"/>
    <n v="42.47"/>
    <s v="No Loss"/>
    <d v="2024-11-14T00:00:00"/>
    <n v="33"/>
    <s v="IN STOCK"/>
    <n v="4.5"/>
    <n v="4.5"/>
    <b v="1"/>
    <x v="5"/>
    <s v="Changed Mind"/>
  </r>
  <r>
    <s v="FB000510"/>
    <x v="5"/>
    <x v="2"/>
    <x v="3"/>
    <s v="M"/>
    <s v="XL"/>
    <s v="Purple"/>
    <n v="68.430000000000007"/>
    <n v="0"/>
    <n v="0"/>
    <n v="0"/>
    <s v="No Discount"/>
    <n v="68.430000000000007"/>
    <s v="No Loss"/>
    <d v="2025-08-06T00:00:00"/>
    <n v="16"/>
    <s v="IN STOCK"/>
    <n v="0"/>
    <m/>
    <b v="0"/>
    <x v="0"/>
    <m/>
  </r>
  <r>
    <s v="FB000511"/>
    <x v="3"/>
    <x v="0"/>
    <x v="2"/>
    <s v="OS"/>
    <s v="XS"/>
    <s v="Green"/>
    <n v="165.39"/>
    <n v="0.318"/>
    <n v="31.8"/>
    <n v="52.594019999999993"/>
    <s v="high Discount"/>
    <n v="112.8"/>
    <s v="High Loss"/>
    <d v="2025-08-06T00:00:00"/>
    <n v="9"/>
    <s v="LOW STOCK"/>
    <n v="4.5999999999999996"/>
    <n v="4.5999999999999996"/>
    <b v="0"/>
    <x v="0"/>
    <m/>
  </r>
  <r>
    <s v="FB000512"/>
    <x v="2"/>
    <x v="5"/>
    <x v="1"/>
    <s v="OS"/>
    <m/>
    <s v="Green"/>
    <n v="35.36"/>
    <n v="0"/>
    <n v="0"/>
    <n v="0"/>
    <s v="No Discount"/>
    <n v="35.36"/>
    <s v="No Loss"/>
    <d v="2025-08-06T00:00:00"/>
    <n v="42"/>
    <s v="IN STOCK"/>
    <n v="4.5"/>
    <n v="4.5"/>
    <b v="0"/>
    <x v="0"/>
    <m/>
  </r>
  <r>
    <s v="FB000513"/>
    <x v="5"/>
    <x v="4"/>
    <x v="3"/>
    <s v="XL"/>
    <s v="M"/>
    <s v="Navy"/>
    <n v="95.73"/>
    <n v="0"/>
    <n v="0"/>
    <n v="0"/>
    <s v="No Discount"/>
    <n v="95.73"/>
    <s v="No Loss"/>
    <d v="2025-08-06T00:00:00"/>
    <n v="6"/>
    <s v="LOW STOCK"/>
    <n v="4.5999999999999996"/>
    <n v="4.5999999999999996"/>
    <b v="0"/>
    <x v="0"/>
    <m/>
  </r>
  <r>
    <s v="FB000514"/>
    <x v="2"/>
    <x v="2"/>
    <x v="0"/>
    <s v="XS"/>
    <m/>
    <s v="Brown"/>
    <n v="72.28"/>
    <n v="0.51300000000000001"/>
    <n v="51.3"/>
    <n v="37.079640000000005"/>
    <s v="high Discount"/>
    <n v="35.200000000000003"/>
    <s v="High Loss"/>
    <d v="2025-02-15T00:00:00"/>
    <n v="31"/>
    <s v="IN STOCK"/>
    <n v="1.9"/>
    <n v="1.9"/>
    <b v="0"/>
    <x v="0"/>
    <m/>
  </r>
  <r>
    <s v="FB000515"/>
    <x v="0"/>
    <x v="5"/>
    <x v="3"/>
    <s v="M"/>
    <m/>
    <s v="White"/>
    <n v="80.349999999999994"/>
    <n v="0"/>
    <n v="0"/>
    <n v="0"/>
    <s v="No Discount"/>
    <n v="80.349999999999994"/>
    <s v="No Loss"/>
    <d v="2025-08-06T00:00:00"/>
    <n v="28"/>
    <s v="IN STOCK"/>
    <n v="2.9"/>
    <n v="2.9"/>
    <b v="0"/>
    <x v="0"/>
    <m/>
  </r>
  <r>
    <s v="FB000516"/>
    <x v="4"/>
    <x v="2"/>
    <x v="1"/>
    <s v="OS"/>
    <s v="XL"/>
    <s v="Gray"/>
    <n v="119.04"/>
    <n v="0"/>
    <n v="0"/>
    <n v="0"/>
    <s v="No Discount"/>
    <n v="119.04"/>
    <s v="No Loss"/>
    <d v="2025-08-06T00:00:00"/>
    <n v="35"/>
    <s v="IN STOCK"/>
    <n v="1.4"/>
    <n v="1.4"/>
    <b v="0"/>
    <x v="0"/>
    <m/>
  </r>
  <r>
    <s v="FB000517"/>
    <x v="1"/>
    <x v="6"/>
    <x v="1"/>
    <s v="M"/>
    <s v="XS"/>
    <s v="Brown"/>
    <n v="60.53"/>
    <n v="0.42499999999999999"/>
    <n v="42.5"/>
    <n v="25.725249999999999"/>
    <s v="high Discount"/>
    <n v="34.799999999999997"/>
    <s v="High Loss"/>
    <d v="2025-08-06T00:00:00"/>
    <n v="8"/>
    <s v="LOW STOCK"/>
    <n v="0"/>
    <m/>
    <b v="1"/>
    <x v="1"/>
    <s v="Color Mismatch"/>
  </r>
  <r>
    <s v="FB000518"/>
    <x v="0"/>
    <x v="4"/>
    <x v="2"/>
    <s v="OS"/>
    <s v="M"/>
    <s v="Navy"/>
    <n v="92.54"/>
    <n v="0.43799999999999994"/>
    <n v="43.8"/>
    <n v="40.532519999999998"/>
    <s v="high Discount"/>
    <n v="52.01"/>
    <s v="High Loss"/>
    <d v="2025-08-06T00:00:00"/>
    <n v="33"/>
    <s v="IN STOCK"/>
    <n v="1.5"/>
    <n v="1.5"/>
    <b v="1"/>
    <x v="3"/>
    <s v="Damaged"/>
  </r>
  <r>
    <s v="FB000519"/>
    <x v="2"/>
    <x v="1"/>
    <x v="2"/>
    <s v="L"/>
    <m/>
    <s v="Pink"/>
    <n v="28.4"/>
    <n v="0"/>
    <n v="0"/>
    <n v="0"/>
    <s v="No Discount"/>
    <n v="28.4"/>
    <s v="No Loss"/>
    <d v="2025-08-06T00:00:00"/>
    <n v="4"/>
    <s v="LOW STOCK"/>
    <n v="3.1"/>
    <n v="3.1"/>
    <b v="0"/>
    <x v="0"/>
    <m/>
  </r>
  <r>
    <s v="FB000520"/>
    <x v="4"/>
    <x v="0"/>
    <x v="3"/>
    <s v="S"/>
    <s v="M"/>
    <s v="Gray"/>
    <n v="91.65"/>
    <n v="0"/>
    <n v="0"/>
    <n v="0"/>
    <s v="No Discount"/>
    <n v="91.65"/>
    <s v="No Loss"/>
    <d v="2025-08-06T00:00:00"/>
    <n v="40"/>
    <s v="IN STOCK"/>
    <n v="3.8"/>
    <n v="3.8"/>
    <b v="0"/>
    <x v="0"/>
    <m/>
  </r>
  <r>
    <s v="FB000521"/>
    <x v="2"/>
    <x v="3"/>
    <x v="2"/>
    <s v="OS"/>
    <m/>
    <s v="Navy"/>
    <n v="72.569999999999993"/>
    <n v="0"/>
    <n v="0"/>
    <n v="0"/>
    <s v="No Discount"/>
    <n v="72.569999999999993"/>
    <s v="No Loss"/>
    <d v="2025-08-06T00:00:00"/>
    <n v="27"/>
    <s v="IN STOCK"/>
    <n v="2.5"/>
    <n v="2.5"/>
    <b v="0"/>
    <x v="0"/>
    <m/>
  </r>
  <r>
    <s v="FB000522"/>
    <x v="4"/>
    <x v="4"/>
    <x v="2"/>
    <s v="L"/>
    <s v="L"/>
    <s v="Blue"/>
    <n v="39.049999999999997"/>
    <n v="0"/>
    <n v="0"/>
    <n v="0"/>
    <s v="No Discount"/>
    <n v="39.049999999999997"/>
    <s v="No Loss"/>
    <d v="2025-08-06T00:00:00"/>
    <n v="10"/>
    <s v="LOW STOCK"/>
    <n v="3.5"/>
    <n v="3.5"/>
    <b v="0"/>
    <x v="0"/>
    <m/>
  </r>
  <r>
    <s v="FB000523"/>
    <x v="5"/>
    <x v="0"/>
    <x v="1"/>
    <s v="XS"/>
    <s v="S"/>
    <s v="Gray"/>
    <n v="113.21"/>
    <n v="0"/>
    <n v="0"/>
    <n v="0"/>
    <s v="No Discount"/>
    <n v="113.21"/>
    <s v="No Loss"/>
    <d v="2025-08-06T00:00:00"/>
    <n v="12"/>
    <s v="IN STOCK"/>
    <n v="4.4000000000000004"/>
    <n v="4.4000000000000004"/>
    <b v="0"/>
    <x v="0"/>
    <m/>
  </r>
  <r>
    <s v="FB000524"/>
    <x v="2"/>
    <x v="7"/>
    <x v="0"/>
    <s v="S"/>
    <m/>
    <s v="Navy"/>
    <n v="25.34"/>
    <n v="0"/>
    <n v="0"/>
    <n v="0"/>
    <s v="No Discount"/>
    <n v="25.34"/>
    <s v="No Loss"/>
    <d v="2025-07-31T00:00:00"/>
    <n v="17"/>
    <s v="IN STOCK"/>
    <n v="3.3"/>
    <n v="3.3"/>
    <b v="0"/>
    <x v="0"/>
    <m/>
  </r>
  <r>
    <s v="FB000525"/>
    <x v="1"/>
    <x v="3"/>
    <x v="0"/>
    <s v="XL"/>
    <s v="L"/>
    <s v="Black"/>
    <n v="98.16"/>
    <n v="0.56700000000000006"/>
    <n v="56.7"/>
    <n v="55.656720000000007"/>
    <s v="high Discount"/>
    <n v="42.5"/>
    <s v="High Loss"/>
    <d v="2025-02-05T00:00:00"/>
    <n v="44"/>
    <s v="IN STOCK"/>
    <n v="2.6"/>
    <n v="2.6"/>
    <b v="0"/>
    <x v="0"/>
    <m/>
  </r>
  <r>
    <s v="FB000526"/>
    <x v="1"/>
    <x v="2"/>
    <x v="0"/>
    <s v="OS"/>
    <s v="XS"/>
    <s v="Purple"/>
    <n v="60.54"/>
    <n v="0"/>
    <n v="0"/>
    <n v="0"/>
    <s v="No Discount"/>
    <n v="60.54"/>
    <s v="No Loss"/>
    <d v="2025-04-10T00:00:00"/>
    <n v="35"/>
    <s v="IN STOCK"/>
    <n v="1.7"/>
    <n v="1.7"/>
    <b v="0"/>
    <x v="0"/>
    <m/>
  </r>
  <r>
    <s v="FB000527"/>
    <x v="5"/>
    <x v="0"/>
    <x v="1"/>
    <s v="OS"/>
    <s v="S"/>
    <s v="Pink"/>
    <n v="132.61000000000001"/>
    <n v="7.400000000000001E-2"/>
    <n v="7.4"/>
    <n v="9.8131400000000024"/>
    <s v="Low Discount"/>
    <n v="122.8"/>
    <s v="Low Loss"/>
    <d v="2025-08-06T00:00:00"/>
    <n v="0"/>
    <s v="NO STOCK"/>
    <n v="4.2"/>
    <n v="4.2"/>
    <b v="0"/>
    <x v="0"/>
    <m/>
  </r>
  <r>
    <s v="FB000528"/>
    <x v="0"/>
    <x v="5"/>
    <x v="2"/>
    <s v="XS"/>
    <s v="XL"/>
    <s v="Pink"/>
    <n v="234.14"/>
    <n v="0"/>
    <n v="0"/>
    <n v="0"/>
    <s v="No Discount"/>
    <n v="234.14"/>
    <s v="No Loss"/>
    <d v="2025-08-06T00:00:00"/>
    <n v="40"/>
    <s v="IN STOCK"/>
    <n v="1.7"/>
    <n v="1.7"/>
    <b v="0"/>
    <x v="0"/>
    <m/>
  </r>
  <r>
    <s v="FB000529"/>
    <x v="2"/>
    <x v="4"/>
    <x v="2"/>
    <s v="OS"/>
    <m/>
    <s v="Black"/>
    <n v="31.86"/>
    <n v="0.48200000000000004"/>
    <n v="48.2"/>
    <n v="15.356520000000002"/>
    <s v="high Discount"/>
    <n v="16.5"/>
    <s v="Medium Loss"/>
    <d v="2025-08-06T00:00:00"/>
    <n v="32"/>
    <s v="IN STOCK"/>
    <n v="4.5"/>
    <n v="4.5"/>
    <b v="0"/>
    <x v="0"/>
    <m/>
  </r>
  <r>
    <s v="FB000530"/>
    <x v="2"/>
    <x v="1"/>
    <x v="0"/>
    <s v="M"/>
    <m/>
    <s v="Gray"/>
    <n v="15.14"/>
    <n v="0.36700000000000005"/>
    <n v="36.700000000000003"/>
    <n v="5.5563800000000008"/>
    <s v="high Discount"/>
    <n v="9.58"/>
    <s v="Low Loss"/>
    <d v="2025-07-23T00:00:00"/>
    <n v="41"/>
    <s v="IN STOCK"/>
    <n v="3.8"/>
    <n v="3.8"/>
    <b v="0"/>
    <x v="0"/>
    <m/>
  </r>
  <r>
    <s v="FB000531"/>
    <x v="3"/>
    <x v="4"/>
    <x v="1"/>
    <s v="L"/>
    <s v="XS"/>
    <s v="Purple"/>
    <n v="77.72"/>
    <n v="0"/>
    <n v="0"/>
    <n v="0"/>
    <s v="No Discount"/>
    <n v="77.72"/>
    <s v="No Loss"/>
    <d v="2025-08-06T00:00:00"/>
    <n v="48"/>
    <s v="IN STOCK"/>
    <n v="1.1000000000000001"/>
    <n v="1.1000000000000001"/>
    <b v="0"/>
    <x v="0"/>
    <m/>
  </r>
  <r>
    <s v="FB000532"/>
    <x v="2"/>
    <x v="0"/>
    <x v="0"/>
    <s v="XL"/>
    <m/>
    <s v="Gray"/>
    <n v="78.040000000000006"/>
    <n v="0"/>
    <n v="0"/>
    <n v="0"/>
    <s v="No Discount"/>
    <n v="78.040000000000006"/>
    <s v="No Loss"/>
    <d v="2025-04-09T00:00:00"/>
    <n v="38"/>
    <s v="IN STOCK"/>
    <n v="4.9000000000000004"/>
    <n v="4.9000000000000004"/>
    <b v="0"/>
    <x v="0"/>
    <m/>
  </r>
  <r>
    <s v="FB000533"/>
    <x v="0"/>
    <x v="6"/>
    <x v="2"/>
    <s v="L"/>
    <s v="M"/>
    <s v="Brown"/>
    <n v="169.82"/>
    <n v="0"/>
    <n v="0"/>
    <n v="0"/>
    <s v="No Discount"/>
    <n v="169.82"/>
    <s v="No Loss"/>
    <d v="2025-08-06T00:00:00"/>
    <n v="28"/>
    <s v="IN STOCK"/>
    <n v="4"/>
    <n v="4"/>
    <b v="0"/>
    <x v="0"/>
    <m/>
  </r>
  <r>
    <s v="FB000534"/>
    <x v="4"/>
    <x v="4"/>
    <x v="0"/>
    <s v="XXL"/>
    <s v="L"/>
    <s v="White"/>
    <n v="94.71"/>
    <n v="0.38900000000000001"/>
    <n v="38.9"/>
    <n v="36.842190000000002"/>
    <s v="high Discount"/>
    <n v="57.87"/>
    <s v="High Loss"/>
    <d v="2024-08-16T00:00:00"/>
    <n v="39"/>
    <s v="IN STOCK"/>
    <n v="4.7"/>
    <n v="4.7"/>
    <b v="0"/>
    <x v="0"/>
    <m/>
  </r>
  <r>
    <s v="FB000535"/>
    <x v="3"/>
    <x v="5"/>
    <x v="0"/>
    <s v="L"/>
    <s v="XL"/>
    <s v="Red"/>
    <n v="112.6"/>
    <n v="0.22"/>
    <n v="22"/>
    <n v="24.771999999999998"/>
    <s v="Medium Discount"/>
    <n v="87.83"/>
    <s v="High Loss"/>
    <d v="2025-07-22T00:00:00"/>
    <n v="29"/>
    <s v="IN STOCK"/>
    <n v="2.1"/>
    <n v="2.1"/>
    <b v="1"/>
    <x v="1"/>
    <s v="Color Mismatch"/>
  </r>
  <r>
    <s v="FB000536"/>
    <x v="4"/>
    <x v="0"/>
    <x v="3"/>
    <s v="L"/>
    <s v="L"/>
    <s v="Purple"/>
    <n v="104.16"/>
    <n v="0"/>
    <n v="0"/>
    <n v="0"/>
    <s v="No Discount"/>
    <n v="104.16"/>
    <s v="No Loss"/>
    <d v="2025-08-06T00:00:00"/>
    <n v="21"/>
    <s v="IN STOCK"/>
    <n v="1.6"/>
    <n v="1.6"/>
    <b v="0"/>
    <x v="0"/>
    <m/>
  </r>
  <r>
    <s v="FB000537"/>
    <x v="0"/>
    <x v="6"/>
    <x v="1"/>
    <s v="XL"/>
    <s v="XXL"/>
    <s v="Gray"/>
    <n v="174.86"/>
    <n v="0"/>
    <n v="0"/>
    <n v="0"/>
    <s v="No Discount"/>
    <n v="174.86"/>
    <s v="No Loss"/>
    <d v="2025-08-06T00:00:00"/>
    <n v="15"/>
    <s v="IN STOCK"/>
    <n v="1.7"/>
    <n v="1.7"/>
    <b v="0"/>
    <x v="0"/>
    <m/>
  </r>
  <r>
    <s v="FB000538"/>
    <x v="0"/>
    <x v="1"/>
    <x v="0"/>
    <s v="XL"/>
    <s v="L"/>
    <s v="Purple"/>
    <n v="217.89"/>
    <n v="0.49399999999999999"/>
    <n v="49.4"/>
    <n v="107.63766"/>
    <s v="high Discount"/>
    <n v="110.25"/>
    <s v="High Loss"/>
    <d v="2024-11-27T00:00:00"/>
    <n v="42"/>
    <s v="IN STOCK"/>
    <n v="2.9"/>
    <n v="2.9"/>
    <b v="0"/>
    <x v="0"/>
    <m/>
  </r>
  <r>
    <s v="FB000539"/>
    <x v="3"/>
    <x v="3"/>
    <x v="1"/>
    <s v="S"/>
    <s v="L"/>
    <s v="Black"/>
    <n v="123.14"/>
    <n v="0"/>
    <n v="0"/>
    <n v="0"/>
    <s v="No Discount"/>
    <n v="123.14"/>
    <s v="No Loss"/>
    <d v="2025-08-06T00:00:00"/>
    <n v="15"/>
    <s v="IN STOCK"/>
    <n v="1.8"/>
    <n v="1.8"/>
    <b v="1"/>
    <x v="6"/>
    <s v="Wrong Item"/>
  </r>
  <r>
    <s v="FB000540"/>
    <x v="1"/>
    <x v="5"/>
    <x v="1"/>
    <s v="XXL"/>
    <s v="XL"/>
    <s v="Navy"/>
    <n v="103.96"/>
    <n v="0"/>
    <n v="0"/>
    <n v="0"/>
    <s v="No Discount"/>
    <n v="103.96"/>
    <s v="No Loss"/>
    <d v="2025-08-06T00:00:00"/>
    <n v="23"/>
    <s v="IN STOCK"/>
    <n v="3.3"/>
    <n v="3.3"/>
    <b v="0"/>
    <x v="0"/>
    <m/>
  </r>
  <r>
    <s v="FB000541"/>
    <x v="5"/>
    <x v="4"/>
    <x v="0"/>
    <s v="L"/>
    <s v="XL"/>
    <s v="Blue"/>
    <n v="138.44999999999999"/>
    <n v="0"/>
    <n v="0"/>
    <n v="0"/>
    <s v="No Discount"/>
    <n v="138.44999999999999"/>
    <s v="No Loss"/>
    <d v="2025-03-28T00:00:00"/>
    <n v="18"/>
    <s v="IN STOCK"/>
    <n v="3.3"/>
    <n v="3.3"/>
    <b v="0"/>
    <x v="0"/>
    <m/>
  </r>
  <r>
    <s v="FB000542"/>
    <x v="3"/>
    <x v="6"/>
    <x v="3"/>
    <s v="M"/>
    <s v="S"/>
    <s v="Black"/>
    <n v="165.1"/>
    <n v="0"/>
    <n v="0"/>
    <n v="0"/>
    <s v="No Discount"/>
    <n v="165.1"/>
    <s v="No Loss"/>
    <d v="2025-08-06T00:00:00"/>
    <n v="7"/>
    <s v="LOW STOCK"/>
    <n v="0"/>
    <m/>
    <b v="0"/>
    <x v="0"/>
    <m/>
  </r>
  <r>
    <s v="FB000543"/>
    <x v="3"/>
    <x v="6"/>
    <x v="1"/>
    <s v="OS"/>
    <s v="XXL"/>
    <s v="Gray"/>
    <n v="147.25"/>
    <n v="0"/>
    <n v="0"/>
    <n v="0"/>
    <s v="No Discount"/>
    <n v="147.25"/>
    <s v="No Loss"/>
    <d v="2025-08-06T00:00:00"/>
    <n v="15"/>
    <s v="IN STOCK"/>
    <n v="2.7"/>
    <n v="2.7"/>
    <b v="0"/>
    <x v="0"/>
    <m/>
  </r>
  <r>
    <s v="FB000544"/>
    <x v="3"/>
    <x v="1"/>
    <x v="2"/>
    <s v="XS"/>
    <s v="L"/>
    <s v="Pink"/>
    <n v="126.23"/>
    <n v="0"/>
    <n v="0"/>
    <n v="0"/>
    <s v="No Discount"/>
    <n v="126.23"/>
    <s v="No Loss"/>
    <d v="2025-08-06T00:00:00"/>
    <n v="48"/>
    <s v="IN STOCK"/>
    <n v="2.1"/>
    <n v="2.1"/>
    <b v="0"/>
    <x v="0"/>
    <m/>
  </r>
  <r>
    <s v="FB000545"/>
    <x v="0"/>
    <x v="5"/>
    <x v="2"/>
    <s v="OS"/>
    <s v="M"/>
    <s v="Navy"/>
    <n v="229.04"/>
    <n v="0"/>
    <n v="0"/>
    <n v="0"/>
    <s v="No Discount"/>
    <n v="229.04"/>
    <s v="No Loss"/>
    <d v="2025-08-06T00:00:00"/>
    <n v="5"/>
    <s v="LOW STOCK"/>
    <n v="4.5"/>
    <n v="4.5"/>
    <b v="0"/>
    <x v="0"/>
    <m/>
  </r>
  <r>
    <s v="FB000546"/>
    <x v="2"/>
    <x v="5"/>
    <x v="1"/>
    <s v="M"/>
    <m/>
    <s v="Gray"/>
    <n v="38.65"/>
    <n v="0.32600000000000001"/>
    <n v="32.6"/>
    <n v="12.5999"/>
    <s v="high Discount"/>
    <n v="26.05"/>
    <s v="Medium Loss"/>
    <d v="2025-08-06T00:00:00"/>
    <n v="46"/>
    <s v="IN STOCK"/>
    <n v="1.1000000000000001"/>
    <n v="1.1000000000000001"/>
    <b v="0"/>
    <x v="0"/>
    <m/>
  </r>
  <r>
    <s v="FB000547"/>
    <x v="4"/>
    <x v="2"/>
    <x v="0"/>
    <s v="OS"/>
    <s v="XS"/>
    <s v="Pink"/>
    <n v="80.819999999999993"/>
    <n v="0"/>
    <n v="0"/>
    <n v="0"/>
    <s v="No Discount"/>
    <n v="80.819999999999993"/>
    <s v="No Loss"/>
    <d v="2025-02-11T00:00:00"/>
    <n v="42"/>
    <s v="IN STOCK"/>
    <n v="0"/>
    <m/>
    <b v="0"/>
    <x v="0"/>
    <m/>
  </r>
  <r>
    <s v="FB000548"/>
    <x v="2"/>
    <x v="1"/>
    <x v="0"/>
    <s v="L"/>
    <m/>
    <s v="Beige"/>
    <n v="56.44"/>
    <n v="0"/>
    <n v="0"/>
    <n v="0"/>
    <s v="No Discount"/>
    <n v="56.44"/>
    <s v="No Loss"/>
    <d v="2025-03-18T00:00:00"/>
    <n v="35"/>
    <s v="IN STOCK"/>
    <n v="4"/>
    <n v="4"/>
    <b v="0"/>
    <x v="0"/>
    <m/>
  </r>
  <r>
    <s v="FB000549"/>
    <x v="5"/>
    <x v="0"/>
    <x v="2"/>
    <s v="XXL"/>
    <s v="M"/>
    <s v="Beige"/>
    <n v="121.3"/>
    <n v="0"/>
    <n v="0"/>
    <n v="0"/>
    <s v="No Discount"/>
    <n v="121.3"/>
    <s v="No Loss"/>
    <d v="2025-08-06T00:00:00"/>
    <n v="33"/>
    <s v="IN STOCK"/>
    <n v="2.2999999999999998"/>
    <n v="2.2999999999999998"/>
    <b v="0"/>
    <x v="0"/>
    <m/>
  </r>
  <r>
    <s v="FB000550"/>
    <x v="4"/>
    <x v="6"/>
    <x v="2"/>
    <s v="L"/>
    <m/>
    <s v="Black"/>
    <n v="101.98"/>
    <n v="0.28399999999999997"/>
    <n v="28.4"/>
    <n v="28.962319999999998"/>
    <s v="Medium Discount"/>
    <n v="73.02"/>
    <s v="High Loss"/>
    <d v="2025-08-06T00:00:00"/>
    <n v="40"/>
    <s v="IN STOCK"/>
    <n v="4.5"/>
    <n v="4.5"/>
    <b v="0"/>
    <x v="0"/>
    <m/>
  </r>
  <r>
    <s v="FB000551"/>
    <x v="4"/>
    <x v="2"/>
    <x v="0"/>
    <s v="XL"/>
    <s v="L"/>
    <s v="Red"/>
    <n v="89.99"/>
    <n v="0"/>
    <n v="0"/>
    <n v="0"/>
    <s v="No Discount"/>
    <n v="89.99"/>
    <s v="No Loss"/>
    <d v="2025-02-28T00:00:00"/>
    <n v="26"/>
    <s v="IN STOCK"/>
    <n v="4.0999999999999996"/>
    <n v="4.0999999999999996"/>
    <b v="0"/>
    <x v="0"/>
    <m/>
  </r>
  <r>
    <s v="FB000552"/>
    <x v="3"/>
    <x v="7"/>
    <x v="3"/>
    <s v="XS"/>
    <s v="XXL"/>
    <s v="Green"/>
    <n v="64.31"/>
    <n v="0.34499999999999997"/>
    <n v="34.5"/>
    <n v="22.18695"/>
    <s v="high Discount"/>
    <n v="42.12"/>
    <s v="High Loss"/>
    <d v="2025-08-06T00:00:00"/>
    <n v="48"/>
    <s v="IN STOCK"/>
    <n v="4.5"/>
    <n v="4.5"/>
    <b v="0"/>
    <x v="0"/>
    <m/>
  </r>
  <r>
    <s v="FB000553"/>
    <x v="5"/>
    <x v="0"/>
    <x v="0"/>
    <s v="XS"/>
    <s v="L"/>
    <s v="Beige"/>
    <n v="168.92"/>
    <n v="0"/>
    <n v="0"/>
    <n v="0"/>
    <s v="No Discount"/>
    <n v="168.92"/>
    <s v="No Loss"/>
    <d v="2025-07-14T00:00:00"/>
    <n v="11"/>
    <s v="IN STOCK"/>
    <n v="4.4000000000000004"/>
    <n v="4.4000000000000004"/>
    <b v="0"/>
    <x v="0"/>
    <m/>
  </r>
  <r>
    <s v="FB000554"/>
    <x v="4"/>
    <x v="6"/>
    <x v="3"/>
    <s v="OS"/>
    <s v="XL"/>
    <s v="Navy"/>
    <n v="86.46"/>
    <n v="0.495"/>
    <n v="49.5"/>
    <n v="42.797699999999999"/>
    <s v="high Discount"/>
    <n v="43.66"/>
    <s v="High Loss"/>
    <d v="2025-08-06T00:00:00"/>
    <n v="19"/>
    <s v="IN STOCK"/>
    <n v="4.3"/>
    <n v="4.3"/>
    <b v="0"/>
    <x v="0"/>
    <m/>
  </r>
  <r>
    <s v="FB000555"/>
    <x v="1"/>
    <x v="7"/>
    <x v="1"/>
    <s v="M"/>
    <s v="XS"/>
    <s v="Red"/>
    <n v="36.840000000000003"/>
    <n v="0.18899999999999997"/>
    <n v="18.899999999999999"/>
    <n v="6.9627599999999994"/>
    <s v="Low Discount"/>
    <n v="29.88"/>
    <s v="Low Loss"/>
    <d v="2025-08-06T00:00:00"/>
    <n v="39"/>
    <s v="IN STOCK"/>
    <n v="1.2"/>
    <n v="1.2"/>
    <b v="0"/>
    <x v="0"/>
    <m/>
  </r>
  <r>
    <s v="FB000556"/>
    <x v="1"/>
    <x v="5"/>
    <x v="0"/>
    <s v="S"/>
    <s v="XS"/>
    <s v="Pink"/>
    <n v="38.5"/>
    <n v="0"/>
    <n v="0"/>
    <n v="0"/>
    <s v="No Discount"/>
    <n v="38.5"/>
    <s v="No Loss"/>
    <d v="2025-03-06T00:00:00"/>
    <n v="2"/>
    <s v="LOW STOCK"/>
    <n v="3.2"/>
    <n v="3.2"/>
    <b v="0"/>
    <x v="0"/>
    <m/>
  </r>
  <r>
    <s v="FB000557"/>
    <x v="4"/>
    <x v="3"/>
    <x v="1"/>
    <s v="L"/>
    <m/>
    <s v="Beige"/>
    <n v="68.02"/>
    <n v="0.377"/>
    <n v="37.700000000000003"/>
    <n v="25.643539999999998"/>
    <s v="high Discount"/>
    <n v="42.38"/>
    <s v="High Loss"/>
    <d v="2025-08-06T00:00:00"/>
    <n v="40"/>
    <s v="IN STOCK"/>
    <n v="2.1"/>
    <n v="2.1"/>
    <b v="0"/>
    <x v="0"/>
    <m/>
  </r>
  <r>
    <s v="FB000558"/>
    <x v="5"/>
    <x v="1"/>
    <x v="2"/>
    <s v="M"/>
    <s v="M"/>
    <s v="Brown"/>
    <n v="117.23"/>
    <n v="0"/>
    <n v="0"/>
    <n v="0"/>
    <s v="No Discount"/>
    <n v="117.23"/>
    <s v="No Loss"/>
    <d v="2025-08-06T00:00:00"/>
    <n v="30"/>
    <s v="IN STOCK"/>
    <n v="0"/>
    <m/>
    <b v="1"/>
    <x v="5"/>
    <s v="Changed Mind"/>
  </r>
  <r>
    <s v="FB000559"/>
    <x v="1"/>
    <x v="5"/>
    <x v="0"/>
    <s v="L"/>
    <s v="S"/>
    <s v="Navy"/>
    <n v="79.33"/>
    <n v="0"/>
    <n v="0"/>
    <n v="0"/>
    <s v="No Discount"/>
    <n v="79.33"/>
    <s v="No Loss"/>
    <d v="2025-01-30T00:00:00"/>
    <n v="10"/>
    <s v="LOW STOCK"/>
    <n v="3.4"/>
    <n v="3.4"/>
    <b v="1"/>
    <x v="5"/>
    <s v="Changed Mind"/>
  </r>
  <r>
    <s v="FB000560"/>
    <x v="4"/>
    <x v="3"/>
    <x v="3"/>
    <s v="L"/>
    <s v="L"/>
    <s v="Green"/>
    <n v="75.819999999999993"/>
    <n v="0.42700000000000005"/>
    <n v="42.7"/>
    <n v="32.375140000000002"/>
    <s v="high Discount"/>
    <n v="43.44"/>
    <s v="High Loss"/>
    <d v="2025-08-06T00:00:00"/>
    <n v="11"/>
    <s v="IN STOCK"/>
    <n v="2"/>
    <n v="2"/>
    <b v="0"/>
    <x v="0"/>
    <m/>
  </r>
  <r>
    <s v="FB000561"/>
    <x v="5"/>
    <x v="5"/>
    <x v="0"/>
    <s v="XS"/>
    <s v="M"/>
    <s v="White"/>
    <n v="141.41999999999999"/>
    <n v="0"/>
    <n v="0"/>
    <n v="0"/>
    <s v="No Discount"/>
    <n v="141.41999999999999"/>
    <s v="No Loss"/>
    <d v="2025-03-25T00:00:00"/>
    <n v="10"/>
    <s v="LOW STOCK"/>
    <n v="2.5"/>
    <n v="2.5"/>
    <b v="0"/>
    <x v="0"/>
    <m/>
  </r>
  <r>
    <s v="FB000562"/>
    <x v="3"/>
    <x v="1"/>
    <x v="0"/>
    <s v="M"/>
    <s v="L"/>
    <s v="Black"/>
    <n v="124.2"/>
    <n v="0"/>
    <n v="0"/>
    <n v="0"/>
    <s v="No Discount"/>
    <n v="124.2"/>
    <s v="No Loss"/>
    <d v="2024-08-28T00:00:00"/>
    <n v="24"/>
    <s v="IN STOCK"/>
    <n v="1"/>
    <n v="1"/>
    <b v="0"/>
    <x v="0"/>
    <m/>
  </r>
  <r>
    <s v="FB000563"/>
    <x v="4"/>
    <x v="7"/>
    <x v="1"/>
    <s v="XL"/>
    <s v="L"/>
    <s v="Navy"/>
    <n v="48.42"/>
    <n v="0"/>
    <n v="0"/>
    <n v="0"/>
    <s v="No Discount"/>
    <n v="48.42"/>
    <s v="No Loss"/>
    <d v="2025-08-06T00:00:00"/>
    <n v="6"/>
    <s v="LOW STOCK"/>
    <n v="4.3"/>
    <n v="4.3"/>
    <b v="0"/>
    <x v="0"/>
    <m/>
  </r>
  <r>
    <s v="FB000564"/>
    <x v="5"/>
    <x v="4"/>
    <x v="2"/>
    <s v="S"/>
    <s v="XS"/>
    <s v="Gray"/>
    <n v="119.4"/>
    <n v="0"/>
    <n v="0"/>
    <n v="0"/>
    <s v="No Discount"/>
    <n v="119.4"/>
    <s v="No Loss"/>
    <d v="2025-08-06T00:00:00"/>
    <n v="45"/>
    <s v="IN STOCK"/>
    <n v="4.2"/>
    <n v="4.2"/>
    <b v="0"/>
    <x v="0"/>
    <m/>
  </r>
  <r>
    <s v="FB000565"/>
    <x v="3"/>
    <x v="3"/>
    <x v="3"/>
    <s v="OS"/>
    <s v="M"/>
    <s v="Brown"/>
    <n v="186.07"/>
    <n v="0"/>
    <n v="0"/>
    <n v="0"/>
    <s v="No Discount"/>
    <n v="186.07"/>
    <s v="No Loss"/>
    <d v="2025-08-06T00:00:00"/>
    <n v="41"/>
    <s v="IN STOCK"/>
    <n v="2.6"/>
    <n v="2.6"/>
    <b v="0"/>
    <x v="0"/>
    <m/>
  </r>
  <r>
    <s v="FB000566"/>
    <x v="3"/>
    <x v="3"/>
    <x v="3"/>
    <s v="S"/>
    <s v="XL"/>
    <s v="Brown"/>
    <n v="109.46"/>
    <n v="0"/>
    <n v="0"/>
    <n v="0"/>
    <s v="No Discount"/>
    <n v="109.46"/>
    <s v="No Loss"/>
    <d v="2025-08-06T00:00:00"/>
    <n v="38"/>
    <s v="IN STOCK"/>
    <n v="4.0999999999999996"/>
    <n v="4.0999999999999996"/>
    <b v="0"/>
    <x v="0"/>
    <m/>
  </r>
  <r>
    <s v="FB000567"/>
    <x v="5"/>
    <x v="6"/>
    <x v="1"/>
    <s v="OS"/>
    <s v="S"/>
    <s v="Gray"/>
    <n v="116.18"/>
    <n v="0.42700000000000005"/>
    <n v="42.7"/>
    <n v="49.608860000000007"/>
    <s v="high Discount"/>
    <n v="66.569999999999993"/>
    <s v="High Loss"/>
    <d v="2025-08-06T00:00:00"/>
    <n v="3"/>
    <s v="LOW STOCK"/>
    <n v="3.5"/>
    <n v="3.5"/>
    <b v="0"/>
    <x v="0"/>
    <m/>
  </r>
  <r>
    <s v="FB000568"/>
    <x v="2"/>
    <x v="0"/>
    <x v="1"/>
    <s v="M"/>
    <m/>
    <s v="Green"/>
    <n v="41.29"/>
    <n v="0.26300000000000001"/>
    <n v="26.3"/>
    <n v="10.85927"/>
    <s v="Medium Discount"/>
    <n v="30.43"/>
    <s v="Medium Loss"/>
    <d v="2025-08-06T00:00:00"/>
    <n v="5"/>
    <s v="LOW STOCK"/>
    <n v="4.7"/>
    <n v="4.7"/>
    <b v="0"/>
    <x v="0"/>
    <m/>
  </r>
  <r>
    <s v="FB000569"/>
    <x v="1"/>
    <x v="1"/>
    <x v="1"/>
    <s v="XS"/>
    <s v="S"/>
    <s v="Green"/>
    <n v="94.68"/>
    <n v="0.45"/>
    <n v="45"/>
    <n v="42.606000000000002"/>
    <s v="high Discount"/>
    <n v="52.07"/>
    <s v="High Loss"/>
    <d v="2025-08-06T00:00:00"/>
    <n v="47"/>
    <s v="IN STOCK"/>
    <n v="2.6"/>
    <n v="2.6"/>
    <b v="0"/>
    <x v="0"/>
    <m/>
  </r>
  <r>
    <s v="FB000570"/>
    <x v="2"/>
    <x v="0"/>
    <x v="0"/>
    <s v="XL"/>
    <m/>
    <s v="White"/>
    <n v="48.55"/>
    <n v="0.32700000000000001"/>
    <n v="32.700000000000003"/>
    <n v="15.87585"/>
    <s v="high Discount"/>
    <n v="32.67"/>
    <s v="Medium Loss"/>
    <d v="2024-10-01T00:00:00"/>
    <n v="39"/>
    <s v="IN STOCK"/>
    <n v="2.8"/>
    <n v="2.8"/>
    <b v="0"/>
    <x v="0"/>
    <m/>
  </r>
  <r>
    <s v="FB000571"/>
    <x v="1"/>
    <x v="6"/>
    <x v="3"/>
    <s v="S"/>
    <s v="M"/>
    <s v="Purple"/>
    <n v="75.22"/>
    <n v="0"/>
    <n v="0"/>
    <n v="0"/>
    <s v="No Discount"/>
    <n v="75.22"/>
    <s v="No Loss"/>
    <d v="2025-08-06T00:00:00"/>
    <n v="22"/>
    <s v="IN STOCK"/>
    <n v="2.1"/>
    <n v="2.1"/>
    <b v="1"/>
    <x v="2"/>
    <s v="Size Issue"/>
  </r>
  <r>
    <s v="FB000572"/>
    <x v="3"/>
    <x v="4"/>
    <x v="3"/>
    <s v="OS"/>
    <s v="XS"/>
    <s v="White"/>
    <n v="98.95"/>
    <n v="0.30299999999999999"/>
    <n v="30.3"/>
    <n v="29.981850000000001"/>
    <s v="high Discount"/>
    <n v="68.97"/>
    <s v="High Loss"/>
    <d v="2025-08-06T00:00:00"/>
    <n v="16"/>
    <s v="IN STOCK"/>
    <n v="0"/>
    <m/>
    <b v="0"/>
    <x v="0"/>
    <m/>
  </r>
  <r>
    <s v="FB000573"/>
    <x v="1"/>
    <x v="4"/>
    <x v="0"/>
    <s v="M"/>
    <s v="XL"/>
    <s v="Brown"/>
    <n v="39.56"/>
    <n v="0"/>
    <n v="0"/>
    <n v="0"/>
    <s v="No Discount"/>
    <n v="39.56"/>
    <s v="No Loss"/>
    <d v="2025-01-21T00:00:00"/>
    <n v="15"/>
    <s v="IN STOCK"/>
    <n v="0"/>
    <m/>
    <b v="0"/>
    <x v="0"/>
    <m/>
  </r>
  <r>
    <s v="FB000574"/>
    <x v="0"/>
    <x v="1"/>
    <x v="1"/>
    <s v="XXL"/>
    <s v="S"/>
    <s v="White"/>
    <n v="153.88"/>
    <n v="0"/>
    <n v="0"/>
    <n v="0"/>
    <s v="No Discount"/>
    <n v="153.88"/>
    <s v="No Loss"/>
    <d v="2025-08-06T00:00:00"/>
    <n v="42"/>
    <s v="IN STOCK"/>
    <n v="2.2000000000000002"/>
    <n v="2.2000000000000002"/>
    <b v="0"/>
    <x v="0"/>
    <m/>
  </r>
  <r>
    <s v="FB000575"/>
    <x v="2"/>
    <x v="5"/>
    <x v="3"/>
    <s v="OS"/>
    <m/>
    <s v="Beige"/>
    <n v="68.87"/>
    <n v="0"/>
    <n v="0"/>
    <n v="0"/>
    <s v="No Discount"/>
    <n v="68.87"/>
    <s v="No Loss"/>
    <d v="2025-08-06T00:00:00"/>
    <n v="9"/>
    <s v="LOW STOCK"/>
    <n v="1.1000000000000001"/>
    <n v="1.1000000000000001"/>
    <b v="0"/>
    <x v="0"/>
    <m/>
  </r>
  <r>
    <s v="FB000576"/>
    <x v="4"/>
    <x v="5"/>
    <x v="2"/>
    <s v="M"/>
    <s v="M"/>
    <s v="Pink"/>
    <n v="25.56"/>
    <n v="0.38900000000000001"/>
    <n v="38.9"/>
    <n v="9.9428400000000003"/>
    <s v="high Discount"/>
    <n v="15.62"/>
    <s v="Low Loss"/>
    <d v="2025-08-06T00:00:00"/>
    <n v="48"/>
    <s v="IN STOCK"/>
    <n v="0"/>
    <m/>
    <b v="0"/>
    <x v="0"/>
    <m/>
  </r>
  <r>
    <s v="FB000577"/>
    <x v="0"/>
    <x v="4"/>
    <x v="2"/>
    <s v="M"/>
    <s v="XXL"/>
    <s v="White"/>
    <n v="246.49"/>
    <n v="0"/>
    <n v="0"/>
    <n v="0"/>
    <s v="No Discount"/>
    <n v="246.49"/>
    <s v="No Loss"/>
    <d v="2025-08-06T00:00:00"/>
    <n v="20"/>
    <s v="IN STOCK"/>
    <n v="4.8"/>
    <n v="4.8"/>
    <b v="0"/>
    <x v="0"/>
    <m/>
  </r>
  <r>
    <s v="FB000578"/>
    <x v="2"/>
    <x v="4"/>
    <x v="2"/>
    <s v="M"/>
    <m/>
    <s v="Green"/>
    <n v="52.41"/>
    <n v="0"/>
    <n v="0"/>
    <n v="0"/>
    <s v="No Discount"/>
    <n v="52.41"/>
    <s v="No Loss"/>
    <d v="2025-08-06T00:00:00"/>
    <n v="14"/>
    <s v="IN STOCK"/>
    <n v="0"/>
    <m/>
    <b v="0"/>
    <x v="0"/>
    <m/>
  </r>
  <r>
    <s v="FB000579"/>
    <x v="1"/>
    <x v="0"/>
    <x v="3"/>
    <s v="M"/>
    <s v="M"/>
    <s v="Navy"/>
    <n v="33.770000000000003"/>
    <n v="0"/>
    <n v="0"/>
    <n v="0"/>
    <s v="No Discount"/>
    <n v="33.770000000000003"/>
    <s v="No Loss"/>
    <d v="2025-08-06T00:00:00"/>
    <n v="12"/>
    <s v="IN STOCK"/>
    <n v="3.8"/>
    <n v="3.8"/>
    <b v="0"/>
    <x v="0"/>
    <m/>
  </r>
  <r>
    <s v="FB000580"/>
    <x v="3"/>
    <x v="4"/>
    <x v="3"/>
    <s v="XL"/>
    <s v="M"/>
    <s v="Pink"/>
    <n v="96.7"/>
    <n v="0"/>
    <n v="0"/>
    <n v="0"/>
    <s v="No Discount"/>
    <n v="96.7"/>
    <s v="No Loss"/>
    <d v="2025-08-06T00:00:00"/>
    <n v="28"/>
    <s v="IN STOCK"/>
    <n v="3"/>
    <n v="3"/>
    <b v="0"/>
    <x v="0"/>
    <m/>
  </r>
  <r>
    <s v="FB000581"/>
    <x v="5"/>
    <x v="4"/>
    <x v="0"/>
    <s v="L"/>
    <s v="M"/>
    <s v="Red"/>
    <n v="95.81"/>
    <n v="0"/>
    <n v="0"/>
    <n v="0"/>
    <s v="No Discount"/>
    <n v="95.81"/>
    <s v="No Loss"/>
    <d v="2025-05-09T00:00:00"/>
    <n v="47"/>
    <s v="IN STOCK"/>
    <n v="4.9000000000000004"/>
    <n v="4.9000000000000004"/>
    <b v="0"/>
    <x v="0"/>
    <m/>
  </r>
  <r>
    <s v="FB000582"/>
    <x v="1"/>
    <x v="6"/>
    <x v="2"/>
    <s v="L"/>
    <s v="M"/>
    <s v="Brown"/>
    <n v="41.58"/>
    <n v="0"/>
    <n v="0"/>
    <n v="0"/>
    <s v="No Discount"/>
    <n v="41.58"/>
    <s v="No Loss"/>
    <d v="2025-08-06T00:00:00"/>
    <n v="3"/>
    <s v="LOW STOCK"/>
    <n v="1.6"/>
    <n v="1.6"/>
    <b v="0"/>
    <x v="0"/>
    <m/>
  </r>
  <r>
    <s v="FB000583"/>
    <x v="1"/>
    <x v="1"/>
    <x v="3"/>
    <s v="XXL"/>
    <s v="XL"/>
    <s v="Gray"/>
    <n v="46.67"/>
    <n v="6.6000000000000003E-2"/>
    <n v="6.6"/>
    <n v="3.0802200000000002"/>
    <s v="Low Discount"/>
    <n v="43.59"/>
    <s v="Low Loss"/>
    <d v="2025-08-06T00:00:00"/>
    <n v="35"/>
    <s v="IN STOCK"/>
    <n v="1.3"/>
    <n v="1.3"/>
    <b v="1"/>
    <x v="4"/>
    <s v="Quality Issue"/>
  </r>
  <r>
    <s v="FB000584"/>
    <x v="4"/>
    <x v="0"/>
    <x v="1"/>
    <s v="OS"/>
    <s v="L"/>
    <s v="Beige"/>
    <n v="25.98"/>
    <n v="0.59399999999999997"/>
    <n v="59.4"/>
    <n v="15.432119999999999"/>
    <s v="high Discount"/>
    <n v="10.55"/>
    <s v="Medium Loss"/>
    <d v="2025-08-06T00:00:00"/>
    <n v="40"/>
    <s v="IN STOCK"/>
    <n v="0"/>
    <m/>
    <b v="0"/>
    <x v="0"/>
    <m/>
  </r>
  <r>
    <s v="FB000585"/>
    <x v="0"/>
    <x v="1"/>
    <x v="3"/>
    <s v="M"/>
    <s v="L"/>
    <s v="Beige"/>
    <n v="204.82"/>
    <n v="0.14000000000000001"/>
    <n v="14"/>
    <n v="28.674800000000001"/>
    <s v="Low Discount"/>
    <n v="176.15"/>
    <s v="High Loss"/>
    <d v="2025-08-06T00:00:00"/>
    <n v="27"/>
    <s v="IN STOCK"/>
    <n v="3.8"/>
    <n v="3.8"/>
    <b v="0"/>
    <x v="0"/>
    <m/>
  </r>
  <r>
    <s v="FB000586"/>
    <x v="1"/>
    <x v="0"/>
    <x v="1"/>
    <s v="OS"/>
    <s v="XXL"/>
    <s v="Pink"/>
    <n v="43.43"/>
    <n v="0.47100000000000003"/>
    <n v="47.1"/>
    <n v="20.45553"/>
    <s v="high Discount"/>
    <n v="22.97"/>
    <s v="High Loss"/>
    <d v="2025-08-06T00:00:00"/>
    <n v="44"/>
    <s v="IN STOCK"/>
    <n v="4.7"/>
    <n v="4.7"/>
    <b v="0"/>
    <x v="0"/>
    <m/>
  </r>
  <r>
    <s v="FB000587"/>
    <x v="2"/>
    <x v="4"/>
    <x v="3"/>
    <s v="S"/>
    <m/>
    <s v="Blue"/>
    <n v="40.5"/>
    <n v="0.40500000000000003"/>
    <n v="40.5"/>
    <n v="16.4025"/>
    <s v="high Discount"/>
    <n v="24.1"/>
    <s v="Medium Loss"/>
    <d v="2025-08-06T00:00:00"/>
    <n v="25"/>
    <s v="IN STOCK"/>
    <n v="2.9"/>
    <n v="2.9"/>
    <b v="0"/>
    <x v="0"/>
    <m/>
  </r>
  <r>
    <s v="FB000588"/>
    <x v="4"/>
    <x v="7"/>
    <x v="1"/>
    <s v="XS"/>
    <s v="M"/>
    <s v="Red"/>
    <n v="73.59"/>
    <n v="0.16600000000000001"/>
    <n v="16.600000000000001"/>
    <n v="12.215940000000002"/>
    <s v="Low Discount"/>
    <n v="61.37"/>
    <s v="Medium Loss"/>
    <d v="2025-08-06T00:00:00"/>
    <n v="34"/>
    <s v="IN STOCK"/>
    <n v="4"/>
    <n v="4"/>
    <b v="0"/>
    <x v="0"/>
    <m/>
  </r>
  <r>
    <s v="FB000589"/>
    <x v="2"/>
    <x v="5"/>
    <x v="3"/>
    <s v="OS"/>
    <m/>
    <s v="Navy"/>
    <n v="17.670000000000002"/>
    <n v="0"/>
    <n v="0"/>
    <n v="0"/>
    <s v="No Discount"/>
    <n v="17.670000000000002"/>
    <s v="No Loss"/>
    <d v="2025-08-06T00:00:00"/>
    <n v="29"/>
    <s v="IN STOCK"/>
    <n v="4.3"/>
    <n v="4.3"/>
    <b v="0"/>
    <x v="0"/>
    <m/>
  </r>
  <r>
    <s v="FB000590"/>
    <x v="5"/>
    <x v="6"/>
    <x v="1"/>
    <s v="XXL"/>
    <s v="S"/>
    <s v="Green"/>
    <n v="70.010000000000005"/>
    <n v="0.28000000000000003"/>
    <n v="28"/>
    <n v="19.602800000000002"/>
    <s v="Medium Discount"/>
    <n v="50.41"/>
    <s v="Medium Loss"/>
    <d v="2025-08-06T00:00:00"/>
    <n v="23"/>
    <s v="IN STOCK"/>
    <n v="0"/>
    <m/>
    <b v="0"/>
    <x v="0"/>
    <m/>
  </r>
  <r>
    <s v="FB000591"/>
    <x v="3"/>
    <x v="3"/>
    <x v="2"/>
    <s v="XXL"/>
    <s v="XS"/>
    <s v="Red"/>
    <n v="79.319999999999993"/>
    <n v="0.33700000000000002"/>
    <n v="33.700000000000003"/>
    <n v="26.730840000000001"/>
    <s v="high Discount"/>
    <n v="52.59"/>
    <s v="High Loss"/>
    <d v="2025-08-06T00:00:00"/>
    <n v="38"/>
    <s v="IN STOCK"/>
    <n v="3"/>
    <n v="3"/>
    <b v="1"/>
    <x v="2"/>
    <s v="Size Issue"/>
  </r>
  <r>
    <s v="FB000592"/>
    <x v="2"/>
    <x v="0"/>
    <x v="3"/>
    <s v="M"/>
    <m/>
    <s v="Beige"/>
    <n v="45.24"/>
    <n v="0"/>
    <n v="0"/>
    <n v="0"/>
    <s v="No Discount"/>
    <n v="45.24"/>
    <s v="No Loss"/>
    <d v="2025-08-06T00:00:00"/>
    <n v="20"/>
    <s v="IN STOCK"/>
    <n v="3"/>
    <n v="3"/>
    <b v="1"/>
    <x v="4"/>
    <s v="Quality Issue"/>
  </r>
  <r>
    <s v="FB000593"/>
    <x v="1"/>
    <x v="4"/>
    <x v="3"/>
    <s v="OS"/>
    <s v="XXL"/>
    <s v="Red"/>
    <n v="63.51"/>
    <n v="0.13600000000000001"/>
    <n v="13.6"/>
    <n v="8.637360000000001"/>
    <s v="Low Discount"/>
    <n v="54.87"/>
    <s v="Low Loss"/>
    <d v="2025-08-06T00:00:00"/>
    <n v="19"/>
    <s v="IN STOCK"/>
    <n v="0"/>
    <m/>
    <b v="0"/>
    <x v="0"/>
    <m/>
  </r>
  <r>
    <s v="FB000594"/>
    <x v="4"/>
    <x v="5"/>
    <x v="1"/>
    <s v="XL"/>
    <s v="XXL"/>
    <s v="White"/>
    <n v="55.23"/>
    <n v="0.33600000000000002"/>
    <n v="33.6"/>
    <n v="18.557279999999999"/>
    <s v="high Discount"/>
    <n v="36.67"/>
    <s v="Medium Loss"/>
    <d v="2025-08-06T00:00:00"/>
    <n v="9"/>
    <s v="LOW STOCK"/>
    <n v="0"/>
    <m/>
    <b v="0"/>
    <x v="0"/>
    <m/>
  </r>
  <r>
    <s v="FB000595"/>
    <x v="5"/>
    <x v="2"/>
    <x v="2"/>
    <s v="M"/>
    <s v="M"/>
    <s v="Navy"/>
    <n v="137.59"/>
    <n v="0"/>
    <n v="0"/>
    <n v="0"/>
    <s v="No Discount"/>
    <n v="137.59"/>
    <s v="No Loss"/>
    <d v="2025-08-06T00:00:00"/>
    <n v="18"/>
    <s v="IN STOCK"/>
    <n v="0"/>
    <m/>
    <b v="0"/>
    <x v="0"/>
    <m/>
  </r>
  <r>
    <s v="FB000596"/>
    <x v="3"/>
    <x v="4"/>
    <x v="2"/>
    <s v="L"/>
    <m/>
    <s v="White"/>
    <n v="65.8"/>
    <n v="0"/>
    <n v="0"/>
    <n v="0"/>
    <s v="No Discount"/>
    <n v="65.8"/>
    <s v="No Loss"/>
    <d v="2025-08-06T00:00:00"/>
    <n v="46"/>
    <s v="IN STOCK"/>
    <n v="3.2"/>
    <n v="3.2"/>
    <b v="0"/>
    <x v="0"/>
    <m/>
  </r>
  <r>
    <s v="FB000597"/>
    <x v="3"/>
    <x v="1"/>
    <x v="1"/>
    <s v="L"/>
    <s v="XL"/>
    <s v="Blue"/>
    <n v="88.42"/>
    <n v="0"/>
    <n v="0"/>
    <n v="0"/>
    <s v="No Discount"/>
    <n v="88.42"/>
    <s v="No Loss"/>
    <d v="2025-08-06T00:00:00"/>
    <n v="44"/>
    <s v="IN STOCK"/>
    <n v="3.4"/>
    <n v="3.4"/>
    <b v="1"/>
    <x v="3"/>
    <s v="Damaged"/>
  </r>
  <r>
    <s v="FB000598"/>
    <x v="5"/>
    <x v="3"/>
    <x v="2"/>
    <s v="M"/>
    <s v="M"/>
    <s v="Red"/>
    <n v="75.540000000000006"/>
    <n v="0"/>
    <n v="0"/>
    <n v="0"/>
    <s v="No Discount"/>
    <n v="75.540000000000006"/>
    <s v="No Loss"/>
    <d v="2025-08-06T00:00:00"/>
    <n v="6"/>
    <s v="LOW STOCK"/>
    <n v="4.5999999999999996"/>
    <n v="4.5999999999999996"/>
    <b v="0"/>
    <x v="0"/>
    <m/>
  </r>
  <r>
    <s v="FB000599"/>
    <x v="3"/>
    <x v="4"/>
    <x v="0"/>
    <s v="OS"/>
    <s v="L"/>
    <s v="White"/>
    <n v="185.13"/>
    <n v="0"/>
    <n v="0"/>
    <n v="0"/>
    <s v="No Discount"/>
    <n v="185.13"/>
    <s v="No Loss"/>
    <d v="2025-05-09T00:00:00"/>
    <n v="49"/>
    <s v="IN STOCK"/>
    <n v="4.9000000000000004"/>
    <n v="4.9000000000000004"/>
    <b v="0"/>
    <x v="0"/>
    <m/>
  </r>
  <r>
    <s v="FB000600"/>
    <x v="0"/>
    <x v="3"/>
    <x v="2"/>
    <s v="L"/>
    <s v="L"/>
    <s v="Black"/>
    <n v="132.58000000000001"/>
    <n v="0"/>
    <n v="0"/>
    <n v="0"/>
    <s v="No Discount"/>
    <n v="132.58000000000001"/>
    <s v="No Loss"/>
    <d v="2025-08-06T00:00:00"/>
    <n v="45"/>
    <s v="IN STOCK"/>
    <n v="1.6"/>
    <n v="1.6"/>
    <b v="0"/>
    <x v="0"/>
    <m/>
  </r>
  <r>
    <s v="FB000601"/>
    <x v="4"/>
    <x v="0"/>
    <x v="2"/>
    <s v="XXL"/>
    <s v="M"/>
    <s v="White"/>
    <n v="93.38"/>
    <n v="0"/>
    <n v="0"/>
    <n v="0"/>
    <s v="No Discount"/>
    <n v="93.38"/>
    <s v="No Loss"/>
    <d v="2025-08-06T00:00:00"/>
    <n v="7"/>
    <s v="LOW STOCK"/>
    <n v="3.5"/>
    <n v="3.5"/>
    <b v="0"/>
    <x v="0"/>
    <m/>
  </r>
  <r>
    <s v="FB000602"/>
    <x v="2"/>
    <x v="5"/>
    <x v="2"/>
    <s v="OS"/>
    <m/>
    <s v="Black"/>
    <n v="47.28"/>
    <n v="0"/>
    <n v="0"/>
    <n v="0"/>
    <s v="No Discount"/>
    <n v="47.28"/>
    <s v="No Loss"/>
    <d v="2025-08-06T00:00:00"/>
    <n v="38"/>
    <s v="IN STOCK"/>
    <n v="4.2"/>
    <n v="4.2"/>
    <b v="0"/>
    <x v="0"/>
    <m/>
  </r>
  <r>
    <s v="FB000603"/>
    <x v="4"/>
    <x v="2"/>
    <x v="0"/>
    <s v="OS"/>
    <s v="L"/>
    <s v="Green"/>
    <n v="59.88"/>
    <n v="0"/>
    <n v="0"/>
    <n v="0"/>
    <s v="No Discount"/>
    <n v="59.88"/>
    <s v="No Loss"/>
    <d v="2024-10-12T00:00:00"/>
    <n v="33"/>
    <s v="IN STOCK"/>
    <n v="2.9"/>
    <n v="2.9"/>
    <b v="0"/>
    <x v="0"/>
    <m/>
  </r>
  <r>
    <s v="FB000604"/>
    <x v="5"/>
    <x v="4"/>
    <x v="1"/>
    <s v="OS"/>
    <s v="XXL"/>
    <s v="Black"/>
    <n v="140.07"/>
    <n v="0"/>
    <n v="0"/>
    <n v="0"/>
    <s v="No Discount"/>
    <n v="140.07"/>
    <s v="No Loss"/>
    <d v="2025-08-06T00:00:00"/>
    <n v="15"/>
    <s v="IN STOCK"/>
    <n v="2.7"/>
    <n v="2.7"/>
    <b v="0"/>
    <x v="0"/>
    <m/>
  </r>
  <r>
    <s v="FB000605"/>
    <x v="2"/>
    <x v="1"/>
    <x v="1"/>
    <s v="M"/>
    <m/>
    <s v="Black"/>
    <n v="66.599999999999994"/>
    <n v="0"/>
    <n v="0"/>
    <n v="0"/>
    <s v="No Discount"/>
    <n v="66.599999999999994"/>
    <s v="No Loss"/>
    <d v="2025-08-06T00:00:00"/>
    <n v="47"/>
    <s v="IN STOCK"/>
    <n v="4"/>
    <n v="4"/>
    <b v="0"/>
    <x v="0"/>
    <m/>
  </r>
  <r>
    <s v="FB000606"/>
    <x v="2"/>
    <x v="6"/>
    <x v="3"/>
    <s v="OS"/>
    <m/>
    <s v="Purple"/>
    <n v="39.82"/>
    <n v="0.35399999999999998"/>
    <n v="35.4"/>
    <n v="14.09628"/>
    <s v="high Discount"/>
    <n v="25.72"/>
    <s v="Medium Loss"/>
    <d v="2025-08-06T00:00:00"/>
    <n v="9"/>
    <s v="LOW STOCK"/>
    <n v="4.5999999999999996"/>
    <n v="4.5999999999999996"/>
    <b v="0"/>
    <x v="0"/>
    <m/>
  </r>
  <r>
    <s v="FB000607"/>
    <x v="2"/>
    <x v="0"/>
    <x v="2"/>
    <s v="XL"/>
    <m/>
    <s v="Red"/>
    <n v="70.739999999999995"/>
    <n v="0"/>
    <n v="0"/>
    <n v="0"/>
    <s v="No Discount"/>
    <n v="70.739999999999995"/>
    <s v="No Loss"/>
    <d v="2025-08-06T00:00:00"/>
    <n v="49"/>
    <s v="IN STOCK"/>
    <n v="1.8"/>
    <n v="1.8"/>
    <b v="0"/>
    <x v="0"/>
    <m/>
  </r>
  <r>
    <s v="FB000608"/>
    <x v="5"/>
    <x v="0"/>
    <x v="0"/>
    <s v="XL"/>
    <s v="M"/>
    <s v="Red"/>
    <n v="95.33"/>
    <n v="0"/>
    <n v="0"/>
    <n v="0"/>
    <s v="No Discount"/>
    <n v="95.33"/>
    <s v="No Loss"/>
    <d v="2025-06-07T00:00:00"/>
    <n v="36"/>
    <s v="IN STOCK"/>
    <n v="0"/>
    <m/>
    <b v="1"/>
    <x v="4"/>
    <s v="Quality Issue"/>
  </r>
  <r>
    <s v="FB000609"/>
    <x v="2"/>
    <x v="7"/>
    <x v="0"/>
    <s v="XXL"/>
    <m/>
    <s v="Red"/>
    <n v="32.619999999999997"/>
    <n v="0.29100000000000004"/>
    <n v="29.1"/>
    <n v="9.492420000000001"/>
    <s v="Medium Discount"/>
    <n v="23.13"/>
    <s v="Low Loss"/>
    <d v="2025-07-27T00:00:00"/>
    <n v="9"/>
    <s v="LOW STOCK"/>
    <n v="1.4"/>
    <n v="1.4"/>
    <b v="0"/>
    <x v="0"/>
    <m/>
  </r>
  <r>
    <s v="FB000610"/>
    <x v="4"/>
    <x v="3"/>
    <x v="3"/>
    <s v="OS"/>
    <s v="XL"/>
    <s v="Purple"/>
    <n v="41.07"/>
    <n v="0"/>
    <n v="0"/>
    <n v="0"/>
    <s v="No Discount"/>
    <n v="41.07"/>
    <s v="No Loss"/>
    <d v="2025-08-06T00:00:00"/>
    <n v="10"/>
    <s v="LOW STOCK"/>
    <n v="4.8"/>
    <n v="4.8"/>
    <b v="0"/>
    <x v="0"/>
    <m/>
  </r>
  <r>
    <s v="FB000611"/>
    <x v="4"/>
    <x v="0"/>
    <x v="1"/>
    <s v="OS"/>
    <s v="XL"/>
    <s v="Gray"/>
    <n v="43.1"/>
    <n v="0"/>
    <n v="0"/>
    <n v="0"/>
    <s v="No Discount"/>
    <n v="43.1"/>
    <s v="No Loss"/>
    <d v="2025-08-06T00:00:00"/>
    <n v="34"/>
    <s v="IN STOCK"/>
    <n v="4.9000000000000004"/>
    <n v="4.9000000000000004"/>
    <b v="0"/>
    <x v="0"/>
    <m/>
  </r>
  <r>
    <s v="FB000612"/>
    <x v="0"/>
    <x v="5"/>
    <x v="1"/>
    <s v="OS"/>
    <s v="XXL"/>
    <s v="Navy"/>
    <n v="102.03"/>
    <n v="0.27899999999999997"/>
    <n v="27.9"/>
    <n v="28.466369999999998"/>
    <s v="Medium Discount"/>
    <n v="73.56"/>
    <s v="High Loss"/>
    <d v="2025-08-06T00:00:00"/>
    <n v="21"/>
    <s v="IN STOCK"/>
    <n v="2.2000000000000002"/>
    <n v="2.2000000000000002"/>
    <b v="1"/>
    <x v="2"/>
    <s v="Size Issue"/>
  </r>
  <r>
    <s v="FB000613"/>
    <x v="2"/>
    <x v="3"/>
    <x v="1"/>
    <s v="M"/>
    <m/>
    <s v="Red"/>
    <n v="54.11"/>
    <n v="0"/>
    <n v="0"/>
    <n v="0"/>
    <s v="No Discount"/>
    <n v="54.11"/>
    <s v="No Loss"/>
    <d v="2025-08-06T00:00:00"/>
    <n v="15"/>
    <s v="IN STOCK"/>
    <n v="2.6"/>
    <n v="2.6"/>
    <b v="0"/>
    <x v="0"/>
    <m/>
  </r>
  <r>
    <s v="FB000614"/>
    <x v="2"/>
    <x v="3"/>
    <x v="1"/>
    <s v="OS"/>
    <m/>
    <s v="Purple"/>
    <n v="43.5"/>
    <n v="0"/>
    <n v="0"/>
    <n v="0"/>
    <s v="No Discount"/>
    <n v="43.5"/>
    <s v="No Loss"/>
    <d v="2025-08-06T00:00:00"/>
    <n v="35"/>
    <s v="IN STOCK"/>
    <n v="2.8"/>
    <n v="2.8"/>
    <b v="0"/>
    <x v="0"/>
    <m/>
  </r>
  <r>
    <s v="FB000615"/>
    <x v="2"/>
    <x v="2"/>
    <x v="1"/>
    <s v="XS"/>
    <m/>
    <s v="Pink"/>
    <n v="66"/>
    <n v="0"/>
    <n v="0"/>
    <n v="0"/>
    <s v="No Discount"/>
    <n v="66"/>
    <s v="No Loss"/>
    <d v="2025-08-06T00:00:00"/>
    <n v="19"/>
    <s v="IN STOCK"/>
    <n v="2.6"/>
    <n v="2.6"/>
    <b v="0"/>
    <x v="0"/>
    <m/>
  </r>
  <r>
    <s v="FB000616"/>
    <x v="4"/>
    <x v="2"/>
    <x v="3"/>
    <s v="XL"/>
    <s v="M"/>
    <s v="White"/>
    <n v="38.85"/>
    <n v="0"/>
    <n v="0"/>
    <n v="0"/>
    <s v="No Discount"/>
    <n v="38.85"/>
    <s v="No Loss"/>
    <d v="2025-08-06T00:00:00"/>
    <n v="10"/>
    <s v="LOW STOCK"/>
    <n v="3.8"/>
    <n v="3.8"/>
    <b v="0"/>
    <x v="0"/>
    <m/>
  </r>
  <r>
    <s v="FB000617"/>
    <x v="2"/>
    <x v="0"/>
    <x v="3"/>
    <s v="XXL"/>
    <m/>
    <s v="Beige"/>
    <n v="61.29"/>
    <n v="0"/>
    <n v="0"/>
    <n v="0"/>
    <s v="No Discount"/>
    <n v="61.29"/>
    <s v="No Loss"/>
    <d v="2025-08-06T00:00:00"/>
    <n v="15"/>
    <s v="IN STOCK"/>
    <n v="4"/>
    <n v="4"/>
    <b v="0"/>
    <x v="0"/>
    <m/>
  </r>
  <r>
    <s v="FB000618"/>
    <x v="4"/>
    <x v="4"/>
    <x v="0"/>
    <s v="XS"/>
    <s v="XS"/>
    <s v="Beige"/>
    <n v="90.66"/>
    <n v="0"/>
    <n v="0"/>
    <n v="0"/>
    <s v="No Discount"/>
    <n v="90.66"/>
    <s v="No Loss"/>
    <d v="2025-03-20T00:00:00"/>
    <n v="49"/>
    <s v="IN STOCK"/>
    <n v="2.4"/>
    <n v="2.4"/>
    <b v="1"/>
    <x v="1"/>
    <s v="Color Mismatch"/>
  </r>
  <r>
    <s v="FB000619"/>
    <x v="5"/>
    <x v="3"/>
    <x v="2"/>
    <s v="OS"/>
    <s v="XL"/>
    <s v="Green"/>
    <n v="119.96"/>
    <n v="0"/>
    <n v="0"/>
    <n v="0"/>
    <s v="No Discount"/>
    <n v="119.96"/>
    <s v="No Loss"/>
    <d v="2025-08-06T00:00:00"/>
    <n v="5"/>
    <s v="LOW STOCK"/>
    <n v="5"/>
    <n v="5"/>
    <b v="0"/>
    <x v="0"/>
    <m/>
  </r>
  <r>
    <s v="FB000620"/>
    <x v="3"/>
    <x v="7"/>
    <x v="2"/>
    <s v="OS"/>
    <s v="XXL"/>
    <s v="Red"/>
    <n v="130.21"/>
    <n v="0"/>
    <n v="0"/>
    <n v="0"/>
    <s v="No Discount"/>
    <n v="130.21"/>
    <s v="No Loss"/>
    <d v="2025-08-06T00:00:00"/>
    <n v="50"/>
    <s v="IN STOCK"/>
    <n v="4.7"/>
    <n v="4.7"/>
    <b v="0"/>
    <x v="0"/>
    <m/>
  </r>
  <r>
    <s v="FB000621"/>
    <x v="1"/>
    <x v="2"/>
    <x v="1"/>
    <s v="OS"/>
    <s v="XS"/>
    <s v="Red"/>
    <n v="49.68"/>
    <n v="0"/>
    <n v="0"/>
    <n v="0"/>
    <s v="No Discount"/>
    <n v="49.68"/>
    <s v="No Loss"/>
    <d v="2025-08-06T00:00:00"/>
    <n v="15"/>
    <s v="IN STOCK"/>
    <n v="2.8"/>
    <n v="2.8"/>
    <b v="0"/>
    <x v="0"/>
    <m/>
  </r>
  <r>
    <s v="FB000622"/>
    <x v="2"/>
    <x v="0"/>
    <x v="0"/>
    <s v="S"/>
    <m/>
    <s v="Purple"/>
    <n v="46.58"/>
    <n v="0"/>
    <n v="0"/>
    <n v="0"/>
    <s v="No Discount"/>
    <n v="46.58"/>
    <s v="No Loss"/>
    <d v="2024-09-25T00:00:00"/>
    <n v="42"/>
    <s v="IN STOCK"/>
    <n v="1.7"/>
    <n v="1.7"/>
    <b v="0"/>
    <x v="0"/>
    <m/>
  </r>
  <r>
    <s v="FB000623"/>
    <x v="2"/>
    <x v="3"/>
    <x v="3"/>
    <s v="M"/>
    <m/>
    <s v="Brown"/>
    <n v="69.88"/>
    <n v="0"/>
    <n v="0"/>
    <n v="0"/>
    <s v="No Discount"/>
    <n v="69.88"/>
    <s v="No Loss"/>
    <d v="2025-08-06T00:00:00"/>
    <n v="8"/>
    <s v="LOW STOCK"/>
    <n v="2.8"/>
    <n v="2.8"/>
    <b v="0"/>
    <x v="0"/>
    <m/>
  </r>
  <r>
    <s v="FB000624"/>
    <x v="2"/>
    <x v="7"/>
    <x v="2"/>
    <s v="S"/>
    <m/>
    <s v="Green"/>
    <n v="32.15"/>
    <n v="0"/>
    <n v="0"/>
    <n v="0"/>
    <s v="No Discount"/>
    <n v="32.15"/>
    <s v="No Loss"/>
    <d v="2025-08-06T00:00:00"/>
    <n v="17"/>
    <s v="IN STOCK"/>
    <n v="1.9"/>
    <n v="1.9"/>
    <b v="1"/>
    <x v="4"/>
    <s v="Quality Issue"/>
  </r>
  <r>
    <s v="FB000625"/>
    <x v="4"/>
    <x v="7"/>
    <x v="3"/>
    <s v="M"/>
    <s v="S"/>
    <s v="Black"/>
    <n v="36.340000000000003"/>
    <n v="0"/>
    <n v="0"/>
    <n v="0"/>
    <s v="No Discount"/>
    <n v="36.340000000000003"/>
    <s v="No Loss"/>
    <d v="2025-08-06T00:00:00"/>
    <n v="6"/>
    <s v="LOW STOCK"/>
    <n v="4.5"/>
    <n v="4.5"/>
    <b v="1"/>
    <x v="3"/>
    <s v="Damaged"/>
  </r>
  <r>
    <s v="FB000626"/>
    <x v="4"/>
    <x v="3"/>
    <x v="2"/>
    <s v="XL"/>
    <s v="M"/>
    <s v="Beige"/>
    <n v="93.01"/>
    <n v="0"/>
    <n v="0"/>
    <n v="0"/>
    <s v="No Discount"/>
    <n v="93.01"/>
    <s v="No Loss"/>
    <d v="2025-08-06T00:00:00"/>
    <n v="34"/>
    <s v="IN STOCK"/>
    <n v="1.4"/>
    <n v="1.4"/>
    <b v="0"/>
    <x v="0"/>
    <m/>
  </r>
  <r>
    <s v="FB000627"/>
    <x v="1"/>
    <x v="6"/>
    <x v="1"/>
    <s v="OS"/>
    <s v="S"/>
    <s v="Brown"/>
    <n v="75"/>
    <n v="0"/>
    <n v="0"/>
    <n v="0"/>
    <s v="No Discount"/>
    <n v="75"/>
    <s v="No Loss"/>
    <d v="2025-08-06T00:00:00"/>
    <n v="19"/>
    <s v="IN STOCK"/>
    <n v="1.6"/>
    <n v="1.6"/>
    <b v="0"/>
    <x v="0"/>
    <m/>
  </r>
  <r>
    <s v="FB000628"/>
    <x v="0"/>
    <x v="0"/>
    <x v="2"/>
    <s v="S"/>
    <s v="M"/>
    <s v="Blue"/>
    <n v="81.63"/>
    <n v="0.124"/>
    <n v="12.4"/>
    <n v="10.122119999999999"/>
    <s v="Low Discount"/>
    <n v="71.510000000000005"/>
    <s v="Medium Loss"/>
    <d v="2025-08-06T00:00:00"/>
    <n v="3"/>
    <s v="LOW STOCK"/>
    <n v="0"/>
    <m/>
    <b v="0"/>
    <x v="0"/>
    <m/>
  </r>
  <r>
    <s v="FB000629"/>
    <x v="4"/>
    <x v="1"/>
    <x v="0"/>
    <s v="XS"/>
    <s v="XL"/>
    <s v="Gray"/>
    <n v="109.81"/>
    <n v="0"/>
    <n v="0"/>
    <n v="0"/>
    <s v="No Discount"/>
    <n v="109.81"/>
    <s v="No Loss"/>
    <d v="2025-07-24T00:00:00"/>
    <n v="17"/>
    <s v="IN STOCK"/>
    <n v="1.9"/>
    <n v="1.9"/>
    <b v="0"/>
    <x v="0"/>
    <m/>
  </r>
  <r>
    <s v="FB000630"/>
    <x v="4"/>
    <x v="5"/>
    <x v="2"/>
    <s v="S"/>
    <m/>
    <s v="Black"/>
    <n v="47.7"/>
    <n v="0"/>
    <n v="0"/>
    <n v="0"/>
    <s v="No Discount"/>
    <n v="47.7"/>
    <s v="No Loss"/>
    <d v="2025-08-06T00:00:00"/>
    <n v="14"/>
    <s v="IN STOCK"/>
    <n v="2.2999999999999998"/>
    <n v="2.2999999999999998"/>
    <b v="0"/>
    <x v="0"/>
    <m/>
  </r>
  <r>
    <s v="FB000631"/>
    <x v="1"/>
    <x v="2"/>
    <x v="1"/>
    <s v="OS"/>
    <s v="S"/>
    <s v="Red"/>
    <n v="96.08"/>
    <n v="0"/>
    <n v="0"/>
    <n v="0"/>
    <s v="No Discount"/>
    <n v="96.08"/>
    <s v="No Loss"/>
    <d v="2025-08-06T00:00:00"/>
    <n v="7"/>
    <s v="LOW STOCK"/>
    <n v="2.5"/>
    <n v="2.5"/>
    <b v="0"/>
    <x v="0"/>
    <m/>
  </r>
  <r>
    <s v="FB000632"/>
    <x v="1"/>
    <x v="4"/>
    <x v="1"/>
    <s v="OS"/>
    <s v="XS"/>
    <s v="Brown"/>
    <n v="28"/>
    <n v="2.6000000000000002E-2"/>
    <n v="2.6"/>
    <n v="0.72800000000000009"/>
    <s v="Low Discount"/>
    <n v="27.27"/>
    <s v="Low Loss"/>
    <d v="2025-08-06T00:00:00"/>
    <n v="2"/>
    <s v="LOW STOCK"/>
    <n v="0"/>
    <m/>
    <b v="0"/>
    <x v="0"/>
    <m/>
  </r>
  <r>
    <s v="FB000633"/>
    <x v="4"/>
    <x v="0"/>
    <x v="1"/>
    <s v="XS"/>
    <s v="S"/>
    <s v="Brown"/>
    <n v="52.43"/>
    <n v="6.4000000000000001E-2"/>
    <n v="6.4"/>
    <n v="3.3555199999999998"/>
    <s v="Low Discount"/>
    <n v="49.07"/>
    <s v="Low Loss"/>
    <d v="2025-08-06T00:00:00"/>
    <n v="42"/>
    <s v="IN STOCK"/>
    <n v="2.6"/>
    <n v="2.6"/>
    <b v="0"/>
    <x v="0"/>
    <m/>
  </r>
  <r>
    <s v="FB000634"/>
    <x v="2"/>
    <x v="6"/>
    <x v="3"/>
    <s v="XL"/>
    <m/>
    <s v="Pink"/>
    <n v="67.95"/>
    <n v="0.183"/>
    <n v="18.3"/>
    <n v="12.434850000000001"/>
    <s v="Low Discount"/>
    <n v="55.52"/>
    <s v="Medium Loss"/>
    <d v="2025-08-06T00:00:00"/>
    <n v="37"/>
    <s v="IN STOCK"/>
    <n v="0"/>
    <m/>
    <b v="0"/>
    <x v="0"/>
    <m/>
  </r>
  <r>
    <s v="FB000635"/>
    <x v="5"/>
    <x v="5"/>
    <x v="2"/>
    <s v="L"/>
    <m/>
    <s v="Red"/>
    <n v="131.91999999999999"/>
    <n v="0"/>
    <n v="0"/>
    <n v="0"/>
    <s v="No Discount"/>
    <n v="131.91999999999999"/>
    <s v="No Loss"/>
    <d v="2025-08-06T00:00:00"/>
    <n v="10"/>
    <s v="LOW STOCK"/>
    <n v="2.5"/>
    <n v="2.5"/>
    <b v="0"/>
    <x v="0"/>
    <m/>
  </r>
  <r>
    <s v="FB000636"/>
    <x v="0"/>
    <x v="5"/>
    <x v="0"/>
    <s v="L"/>
    <s v="XS"/>
    <s v="White"/>
    <n v="205.77"/>
    <n v="0"/>
    <n v="0"/>
    <n v="0"/>
    <s v="No Discount"/>
    <n v="205.77"/>
    <s v="No Loss"/>
    <d v="2025-01-31T00:00:00"/>
    <n v="38"/>
    <s v="IN STOCK"/>
    <n v="1"/>
    <n v="1"/>
    <b v="0"/>
    <x v="0"/>
    <m/>
  </r>
  <r>
    <s v="FB000637"/>
    <x v="1"/>
    <x v="1"/>
    <x v="1"/>
    <s v="XS"/>
    <s v="XL"/>
    <s v="White"/>
    <n v="97.88"/>
    <n v="0.113"/>
    <n v="11.3"/>
    <n v="11.06044"/>
    <s v="Low Discount"/>
    <n v="86.82"/>
    <s v="Medium Loss"/>
    <d v="2025-08-06T00:00:00"/>
    <n v="27"/>
    <s v="IN STOCK"/>
    <n v="1.3"/>
    <n v="1.3"/>
    <b v="0"/>
    <x v="0"/>
    <m/>
  </r>
  <r>
    <s v="FB000638"/>
    <x v="3"/>
    <x v="0"/>
    <x v="3"/>
    <s v="L"/>
    <s v="L"/>
    <s v="Gray"/>
    <n v="109.55"/>
    <n v="0"/>
    <n v="0"/>
    <n v="0"/>
    <s v="No Discount"/>
    <n v="109.55"/>
    <s v="No Loss"/>
    <d v="2025-08-06T00:00:00"/>
    <n v="32"/>
    <s v="IN STOCK"/>
    <n v="1.4"/>
    <n v="1.4"/>
    <b v="0"/>
    <x v="0"/>
    <m/>
  </r>
  <r>
    <s v="FB000639"/>
    <x v="4"/>
    <x v="0"/>
    <x v="2"/>
    <s v="XS"/>
    <s v="L"/>
    <s v="Gray"/>
    <n v="52.94"/>
    <n v="0.106"/>
    <n v="10.6"/>
    <n v="5.6116399999999995"/>
    <s v="Low Discount"/>
    <n v="47.33"/>
    <s v="Low Loss"/>
    <d v="2025-08-06T00:00:00"/>
    <n v="50"/>
    <s v="IN STOCK"/>
    <n v="2.7"/>
    <n v="2.7"/>
    <b v="0"/>
    <x v="0"/>
    <m/>
  </r>
  <r>
    <s v="FB000640"/>
    <x v="4"/>
    <x v="2"/>
    <x v="1"/>
    <s v="S"/>
    <s v="XS"/>
    <s v="Pink"/>
    <n v="70.83"/>
    <n v="0.18"/>
    <n v="18"/>
    <n v="12.7494"/>
    <s v="Low Discount"/>
    <n v="58.08"/>
    <s v="Medium Loss"/>
    <d v="2025-08-06T00:00:00"/>
    <n v="21"/>
    <s v="IN STOCK"/>
    <n v="2.9"/>
    <n v="2.9"/>
    <b v="0"/>
    <x v="0"/>
    <m/>
  </r>
  <r>
    <s v="FB000641"/>
    <x v="5"/>
    <x v="3"/>
    <x v="2"/>
    <s v="S"/>
    <s v="L"/>
    <s v="Navy"/>
    <n v="53.17"/>
    <n v="0"/>
    <n v="0"/>
    <n v="0"/>
    <s v="No Discount"/>
    <n v="53.17"/>
    <s v="No Loss"/>
    <d v="2025-08-06T00:00:00"/>
    <n v="14"/>
    <s v="IN STOCK"/>
    <n v="4.5"/>
    <n v="4.5"/>
    <b v="1"/>
    <x v="5"/>
    <s v="Changed Mind"/>
  </r>
  <r>
    <s v="FB000642"/>
    <x v="4"/>
    <x v="2"/>
    <x v="3"/>
    <s v="XL"/>
    <s v="XS"/>
    <s v="Beige"/>
    <n v="119.56"/>
    <n v="0.46200000000000002"/>
    <n v="46.2"/>
    <n v="55.236720000000005"/>
    <s v="high Discount"/>
    <n v="64.319999999999993"/>
    <s v="High Loss"/>
    <d v="2025-08-06T00:00:00"/>
    <n v="14"/>
    <s v="IN STOCK"/>
    <n v="0"/>
    <m/>
    <b v="0"/>
    <x v="0"/>
    <m/>
  </r>
  <r>
    <s v="FB000643"/>
    <x v="5"/>
    <x v="3"/>
    <x v="1"/>
    <s v="M"/>
    <s v="S"/>
    <s v="Blue"/>
    <n v="144.43"/>
    <n v="0"/>
    <n v="0"/>
    <n v="0"/>
    <s v="No Discount"/>
    <n v="144.43"/>
    <s v="No Loss"/>
    <d v="2025-08-06T00:00:00"/>
    <n v="41"/>
    <s v="IN STOCK"/>
    <n v="3.6"/>
    <n v="3.6"/>
    <b v="0"/>
    <x v="0"/>
    <m/>
  </r>
  <r>
    <s v="FB000644"/>
    <x v="0"/>
    <x v="3"/>
    <x v="0"/>
    <s v="L"/>
    <s v="S"/>
    <s v="Purple"/>
    <n v="172.93"/>
    <n v="0"/>
    <n v="0"/>
    <n v="0"/>
    <s v="No Discount"/>
    <n v="172.93"/>
    <s v="No Loss"/>
    <d v="2025-04-12T00:00:00"/>
    <n v="43"/>
    <s v="IN STOCK"/>
    <n v="4.7"/>
    <n v="4.7"/>
    <b v="1"/>
    <x v="4"/>
    <s v="Quality Issue"/>
  </r>
  <r>
    <s v="FB000645"/>
    <x v="0"/>
    <x v="6"/>
    <x v="1"/>
    <s v="S"/>
    <s v="XL"/>
    <s v="Beige"/>
    <n v="191.95"/>
    <n v="0.40399999999999997"/>
    <n v="40.4"/>
    <n v="77.547799999999995"/>
    <s v="high Discount"/>
    <n v="114.4"/>
    <s v="High Loss"/>
    <d v="2025-08-06T00:00:00"/>
    <n v="21"/>
    <s v="IN STOCK"/>
    <n v="2.9"/>
    <n v="2.9"/>
    <b v="0"/>
    <x v="0"/>
    <m/>
  </r>
  <r>
    <s v="FB000646"/>
    <x v="5"/>
    <x v="4"/>
    <x v="1"/>
    <s v="XS"/>
    <s v="M"/>
    <s v="Black"/>
    <n v="128.56"/>
    <n v="0"/>
    <n v="0"/>
    <n v="0"/>
    <s v="No Discount"/>
    <n v="128.56"/>
    <s v="No Loss"/>
    <d v="2025-08-06T00:00:00"/>
    <n v="45"/>
    <s v="IN STOCK"/>
    <n v="2.4"/>
    <n v="2.4"/>
    <b v="0"/>
    <x v="0"/>
    <m/>
  </r>
  <r>
    <s v="FB000647"/>
    <x v="5"/>
    <x v="4"/>
    <x v="3"/>
    <s v="S"/>
    <s v="L"/>
    <s v="White"/>
    <n v="123.08"/>
    <n v="0.53"/>
    <n v="53"/>
    <n v="65.232399999999998"/>
    <s v="high Discount"/>
    <n v="57.85"/>
    <s v="High Loss"/>
    <d v="2025-08-06T00:00:00"/>
    <n v="38"/>
    <s v="IN STOCK"/>
    <n v="2.5"/>
    <n v="2.5"/>
    <b v="0"/>
    <x v="0"/>
    <m/>
  </r>
  <r>
    <s v="FB000648"/>
    <x v="0"/>
    <x v="5"/>
    <x v="0"/>
    <s v="S"/>
    <s v="S"/>
    <s v="Purple"/>
    <n v="119.78"/>
    <n v="0"/>
    <n v="0"/>
    <n v="0"/>
    <s v="No Discount"/>
    <n v="119.78"/>
    <s v="No Loss"/>
    <d v="2025-04-04T00:00:00"/>
    <n v="22"/>
    <s v="IN STOCK"/>
    <n v="1.5"/>
    <n v="1.5"/>
    <b v="1"/>
    <x v="1"/>
    <s v="Color Mismatch"/>
  </r>
  <r>
    <s v="FB000649"/>
    <x v="4"/>
    <x v="2"/>
    <x v="3"/>
    <s v="M"/>
    <s v="XS"/>
    <s v="White"/>
    <n v="110.6"/>
    <n v="0"/>
    <n v="0"/>
    <n v="0"/>
    <s v="No Discount"/>
    <n v="110.6"/>
    <s v="No Loss"/>
    <d v="2025-08-06T00:00:00"/>
    <n v="19"/>
    <s v="IN STOCK"/>
    <n v="0"/>
    <m/>
    <b v="1"/>
    <x v="1"/>
    <s v="Color Mismatch"/>
  </r>
  <r>
    <s v="FB000650"/>
    <x v="1"/>
    <x v="0"/>
    <x v="0"/>
    <s v="OS"/>
    <s v="S"/>
    <s v="Purple"/>
    <n v="58.16"/>
    <n v="0"/>
    <n v="0"/>
    <n v="0"/>
    <s v="No Discount"/>
    <n v="58.16"/>
    <s v="No Loss"/>
    <d v="2025-07-02T00:00:00"/>
    <n v="29"/>
    <s v="IN STOCK"/>
    <n v="4.0999999999999996"/>
    <n v="4.0999999999999996"/>
    <b v="0"/>
    <x v="0"/>
    <m/>
  </r>
  <r>
    <s v="FB000651"/>
    <x v="0"/>
    <x v="3"/>
    <x v="2"/>
    <s v="XS"/>
    <s v="S"/>
    <s v="Green"/>
    <n v="208.82"/>
    <n v="0"/>
    <n v="0"/>
    <n v="0"/>
    <s v="No Discount"/>
    <n v="208.82"/>
    <s v="No Loss"/>
    <d v="2025-08-06T00:00:00"/>
    <n v="45"/>
    <s v="IN STOCK"/>
    <n v="1.8"/>
    <n v="1.8"/>
    <b v="0"/>
    <x v="0"/>
    <m/>
  </r>
  <r>
    <s v="FB000652"/>
    <x v="3"/>
    <x v="5"/>
    <x v="1"/>
    <s v="XXL"/>
    <s v="M"/>
    <s v="Black"/>
    <n v="192.74"/>
    <n v="0"/>
    <n v="0"/>
    <n v="0"/>
    <s v="No Discount"/>
    <n v="192.74"/>
    <s v="No Loss"/>
    <d v="2025-08-06T00:00:00"/>
    <n v="43"/>
    <s v="IN STOCK"/>
    <n v="4.3"/>
    <n v="4.3"/>
    <b v="0"/>
    <x v="0"/>
    <m/>
  </r>
  <r>
    <s v="FB000653"/>
    <x v="2"/>
    <x v="6"/>
    <x v="2"/>
    <s v="OS"/>
    <m/>
    <s v="Red"/>
    <n v="71.819999999999993"/>
    <n v="0.184"/>
    <n v="18.399999999999999"/>
    <n v="13.214879999999999"/>
    <s v="Low Discount"/>
    <n v="58.61"/>
    <s v="Medium Loss"/>
    <d v="2025-08-06T00:00:00"/>
    <n v="50"/>
    <s v="IN STOCK"/>
    <n v="1.9"/>
    <n v="1.9"/>
    <b v="0"/>
    <x v="0"/>
    <m/>
  </r>
  <r>
    <s v="FB000654"/>
    <x v="3"/>
    <x v="0"/>
    <x v="3"/>
    <s v="L"/>
    <s v="XS"/>
    <s v="Red"/>
    <n v="145.4"/>
    <n v="0"/>
    <n v="0"/>
    <n v="0"/>
    <s v="No Discount"/>
    <n v="145.4"/>
    <s v="No Loss"/>
    <d v="2025-08-06T00:00:00"/>
    <n v="14"/>
    <s v="IN STOCK"/>
    <n v="2"/>
    <n v="2"/>
    <b v="0"/>
    <x v="0"/>
    <m/>
  </r>
  <r>
    <s v="FB000655"/>
    <x v="4"/>
    <x v="3"/>
    <x v="3"/>
    <s v="S"/>
    <s v="XXL"/>
    <s v="Brown"/>
    <n v="51.94"/>
    <n v="0"/>
    <n v="0"/>
    <n v="0"/>
    <s v="No Discount"/>
    <n v="51.94"/>
    <s v="No Loss"/>
    <d v="2025-08-06T00:00:00"/>
    <n v="9"/>
    <s v="LOW STOCK"/>
    <n v="3.2"/>
    <n v="3.2"/>
    <b v="0"/>
    <x v="0"/>
    <m/>
  </r>
  <r>
    <s v="FB000656"/>
    <x v="2"/>
    <x v="5"/>
    <x v="0"/>
    <s v="OS"/>
    <m/>
    <s v="Black"/>
    <n v="77.48"/>
    <n v="0"/>
    <n v="0"/>
    <n v="0"/>
    <s v="No Discount"/>
    <n v="77.48"/>
    <s v="No Loss"/>
    <d v="2024-10-07T00:00:00"/>
    <n v="49"/>
    <s v="IN STOCK"/>
    <n v="3.3"/>
    <n v="3.3"/>
    <b v="1"/>
    <x v="4"/>
    <s v="Quality Issue"/>
  </r>
  <r>
    <s v="FB000657"/>
    <x v="5"/>
    <x v="3"/>
    <x v="3"/>
    <s v="M"/>
    <s v="L"/>
    <s v="Black"/>
    <n v="59.66"/>
    <n v="0.45200000000000001"/>
    <n v="45.2"/>
    <n v="26.96632"/>
    <s v="high Discount"/>
    <n v="32.69"/>
    <s v="High Loss"/>
    <d v="2025-08-06T00:00:00"/>
    <n v="14"/>
    <s v="IN STOCK"/>
    <n v="2.6"/>
    <n v="2.6"/>
    <b v="0"/>
    <x v="0"/>
    <m/>
  </r>
  <r>
    <s v="FB000658"/>
    <x v="4"/>
    <x v="1"/>
    <x v="3"/>
    <s v="OS"/>
    <s v="S"/>
    <s v="Red"/>
    <n v="102.07"/>
    <n v="0"/>
    <n v="0"/>
    <n v="0"/>
    <s v="No Discount"/>
    <n v="102.07"/>
    <s v="No Loss"/>
    <d v="2025-08-06T00:00:00"/>
    <n v="26"/>
    <s v="IN STOCK"/>
    <n v="0"/>
    <m/>
    <b v="1"/>
    <x v="1"/>
    <s v="Color Mismatch"/>
  </r>
  <r>
    <s v="FB000659"/>
    <x v="2"/>
    <x v="2"/>
    <x v="0"/>
    <s v="XS"/>
    <m/>
    <s v="Gray"/>
    <n v="48.57"/>
    <n v="0"/>
    <n v="0"/>
    <n v="0"/>
    <s v="No Discount"/>
    <n v="48.57"/>
    <s v="No Loss"/>
    <d v="2024-12-06T00:00:00"/>
    <n v="12"/>
    <s v="IN STOCK"/>
    <n v="4.7"/>
    <n v="4.7"/>
    <b v="0"/>
    <x v="0"/>
    <m/>
  </r>
  <r>
    <s v="FB000660"/>
    <x v="3"/>
    <x v="6"/>
    <x v="3"/>
    <s v="OS"/>
    <s v="M"/>
    <s v="Navy"/>
    <n v="121.55"/>
    <n v="0"/>
    <n v="0"/>
    <n v="0"/>
    <s v="No Discount"/>
    <n v="121.55"/>
    <s v="No Loss"/>
    <d v="2025-08-06T00:00:00"/>
    <n v="16"/>
    <s v="IN STOCK"/>
    <n v="0"/>
    <m/>
    <b v="1"/>
    <x v="3"/>
    <s v="Damaged"/>
  </r>
  <r>
    <s v="FB000661"/>
    <x v="2"/>
    <x v="5"/>
    <x v="1"/>
    <s v="XXL"/>
    <m/>
    <s v="Navy"/>
    <n v="59.22"/>
    <n v="0.44799999999999995"/>
    <n v="44.8"/>
    <n v="26.530559999999998"/>
    <s v="high Discount"/>
    <n v="32.69"/>
    <s v="High Loss"/>
    <d v="2025-08-06T00:00:00"/>
    <n v="21"/>
    <s v="IN STOCK"/>
    <n v="2"/>
    <n v="2"/>
    <b v="0"/>
    <x v="0"/>
    <m/>
  </r>
  <r>
    <s v="FB000662"/>
    <x v="1"/>
    <x v="5"/>
    <x v="0"/>
    <s v="XS"/>
    <s v="XS"/>
    <s v="Beige"/>
    <n v="58.5"/>
    <n v="2.1000000000000001E-2"/>
    <n v="2.1"/>
    <n v="1.2285000000000001"/>
    <s v="Low Discount"/>
    <n v="57.27"/>
    <s v="Low Loss"/>
    <d v="2025-05-23T00:00:00"/>
    <n v="24"/>
    <s v="IN STOCK"/>
    <n v="3.9"/>
    <n v="3.9"/>
    <b v="0"/>
    <x v="0"/>
    <m/>
  </r>
  <r>
    <s v="FB000663"/>
    <x v="2"/>
    <x v="7"/>
    <x v="2"/>
    <s v="OS"/>
    <m/>
    <s v="Green"/>
    <n v="73.849999999999994"/>
    <n v="0"/>
    <n v="0"/>
    <n v="0"/>
    <s v="No Discount"/>
    <n v="73.849999999999994"/>
    <s v="No Loss"/>
    <d v="2025-08-06T00:00:00"/>
    <n v="46"/>
    <s v="IN STOCK"/>
    <n v="2"/>
    <n v="2"/>
    <b v="0"/>
    <x v="0"/>
    <m/>
  </r>
  <r>
    <s v="FB000664"/>
    <x v="4"/>
    <x v="4"/>
    <x v="3"/>
    <s v="L"/>
    <s v="XXL"/>
    <s v="Red"/>
    <n v="114.32"/>
    <n v="0.36499999999999999"/>
    <n v="36.5"/>
    <n v="41.726799999999997"/>
    <s v="high Discount"/>
    <n v="72.59"/>
    <s v="High Loss"/>
    <d v="2025-08-06T00:00:00"/>
    <n v="41"/>
    <s v="IN STOCK"/>
    <n v="4.0999999999999996"/>
    <n v="4.0999999999999996"/>
    <b v="0"/>
    <x v="0"/>
    <m/>
  </r>
  <r>
    <s v="FB000665"/>
    <x v="4"/>
    <x v="7"/>
    <x v="3"/>
    <s v="XL"/>
    <s v="XS"/>
    <s v="Gray"/>
    <n v="91.4"/>
    <n v="0.11"/>
    <n v="11"/>
    <n v="10.054"/>
    <s v="Low Discount"/>
    <n v="81.349999999999994"/>
    <s v="Medium Loss"/>
    <d v="2025-08-06T00:00:00"/>
    <n v="18"/>
    <s v="IN STOCK"/>
    <n v="1.6"/>
    <n v="1.6"/>
    <b v="0"/>
    <x v="0"/>
    <m/>
  </r>
  <r>
    <s v="FB000666"/>
    <x v="2"/>
    <x v="7"/>
    <x v="1"/>
    <s v="XL"/>
    <m/>
    <s v="Navy"/>
    <n v="69.77"/>
    <n v="0"/>
    <n v="0"/>
    <n v="0"/>
    <s v="No Discount"/>
    <n v="69.77"/>
    <s v="No Loss"/>
    <d v="2025-08-06T00:00:00"/>
    <n v="30"/>
    <s v="IN STOCK"/>
    <n v="0"/>
    <m/>
    <b v="1"/>
    <x v="1"/>
    <s v="Color Mismatch"/>
  </r>
  <r>
    <s v="FB000667"/>
    <x v="1"/>
    <x v="4"/>
    <x v="3"/>
    <s v="XS"/>
    <s v="L"/>
    <s v="Black"/>
    <n v="72.95"/>
    <n v="0"/>
    <n v="0"/>
    <n v="0"/>
    <s v="No Discount"/>
    <n v="72.95"/>
    <s v="No Loss"/>
    <d v="2025-08-06T00:00:00"/>
    <n v="27"/>
    <s v="IN STOCK"/>
    <n v="4.8"/>
    <n v="4.8"/>
    <b v="0"/>
    <x v="0"/>
    <m/>
  </r>
  <r>
    <s v="FB000668"/>
    <x v="4"/>
    <x v="5"/>
    <x v="3"/>
    <s v="M"/>
    <s v="XL"/>
    <s v="Beige"/>
    <n v="63.99"/>
    <n v="0.42200000000000004"/>
    <n v="42.2"/>
    <n v="27.003780000000003"/>
    <s v="high Discount"/>
    <n v="36.99"/>
    <s v="High Loss"/>
    <d v="2025-08-06T00:00:00"/>
    <n v="35"/>
    <s v="IN STOCK"/>
    <n v="3.2"/>
    <n v="3.2"/>
    <b v="0"/>
    <x v="0"/>
    <m/>
  </r>
  <r>
    <s v="FB000669"/>
    <x v="5"/>
    <x v="2"/>
    <x v="3"/>
    <s v="XS"/>
    <s v="XL"/>
    <s v="Blue"/>
    <n v="74.84"/>
    <n v="0.51900000000000002"/>
    <n v="51.9"/>
    <n v="38.84196"/>
    <s v="high Discount"/>
    <n v="36"/>
    <s v="High Loss"/>
    <d v="2025-08-06T00:00:00"/>
    <n v="35"/>
    <s v="IN STOCK"/>
    <n v="2.5"/>
    <n v="2.5"/>
    <b v="0"/>
    <x v="0"/>
    <m/>
  </r>
  <r>
    <s v="FB000670"/>
    <x v="0"/>
    <x v="4"/>
    <x v="0"/>
    <s v="L"/>
    <s v="XS"/>
    <s v="Black"/>
    <n v="158.84"/>
    <n v="0"/>
    <n v="0"/>
    <n v="0"/>
    <s v="No Discount"/>
    <n v="158.84"/>
    <s v="No Loss"/>
    <d v="2025-04-16T00:00:00"/>
    <n v="30"/>
    <s v="IN STOCK"/>
    <n v="4.5999999999999996"/>
    <n v="4.5999999999999996"/>
    <b v="0"/>
    <x v="0"/>
    <m/>
  </r>
  <r>
    <s v="FB000671"/>
    <x v="3"/>
    <x v="3"/>
    <x v="0"/>
    <s v="XS"/>
    <s v="M"/>
    <s v="Brown"/>
    <n v="96.36"/>
    <n v="0.58599999999999997"/>
    <n v="58.6"/>
    <n v="56.466959999999993"/>
    <s v="high Discount"/>
    <n v="39.89"/>
    <s v="High Loss"/>
    <d v="2025-02-10T00:00:00"/>
    <n v="16"/>
    <s v="IN STOCK"/>
    <n v="3.9"/>
    <n v="3.9"/>
    <b v="0"/>
    <x v="0"/>
    <m/>
  </r>
  <r>
    <s v="FB000672"/>
    <x v="4"/>
    <x v="4"/>
    <x v="0"/>
    <s v="OS"/>
    <s v="XS"/>
    <s v="Purple"/>
    <n v="51.06"/>
    <n v="0.13900000000000001"/>
    <n v="13.9"/>
    <n v="7.0973400000000009"/>
    <s v="Low Discount"/>
    <n v="43.96"/>
    <s v="Low Loss"/>
    <d v="2024-08-16T00:00:00"/>
    <n v="16"/>
    <s v="IN STOCK"/>
    <n v="1.3"/>
    <n v="1.3"/>
    <b v="0"/>
    <x v="0"/>
    <m/>
  </r>
  <r>
    <s v="FB000673"/>
    <x v="4"/>
    <x v="2"/>
    <x v="3"/>
    <s v="XS"/>
    <s v="L"/>
    <s v="Navy"/>
    <n v="49.75"/>
    <n v="0.26400000000000001"/>
    <n v="26.4"/>
    <n v="13.134"/>
    <s v="Medium Discount"/>
    <n v="36.619999999999997"/>
    <s v="Medium Loss"/>
    <d v="2025-08-06T00:00:00"/>
    <n v="24"/>
    <s v="IN STOCK"/>
    <n v="3.8"/>
    <n v="3.8"/>
    <b v="0"/>
    <x v="0"/>
    <m/>
  </r>
  <r>
    <s v="FB000674"/>
    <x v="5"/>
    <x v="3"/>
    <x v="0"/>
    <s v="XXL"/>
    <s v="XS"/>
    <s v="Pink"/>
    <n v="148.97999999999999"/>
    <n v="0"/>
    <n v="0"/>
    <n v="0"/>
    <s v="No Discount"/>
    <n v="148.97999999999999"/>
    <s v="No Loss"/>
    <d v="2024-10-26T00:00:00"/>
    <n v="11"/>
    <s v="IN STOCK"/>
    <n v="2.2000000000000002"/>
    <n v="2.2000000000000002"/>
    <b v="1"/>
    <x v="6"/>
    <s v="Wrong Item"/>
  </r>
  <r>
    <s v="FB000675"/>
    <x v="2"/>
    <x v="6"/>
    <x v="1"/>
    <s v="OS"/>
    <m/>
    <s v="Gray"/>
    <n v="72.239999999999995"/>
    <n v="0"/>
    <n v="0"/>
    <n v="0"/>
    <s v="No Discount"/>
    <n v="72.239999999999995"/>
    <s v="No Loss"/>
    <d v="2025-08-06T00:00:00"/>
    <n v="35"/>
    <s v="IN STOCK"/>
    <n v="4.0999999999999996"/>
    <n v="4.0999999999999996"/>
    <b v="0"/>
    <x v="0"/>
    <m/>
  </r>
  <r>
    <s v="FB000676"/>
    <x v="1"/>
    <x v="3"/>
    <x v="1"/>
    <s v="OS"/>
    <s v="XS"/>
    <s v="Blue"/>
    <n v="94.92"/>
    <n v="0"/>
    <n v="0"/>
    <n v="0"/>
    <s v="No Discount"/>
    <n v="94.92"/>
    <s v="No Loss"/>
    <d v="2025-08-06T00:00:00"/>
    <n v="5"/>
    <s v="LOW STOCK"/>
    <n v="3.3"/>
    <n v="3.3"/>
    <b v="0"/>
    <x v="0"/>
    <m/>
  </r>
  <r>
    <s v="FB000677"/>
    <x v="0"/>
    <x v="2"/>
    <x v="2"/>
    <s v="OS"/>
    <s v="XXL"/>
    <s v="Brown"/>
    <n v="91.08"/>
    <n v="0"/>
    <n v="0"/>
    <n v="0"/>
    <s v="No Discount"/>
    <n v="91.08"/>
    <s v="No Loss"/>
    <d v="2025-08-06T00:00:00"/>
    <n v="47"/>
    <s v="IN STOCK"/>
    <n v="4.9000000000000004"/>
    <n v="4.9000000000000004"/>
    <b v="0"/>
    <x v="0"/>
    <m/>
  </r>
  <r>
    <s v="FB000678"/>
    <x v="2"/>
    <x v="2"/>
    <x v="2"/>
    <s v="OS"/>
    <m/>
    <s v="Brown"/>
    <n v="49.72"/>
    <n v="0.58299999999999996"/>
    <n v="58.3"/>
    <n v="28.986759999999997"/>
    <s v="high Discount"/>
    <n v="20.73"/>
    <s v="High Loss"/>
    <d v="2025-08-06T00:00:00"/>
    <n v="4"/>
    <s v="LOW STOCK"/>
    <n v="1.6"/>
    <n v="1.6"/>
    <b v="0"/>
    <x v="0"/>
    <m/>
  </r>
  <r>
    <s v="FB000679"/>
    <x v="2"/>
    <x v="6"/>
    <x v="1"/>
    <s v="XS"/>
    <m/>
    <s v="Purple"/>
    <n v="23.09"/>
    <n v="7.0999999999999994E-2"/>
    <n v="7.1"/>
    <n v="1.6393899999999999"/>
    <s v="Low Discount"/>
    <n v="21.45"/>
    <s v="Low Loss"/>
    <d v="2025-08-06T00:00:00"/>
    <n v="11"/>
    <s v="IN STOCK"/>
    <n v="1.2"/>
    <n v="1.2"/>
    <b v="0"/>
    <x v="0"/>
    <m/>
  </r>
  <r>
    <s v="FB000680"/>
    <x v="2"/>
    <x v="0"/>
    <x v="0"/>
    <s v="XS"/>
    <m/>
    <s v="Red"/>
    <n v="49.95"/>
    <n v="0"/>
    <n v="0"/>
    <n v="0"/>
    <s v="No Discount"/>
    <n v="49.95"/>
    <s v="No Loss"/>
    <d v="2024-09-17T00:00:00"/>
    <n v="29"/>
    <s v="IN STOCK"/>
    <n v="4.3"/>
    <n v="4.3"/>
    <b v="0"/>
    <x v="0"/>
    <m/>
  </r>
  <r>
    <s v="FB000681"/>
    <x v="2"/>
    <x v="7"/>
    <x v="1"/>
    <s v="M"/>
    <m/>
    <s v="Green"/>
    <n v="25.7"/>
    <n v="0"/>
    <n v="0"/>
    <n v="0"/>
    <s v="No Discount"/>
    <n v="25.7"/>
    <s v="No Loss"/>
    <d v="2025-08-06T00:00:00"/>
    <n v="38"/>
    <s v="IN STOCK"/>
    <n v="3.2"/>
    <n v="3.2"/>
    <b v="1"/>
    <x v="4"/>
    <s v="Quality Issue"/>
  </r>
  <r>
    <s v="FB000682"/>
    <x v="3"/>
    <x v="3"/>
    <x v="3"/>
    <s v="XS"/>
    <s v="XS"/>
    <s v="Green"/>
    <n v="175.22"/>
    <n v="0"/>
    <n v="0"/>
    <n v="0"/>
    <s v="No Discount"/>
    <n v="175.22"/>
    <s v="No Loss"/>
    <d v="2025-08-06T00:00:00"/>
    <n v="8"/>
    <s v="LOW STOCK"/>
    <n v="4.9000000000000004"/>
    <n v="4.9000000000000004"/>
    <b v="0"/>
    <x v="0"/>
    <m/>
  </r>
  <r>
    <s v="FB000683"/>
    <x v="4"/>
    <x v="5"/>
    <x v="3"/>
    <s v="L"/>
    <s v="XS"/>
    <s v="Gray"/>
    <n v="37.57"/>
    <n v="0"/>
    <n v="0"/>
    <n v="0"/>
    <s v="No Discount"/>
    <n v="37.57"/>
    <s v="No Loss"/>
    <d v="2025-08-06T00:00:00"/>
    <n v="18"/>
    <s v="IN STOCK"/>
    <n v="1.9"/>
    <n v="1.9"/>
    <b v="0"/>
    <x v="0"/>
    <m/>
  </r>
  <r>
    <s v="FB000684"/>
    <x v="0"/>
    <x v="0"/>
    <x v="0"/>
    <s v="M"/>
    <s v="M"/>
    <s v="Green"/>
    <n v="245.87"/>
    <n v="0"/>
    <n v="0"/>
    <n v="0"/>
    <s v="No Discount"/>
    <n v="245.87"/>
    <s v="No Loss"/>
    <d v="2025-06-24T00:00:00"/>
    <n v="27"/>
    <s v="IN STOCK"/>
    <n v="2.6"/>
    <n v="2.6"/>
    <b v="0"/>
    <x v="0"/>
    <m/>
  </r>
  <r>
    <s v="FB000685"/>
    <x v="4"/>
    <x v="2"/>
    <x v="1"/>
    <s v="XS"/>
    <s v="XS"/>
    <s v="Red"/>
    <n v="116.92"/>
    <n v="0"/>
    <n v="0"/>
    <n v="0"/>
    <s v="No Discount"/>
    <n v="116.92"/>
    <s v="No Loss"/>
    <d v="2025-08-06T00:00:00"/>
    <n v="13"/>
    <s v="IN STOCK"/>
    <n v="3.2"/>
    <n v="3.2"/>
    <b v="0"/>
    <x v="0"/>
    <m/>
  </r>
  <r>
    <s v="FB000686"/>
    <x v="5"/>
    <x v="5"/>
    <x v="1"/>
    <s v="XS"/>
    <s v="L"/>
    <s v="Pink"/>
    <n v="103.11"/>
    <n v="0"/>
    <n v="0"/>
    <n v="0"/>
    <s v="No Discount"/>
    <n v="103.11"/>
    <s v="No Loss"/>
    <d v="2025-08-06T00:00:00"/>
    <n v="17"/>
    <s v="IN STOCK"/>
    <n v="0"/>
    <m/>
    <b v="0"/>
    <x v="0"/>
    <m/>
  </r>
  <r>
    <s v="FB000687"/>
    <x v="0"/>
    <x v="1"/>
    <x v="2"/>
    <s v="XL"/>
    <s v="M"/>
    <s v="Purple"/>
    <n v="238.89"/>
    <n v="5.0000000000000001E-3"/>
    <n v="0.5"/>
    <n v="1.19445"/>
    <s v="Low Discount"/>
    <n v="237.7"/>
    <s v="Low Loss"/>
    <d v="2025-08-06T00:00:00"/>
    <n v="28"/>
    <s v="IN STOCK"/>
    <n v="2.7"/>
    <n v="2.7"/>
    <b v="0"/>
    <x v="0"/>
    <m/>
  </r>
  <r>
    <s v="FB000688"/>
    <x v="3"/>
    <x v="1"/>
    <x v="3"/>
    <s v="XL"/>
    <s v="XS"/>
    <s v="Pink"/>
    <n v="86.81"/>
    <n v="0.126"/>
    <n v="12.6"/>
    <n v="10.93806"/>
    <s v="Low Discount"/>
    <n v="75.87"/>
    <s v="Medium Loss"/>
    <d v="2025-08-06T00:00:00"/>
    <n v="6"/>
    <s v="LOW STOCK"/>
    <n v="1.7"/>
    <n v="1.7"/>
    <b v="0"/>
    <x v="0"/>
    <m/>
  </r>
  <r>
    <s v="FB000689"/>
    <x v="4"/>
    <x v="3"/>
    <x v="3"/>
    <s v="XS"/>
    <s v="XS"/>
    <s v="Blue"/>
    <n v="58.8"/>
    <n v="0.11800000000000001"/>
    <n v="11.8"/>
    <n v="6.9383999999999997"/>
    <s v="Low Discount"/>
    <n v="51.86"/>
    <s v="Low Loss"/>
    <d v="2025-08-06T00:00:00"/>
    <n v="8"/>
    <s v="LOW STOCK"/>
    <n v="0"/>
    <m/>
    <b v="0"/>
    <x v="0"/>
    <m/>
  </r>
  <r>
    <s v="FB000690"/>
    <x v="4"/>
    <x v="5"/>
    <x v="0"/>
    <s v="XXL"/>
    <s v="XL"/>
    <s v="Beige"/>
    <n v="41.65"/>
    <n v="0.52"/>
    <n v="52"/>
    <n v="21.658000000000001"/>
    <s v="high Discount"/>
    <n v="19.989999999999998"/>
    <s v="High Loss"/>
    <d v="2025-05-16T00:00:00"/>
    <n v="20"/>
    <s v="IN STOCK"/>
    <n v="1.2"/>
    <n v="1.2"/>
    <b v="0"/>
    <x v="0"/>
    <m/>
  </r>
  <r>
    <s v="FB000691"/>
    <x v="1"/>
    <x v="4"/>
    <x v="0"/>
    <s v="S"/>
    <s v="XL"/>
    <s v="Black"/>
    <n v="61.67"/>
    <n v="0.46399999999999997"/>
    <n v="46.4"/>
    <n v="28.614879999999999"/>
    <s v="high Discount"/>
    <n v="33.06"/>
    <s v="High Loss"/>
    <d v="2025-07-15T00:00:00"/>
    <n v="50"/>
    <s v="IN STOCK"/>
    <n v="2.7"/>
    <n v="2.7"/>
    <b v="0"/>
    <x v="0"/>
    <m/>
  </r>
  <r>
    <s v="FB000692"/>
    <x v="4"/>
    <x v="4"/>
    <x v="2"/>
    <s v="OS"/>
    <s v="XS"/>
    <s v="Black"/>
    <n v="40.39"/>
    <n v="0"/>
    <n v="0"/>
    <n v="0"/>
    <s v="No Discount"/>
    <n v="40.39"/>
    <s v="No Loss"/>
    <d v="2025-08-06T00:00:00"/>
    <n v="16"/>
    <s v="IN STOCK"/>
    <n v="0"/>
    <m/>
    <b v="0"/>
    <x v="0"/>
    <m/>
  </r>
  <r>
    <s v="FB000693"/>
    <x v="1"/>
    <x v="5"/>
    <x v="2"/>
    <s v="M"/>
    <s v="XXL"/>
    <s v="Purple"/>
    <n v="95.13"/>
    <n v="0.45399999999999996"/>
    <n v="45.4"/>
    <n v="43.189019999999992"/>
    <s v="high Discount"/>
    <n v="51.94"/>
    <s v="High Loss"/>
    <d v="2025-08-06T00:00:00"/>
    <n v="46"/>
    <s v="IN STOCK"/>
    <n v="2.5"/>
    <n v="2.5"/>
    <b v="0"/>
    <x v="0"/>
    <m/>
  </r>
  <r>
    <s v="FB000694"/>
    <x v="4"/>
    <x v="0"/>
    <x v="2"/>
    <s v="S"/>
    <s v="S"/>
    <s v="Green"/>
    <n v="115.14"/>
    <n v="0"/>
    <n v="0"/>
    <n v="0"/>
    <s v="No Discount"/>
    <n v="115.14"/>
    <s v="No Loss"/>
    <d v="2025-08-06T00:00:00"/>
    <n v="43"/>
    <s v="IN STOCK"/>
    <n v="2.5"/>
    <n v="2.5"/>
    <b v="0"/>
    <x v="0"/>
    <m/>
  </r>
  <r>
    <s v="FB000695"/>
    <x v="1"/>
    <x v="4"/>
    <x v="3"/>
    <s v="S"/>
    <m/>
    <s v="Beige"/>
    <n v="59.58"/>
    <n v="0"/>
    <n v="0"/>
    <n v="0"/>
    <s v="No Discount"/>
    <n v="59.58"/>
    <s v="No Loss"/>
    <d v="2025-08-06T00:00:00"/>
    <n v="27"/>
    <s v="IN STOCK"/>
    <n v="3.3"/>
    <n v="3.3"/>
    <b v="0"/>
    <x v="0"/>
    <m/>
  </r>
  <r>
    <s v="FB000696"/>
    <x v="3"/>
    <x v="1"/>
    <x v="0"/>
    <s v="OS"/>
    <s v="M"/>
    <s v="Purple"/>
    <n v="169.89"/>
    <n v="0"/>
    <n v="0"/>
    <n v="0"/>
    <s v="No Discount"/>
    <n v="169.89"/>
    <s v="No Loss"/>
    <d v="2025-07-14T00:00:00"/>
    <n v="12"/>
    <s v="IN STOCK"/>
    <n v="1.2"/>
    <n v="1.2"/>
    <b v="0"/>
    <x v="0"/>
    <m/>
  </r>
  <r>
    <s v="FB000697"/>
    <x v="3"/>
    <x v="3"/>
    <x v="1"/>
    <s v="L"/>
    <s v="S"/>
    <s v="Black"/>
    <n v="117.38"/>
    <n v="0.22500000000000001"/>
    <n v="22.5"/>
    <n v="26.410499999999999"/>
    <s v="Medium Discount"/>
    <n v="90.97"/>
    <s v="High Loss"/>
    <d v="2025-08-06T00:00:00"/>
    <n v="42"/>
    <s v="IN STOCK"/>
    <n v="2.8"/>
    <n v="2.8"/>
    <b v="1"/>
    <x v="1"/>
    <s v="Color Mismatch"/>
  </r>
  <r>
    <s v="FB000698"/>
    <x v="1"/>
    <x v="3"/>
    <x v="1"/>
    <s v="XS"/>
    <s v="S"/>
    <s v="Pink"/>
    <n v="118.95"/>
    <n v="0"/>
    <n v="0"/>
    <n v="0"/>
    <s v="No Discount"/>
    <n v="118.95"/>
    <s v="No Loss"/>
    <d v="2025-08-06T00:00:00"/>
    <n v="18"/>
    <s v="IN STOCK"/>
    <n v="1.9"/>
    <n v="1.9"/>
    <b v="1"/>
    <x v="4"/>
    <s v="Quality Issue"/>
  </r>
  <r>
    <s v="FB000699"/>
    <x v="2"/>
    <x v="1"/>
    <x v="2"/>
    <s v="OS"/>
    <m/>
    <s v="Red"/>
    <n v="39.299999999999997"/>
    <n v="0"/>
    <n v="0"/>
    <n v="0"/>
    <s v="No Discount"/>
    <n v="39.299999999999997"/>
    <s v="No Loss"/>
    <d v="2025-08-06T00:00:00"/>
    <n v="39"/>
    <s v="IN STOCK"/>
    <n v="0"/>
    <m/>
    <b v="0"/>
    <x v="0"/>
    <m/>
  </r>
  <r>
    <s v="FB000700"/>
    <x v="1"/>
    <x v="4"/>
    <x v="1"/>
    <s v="OS"/>
    <s v="L"/>
    <s v="Beige"/>
    <n v="74.3"/>
    <n v="0"/>
    <n v="0"/>
    <n v="0"/>
    <s v="No Discount"/>
    <n v="74.3"/>
    <s v="No Loss"/>
    <d v="2025-08-06T00:00:00"/>
    <n v="31"/>
    <s v="IN STOCK"/>
    <n v="3.8"/>
    <n v="3.8"/>
    <b v="1"/>
    <x v="6"/>
    <s v="Wrong Item"/>
  </r>
  <r>
    <s v="FB000701"/>
    <x v="4"/>
    <x v="4"/>
    <x v="0"/>
    <s v="OS"/>
    <s v="XS"/>
    <s v="Brown"/>
    <n v="62.97"/>
    <n v="0"/>
    <n v="0"/>
    <n v="0"/>
    <s v="No Discount"/>
    <n v="62.97"/>
    <s v="No Loss"/>
    <d v="2025-05-26T00:00:00"/>
    <n v="5"/>
    <s v="LOW STOCK"/>
    <n v="3.5"/>
    <n v="3.5"/>
    <b v="0"/>
    <x v="0"/>
    <m/>
  </r>
  <r>
    <s v="FB000702"/>
    <x v="2"/>
    <x v="4"/>
    <x v="3"/>
    <s v="OS"/>
    <m/>
    <s v="Gray"/>
    <n v="73.599999999999994"/>
    <n v="0"/>
    <n v="0"/>
    <n v="0"/>
    <s v="No Discount"/>
    <n v="73.599999999999994"/>
    <s v="No Loss"/>
    <d v="2025-08-06T00:00:00"/>
    <n v="1"/>
    <s v="LOW STOCK"/>
    <n v="1.8"/>
    <n v="1.8"/>
    <b v="0"/>
    <x v="0"/>
    <m/>
  </r>
  <r>
    <s v="FB000703"/>
    <x v="2"/>
    <x v="3"/>
    <x v="0"/>
    <s v="XXL"/>
    <m/>
    <s v="Black"/>
    <n v="77.849999999999994"/>
    <n v="0.34899999999999998"/>
    <n v="34.9"/>
    <n v="27.169649999999997"/>
    <s v="high Discount"/>
    <n v="50.68"/>
    <s v="High Loss"/>
    <d v="2025-08-05T00:00:00"/>
    <n v="11"/>
    <s v="IN STOCK"/>
    <n v="0"/>
    <m/>
    <b v="0"/>
    <x v="0"/>
    <m/>
  </r>
  <r>
    <s v="FB000704"/>
    <x v="1"/>
    <x v="7"/>
    <x v="3"/>
    <s v="OS"/>
    <m/>
    <s v="Red"/>
    <n v="94.31"/>
    <n v="0"/>
    <n v="0"/>
    <n v="0"/>
    <s v="No Discount"/>
    <n v="94.31"/>
    <s v="No Loss"/>
    <d v="2025-08-06T00:00:00"/>
    <n v="20"/>
    <s v="IN STOCK"/>
    <n v="3"/>
    <n v="3"/>
    <b v="0"/>
    <x v="0"/>
    <m/>
  </r>
  <r>
    <s v="FB000705"/>
    <x v="4"/>
    <x v="5"/>
    <x v="0"/>
    <s v="XS"/>
    <m/>
    <s v="Navy"/>
    <n v="60.36"/>
    <n v="0"/>
    <n v="0"/>
    <n v="0"/>
    <s v="No Discount"/>
    <n v="60.36"/>
    <s v="No Loss"/>
    <d v="2024-09-01T00:00:00"/>
    <n v="35"/>
    <s v="IN STOCK"/>
    <n v="3.3"/>
    <n v="3.3"/>
    <b v="0"/>
    <x v="0"/>
    <m/>
  </r>
  <r>
    <s v="FB000706"/>
    <x v="4"/>
    <x v="3"/>
    <x v="3"/>
    <s v="M"/>
    <s v="XXL"/>
    <s v="Brown"/>
    <n v="94.85"/>
    <n v="0"/>
    <n v="0"/>
    <n v="0"/>
    <s v="No Discount"/>
    <n v="94.85"/>
    <s v="No Loss"/>
    <d v="2025-08-06T00:00:00"/>
    <n v="28"/>
    <s v="IN STOCK"/>
    <n v="1.5"/>
    <n v="1.5"/>
    <b v="0"/>
    <x v="0"/>
    <m/>
  </r>
  <r>
    <s v="FB000707"/>
    <x v="2"/>
    <x v="1"/>
    <x v="1"/>
    <s v="M"/>
    <m/>
    <s v="Blue"/>
    <n v="30.52"/>
    <n v="7.9000000000000001E-2"/>
    <n v="7.9"/>
    <n v="2.4110800000000001"/>
    <s v="Low Discount"/>
    <n v="28.11"/>
    <s v="Low Loss"/>
    <d v="2025-08-06T00:00:00"/>
    <n v="43"/>
    <s v="IN STOCK"/>
    <n v="4.7"/>
    <n v="4.7"/>
    <b v="0"/>
    <x v="0"/>
    <m/>
  </r>
  <r>
    <s v="FB000708"/>
    <x v="5"/>
    <x v="3"/>
    <x v="3"/>
    <s v="OS"/>
    <s v="XS"/>
    <s v="Navy"/>
    <n v="97.06"/>
    <n v="0"/>
    <n v="0"/>
    <n v="0"/>
    <s v="No Discount"/>
    <n v="97.06"/>
    <s v="No Loss"/>
    <d v="2025-08-06T00:00:00"/>
    <n v="24"/>
    <s v="IN STOCK"/>
    <n v="3.9"/>
    <n v="3.9"/>
    <b v="0"/>
    <x v="0"/>
    <m/>
  </r>
  <r>
    <s v="FB000709"/>
    <x v="4"/>
    <x v="7"/>
    <x v="3"/>
    <s v="L"/>
    <s v="M"/>
    <s v="Purple"/>
    <n v="57.85"/>
    <n v="0.35399999999999998"/>
    <n v="35.4"/>
    <n v="20.478899999999999"/>
    <s v="high Discount"/>
    <n v="37.369999999999997"/>
    <s v="High Loss"/>
    <d v="2025-08-06T00:00:00"/>
    <n v="17"/>
    <s v="IN STOCK"/>
    <n v="0"/>
    <m/>
    <b v="0"/>
    <x v="0"/>
    <m/>
  </r>
  <r>
    <s v="FB000710"/>
    <x v="1"/>
    <x v="0"/>
    <x v="2"/>
    <s v="XXL"/>
    <s v="M"/>
    <s v="White"/>
    <n v="51.35"/>
    <n v="0.19699999999999998"/>
    <n v="19.7"/>
    <n v="10.11595"/>
    <s v="Low Discount"/>
    <n v="41.23"/>
    <s v="Medium Loss"/>
    <d v="2025-08-06T00:00:00"/>
    <n v="39"/>
    <s v="IN STOCK"/>
    <n v="1.3"/>
    <n v="1.3"/>
    <b v="0"/>
    <x v="0"/>
    <m/>
  </r>
  <r>
    <s v="FB000711"/>
    <x v="2"/>
    <x v="5"/>
    <x v="0"/>
    <s v="S"/>
    <m/>
    <s v="Black"/>
    <n v="61.34"/>
    <n v="0.45399999999999996"/>
    <n v="45.4"/>
    <n v="27.84836"/>
    <s v="high Discount"/>
    <n v="33.49"/>
    <s v="High Loss"/>
    <d v="2025-02-03T00:00:00"/>
    <n v="46"/>
    <s v="IN STOCK"/>
    <n v="0"/>
    <m/>
    <b v="0"/>
    <x v="0"/>
    <m/>
  </r>
  <r>
    <s v="FB000712"/>
    <x v="0"/>
    <x v="2"/>
    <x v="3"/>
    <s v="XXL"/>
    <s v="L"/>
    <s v="Purple"/>
    <n v="189.28"/>
    <n v="0"/>
    <n v="0"/>
    <n v="0"/>
    <s v="No Discount"/>
    <n v="189.28"/>
    <s v="No Loss"/>
    <d v="2025-08-06T00:00:00"/>
    <n v="41"/>
    <s v="IN STOCK"/>
    <n v="2.7"/>
    <n v="2.7"/>
    <b v="1"/>
    <x v="6"/>
    <s v="Wrong Item"/>
  </r>
  <r>
    <s v="FB000713"/>
    <x v="1"/>
    <x v="2"/>
    <x v="3"/>
    <s v="XL"/>
    <s v="XXL"/>
    <s v="Purple"/>
    <n v="86.67"/>
    <n v="0.35799999999999998"/>
    <n v="35.799999999999997"/>
    <n v="31.02786"/>
    <s v="high Discount"/>
    <n v="55.64"/>
    <s v="High Loss"/>
    <d v="2025-08-06T00:00:00"/>
    <n v="2"/>
    <s v="LOW STOCK"/>
    <n v="4.9000000000000004"/>
    <n v="4.9000000000000004"/>
    <b v="0"/>
    <x v="0"/>
    <m/>
  </r>
  <r>
    <s v="FB000714"/>
    <x v="4"/>
    <x v="5"/>
    <x v="0"/>
    <s v="L"/>
    <s v="S"/>
    <s v="Navy"/>
    <n v="102.84"/>
    <n v="0"/>
    <n v="0"/>
    <n v="0"/>
    <s v="No Discount"/>
    <n v="102.84"/>
    <s v="No Loss"/>
    <d v="2024-09-10T00:00:00"/>
    <n v="27"/>
    <s v="IN STOCK"/>
    <n v="1.8"/>
    <n v="1.8"/>
    <b v="0"/>
    <x v="0"/>
    <m/>
  </r>
  <r>
    <s v="FB000715"/>
    <x v="0"/>
    <x v="0"/>
    <x v="2"/>
    <s v="OS"/>
    <s v="XXL"/>
    <s v="Green"/>
    <n v="225.21"/>
    <n v="0"/>
    <n v="0"/>
    <n v="0"/>
    <s v="No Discount"/>
    <n v="225.21"/>
    <s v="No Loss"/>
    <d v="2025-08-06T00:00:00"/>
    <n v="27"/>
    <s v="IN STOCK"/>
    <n v="3.1"/>
    <n v="3.1"/>
    <b v="1"/>
    <x v="5"/>
    <s v="Changed Mind"/>
  </r>
  <r>
    <s v="FB000716"/>
    <x v="5"/>
    <x v="1"/>
    <x v="1"/>
    <s v="XL"/>
    <s v="XL"/>
    <s v="Gray"/>
    <n v="48.91"/>
    <n v="0.27800000000000002"/>
    <n v="27.8"/>
    <n v="13.59698"/>
    <s v="Medium Discount"/>
    <n v="35.31"/>
    <s v="Medium Loss"/>
    <d v="2025-08-06T00:00:00"/>
    <n v="0"/>
    <s v="NO STOCK"/>
    <n v="4.0999999999999996"/>
    <n v="4.0999999999999996"/>
    <b v="0"/>
    <x v="0"/>
    <m/>
  </r>
  <r>
    <s v="FB000717"/>
    <x v="0"/>
    <x v="7"/>
    <x v="2"/>
    <s v="XL"/>
    <s v="L"/>
    <s v="Pink"/>
    <n v="145.93"/>
    <n v="0"/>
    <n v="0"/>
    <n v="0"/>
    <s v="No Discount"/>
    <n v="145.93"/>
    <s v="No Loss"/>
    <d v="2025-08-06T00:00:00"/>
    <n v="19"/>
    <s v="IN STOCK"/>
    <n v="1.5"/>
    <n v="1.5"/>
    <b v="0"/>
    <x v="0"/>
    <m/>
  </r>
  <r>
    <s v="FB000718"/>
    <x v="0"/>
    <x v="2"/>
    <x v="1"/>
    <s v="L"/>
    <m/>
    <s v="Green"/>
    <n v="225.92"/>
    <n v="0.43700000000000006"/>
    <n v="43.7"/>
    <n v="98.727040000000002"/>
    <s v="high Discount"/>
    <n v="127.19"/>
    <s v="High Loss"/>
    <d v="2025-08-06T00:00:00"/>
    <n v="30"/>
    <s v="IN STOCK"/>
    <n v="3.2"/>
    <n v="3.2"/>
    <b v="0"/>
    <x v="0"/>
    <m/>
  </r>
  <r>
    <s v="FB000719"/>
    <x v="0"/>
    <x v="1"/>
    <x v="3"/>
    <s v="S"/>
    <s v="XL"/>
    <s v="Green"/>
    <n v="202.18"/>
    <n v="0.39700000000000002"/>
    <n v="39.700000000000003"/>
    <n v="80.265460000000004"/>
    <s v="high Discount"/>
    <n v="121.91"/>
    <s v="High Loss"/>
    <d v="2025-08-06T00:00:00"/>
    <n v="20"/>
    <s v="IN STOCK"/>
    <n v="4.0999999999999996"/>
    <n v="4.0999999999999996"/>
    <b v="0"/>
    <x v="0"/>
    <m/>
  </r>
  <r>
    <s v="FB000720"/>
    <x v="1"/>
    <x v="1"/>
    <x v="2"/>
    <s v="OS"/>
    <s v="XL"/>
    <s v="Blue"/>
    <n v="51.85"/>
    <n v="0"/>
    <n v="0"/>
    <n v="0"/>
    <s v="No Discount"/>
    <n v="51.85"/>
    <s v="No Loss"/>
    <d v="2025-08-06T00:00:00"/>
    <n v="28"/>
    <s v="IN STOCK"/>
    <n v="0"/>
    <m/>
    <b v="0"/>
    <x v="0"/>
    <m/>
  </r>
  <r>
    <s v="FB000721"/>
    <x v="1"/>
    <x v="1"/>
    <x v="3"/>
    <s v="L"/>
    <s v="L"/>
    <s v="Gray"/>
    <n v="75.34"/>
    <n v="0"/>
    <n v="0"/>
    <n v="0"/>
    <s v="No Discount"/>
    <n v="75.34"/>
    <s v="No Loss"/>
    <d v="2025-08-06T00:00:00"/>
    <n v="21"/>
    <s v="IN STOCK"/>
    <n v="0"/>
    <m/>
    <b v="0"/>
    <x v="0"/>
    <m/>
  </r>
  <r>
    <s v="FB000722"/>
    <x v="3"/>
    <x v="6"/>
    <x v="0"/>
    <s v="S"/>
    <s v="S"/>
    <s v="Pink"/>
    <n v="92.09"/>
    <n v="0.54899999999999993"/>
    <n v="54.9"/>
    <n v="50.557409999999997"/>
    <s v="high Discount"/>
    <n v="41.53"/>
    <s v="High Loss"/>
    <d v="2025-01-19T00:00:00"/>
    <n v="44"/>
    <s v="IN STOCK"/>
    <n v="2.2000000000000002"/>
    <n v="2.2000000000000002"/>
    <b v="0"/>
    <x v="0"/>
    <m/>
  </r>
  <r>
    <s v="FB000723"/>
    <x v="2"/>
    <x v="0"/>
    <x v="2"/>
    <s v="XS"/>
    <m/>
    <s v="Blue"/>
    <n v="56.39"/>
    <n v="0"/>
    <n v="0"/>
    <n v="0"/>
    <s v="No Discount"/>
    <n v="56.39"/>
    <s v="No Loss"/>
    <d v="2025-08-06T00:00:00"/>
    <n v="49"/>
    <s v="IN STOCK"/>
    <n v="4.2"/>
    <n v="4.2"/>
    <b v="0"/>
    <x v="0"/>
    <m/>
  </r>
  <r>
    <s v="FB000724"/>
    <x v="1"/>
    <x v="3"/>
    <x v="2"/>
    <s v="S"/>
    <s v="L"/>
    <s v="Pink"/>
    <n v="108.75"/>
    <n v="0"/>
    <n v="0"/>
    <n v="0"/>
    <s v="No Discount"/>
    <n v="108.75"/>
    <s v="No Loss"/>
    <d v="2025-08-06T00:00:00"/>
    <n v="38"/>
    <s v="IN STOCK"/>
    <n v="3.8"/>
    <n v="3.8"/>
    <b v="0"/>
    <x v="0"/>
    <m/>
  </r>
  <r>
    <s v="FB000725"/>
    <x v="5"/>
    <x v="1"/>
    <x v="0"/>
    <s v="S"/>
    <s v="S"/>
    <s v="Red"/>
    <n v="156.85"/>
    <n v="0"/>
    <n v="0"/>
    <n v="0"/>
    <s v="No Discount"/>
    <n v="156.85"/>
    <s v="No Loss"/>
    <d v="2025-04-01T00:00:00"/>
    <n v="48"/>
    <s v="IN STOCK"/>
    <n v="3.4"/>
    <n v="3.4"/>
    <b v="0"/>
    <x v="0"/>
    <m/>
  </r>
  <r>
    <s v="FB000726"/>
    <x v="0"/>
    <x v="1"/>
    <x v="0"/>
    <s v="OS"/>
    <s v="XS"/>
    <s v="Brown"/>
    <n v="168.13"/>
    <n v="0"/>
    <n v="0"/>
    <n v="0"/>
    <s v="No Discount"/>
    <n v="168.13"/>
    <s v="No Loss"/>
    <d v="2025-04-18T00:00:00"/>
    <n v="42"/>
    <s v="IN STOCK"/>
    <n v="2.5"/>
    <n v="2.5"/>
    <b v="0"/>
    <x v="0"/>
    <m/>
  </r>
  <r>
    <s v="FB000727"/>
    <x v="3"/>
    <x v="7"/>
    <x v="3"/>
    <s v="S"/>
    <s v="S"/>
    <s v="Green"/>
    <n v="145.79"/>
    <n v="0.56999999999999995"/>
    <n v="57"/>
    <n v="83.10029999999999"/>
    <s v="high Discount"/>
    <n v="62.69"/>
    <s v="High Loss"/>
    <d v="2025-08-06T00:00:00"/>
    <n v="46"/>
    <s v="IN STOCK"/>
    <n v="0"/>
    <m/>
    <b v="0"/>
    <x v="0"/>
    <m/>
  </r>
  <r>
    <s v="FB000728"/>
    <x v="4"/>
    <x v="6"/>
    <x v="1"/>
    <s v="OS"/>
    <s v="S"/>
    <s v="White"/>
    <n v="54.14"/>
    <n v="0"/>
    <n v="0"/>
    <n v="0"/>
    <s v="No Discount"/>
    <n v="54.14"/>
    <s v="No Loss"/>
    <d v="2025-08-06T00:00:00"/>
    <n v="32"/>
    <s v="IN STOCK"/>
    <n v="0"/>
    <m/>
    <b v="0"/>
    <x v="0"/>
    <m/>
  </r>
  <r>
    <s v="FB000729"/>
    <x v="2"/>
    <x v="0"/>
    <x v="2"/>
    <s v="XL"/>
    <m/>
    <s v="Navy"/>
    <n v="45.64"/>
    <n v="0"/>
    <n v="0"/>
    <n v="0"/>
    <s v="No Discount"/>
    <n v="45.64"/>
    <s v="No Loss"/>
    <d v="2025-08-06T00:00:00"/>
    <n v="36"/>
    <s v="IN STOCK"/>
    <n v="3.6"/>
    <n v="3.6"/>
    <b v="1"/>
    <x v="2"/>
    <s v="Size Issue"/>
  </r>
  <r>
    <s v="FB000730"/>
    <x v="4"/>
    <x v="3"/>
    <x v="2"/>
    <s v="M"/>
    <s v="S"/>
    <s v="Red"/>
    <n v="46.76"/>
    <n v="0"/>
    <n v="0"/>
    <n v="0"/>
    <s v="No Discount"/>
    <n v="46.76"/>
    <s v="No Loss"/>
    <d v="2025-08-06T00:00:00"/>
    <n v="38"/>
    <s v="IN STOCK"/>
    <n v="2.7"/>
    <n v="2.7"/>
    <b v="0"/>
    <x v="0"/>
    <m/>
  </r>
  <r>
    <s v="FB000731"/>
    <x v="5"/>
    <x v="2"/>
    <x v="1"/>
    <s v="XS"/>
    <m/>
    <s v="Gray"/>
    <n v="75.23"/>
    <n v="0"/>
    <n v="0"/>
    <n v="0"/>
    <s v="No Discount"/>
    <n v="75.23"/>
    <s v="No Loss"/>
    <d v="2025-08-06T00:00:00"/>
    <n v="42"/>
    <s v="IN STOCK"/>
    <n v="1.7"/>
    <n v="1.7"/>
    <b v="1"/>
    <x v="4"/>
    <s v="Quality Issue"/>
  </r>
  <r>
    <s v="FB000732"/>
    <x v="5"/>
    <x v="3"/>
    <x v="3"/>
    <s v="OS"/>
    <s v="XL"/>
    <s v="White"/>
    <n v="70.38"/>
    <n v="0"/>
    <n v="0"/>
    <n v="0"/>
    <s v="No Discount"/>
    <n v="70.38"/>
    <s v="No Loss"/>
    <d v="2025-08-06T00:00:00"/>
    <n v="37"/>
    <s v="IN STOCK"/>
    <n v="2"/>
    <n v="2"/>
    <b v="0"/>
    <x v="0"/>
    <m/>
  </r>
  <r>
    <s v="FB000733"/>
    <x v="4"/>
    <x v="4"/>
    <x v="3"/>
    <s v="OS"/>
    <s v="M"/>
    <s v="Pink"/>
    <n v="76.040000000000006"/>
    <n v="0"/>
    <n v="0"/>
    <n v="0"/>
    <s v="No Discount"/>
    <n v="76.040000000000006"/>
    <s v="No Loss"/>
    <d v="2025-08-06T00:00:00"/>
    <n v="13"/>
    <s v="IN STOCK"/>
    <n v="4.4000000000000004"/>
    <n v="4.4000000000000004"/>
    <b v="0"/>
    <x v="0"/>
    <m/>
  </r>
  <r>
    <s v="FB000734"/>
    <x v="3"/>
    <x v="1"/>
    <x v="3"/>
    <s v="XXL"/>
    <s v="XS"/>
    <s v="Black"/>
    <n v="110.82"/>
    <n v="0.157"/>
    <n v="15.7"/>
    <n v="17.39874"/>
    <s v="Low Discount"/>
    <n v="93.42"/>
    <s v="Medium Loss"/>
    <d v="2025-08-06T00:00:00"/>
    <n v="43"/>
    <s v="IN STOCK"/>
    <n v="0"/>
    <m/>
    <b v="1"/>
    <x v="2"/>
    <s v="Size Issue"/>
  </r>
  <r>
    <s v="FB000735"/>
    <x v="2"/>
    <x v="7"/>
    <x v="2"/>
    <s v="XXL"/>
    <m/>
    <s v="Navy"/>
    <n v="47.47"/>
    <n v="0"/>
    <n v="0"/>
    <n v="0"/>
    <s v="No Discount"/>
    <n v="47.47"/>
    <s v="No Loss"/>
    <d v="2025-08-06T00:00:00"/>
    <n v="42"/>
    <s v="IN STOCK"/>
    <n v="4.7"/>
    <n v="4.7"/>
    <b v="0"/>
    <x v="0"/>
    <m/>
  </r>
  <r>
    <s v="FB000736"/>
    <x v="2"/>
    <x v="6"/>
    <x v="0"/>
    <s v="XXL"/>
    <m/>
    <s v="Red"/>
    <n v="79.94"/>
    <n v="0"/>
    <n v="0"/>
    <n v="0"/>
    <s v="No Discount"/>
    <n v="79.94"/>
    <s v="No Loss"/>
    <d v="2025-07-31T00:00:00"/>
    <n v="26"/>
    <s v="IN STOCK"/>
    <n v="3.8"/>
    <n v="3.8"/>
    <b v="0"/>
    <x v="0"/>
    <m/>
  </r>
  <r>
    <s v="FB000737"/>
    <x v="4"/>
    <x v="2"/>
    <x v="2"/>
    <s v="XL"/>
    <s v="XXL"/>
    <s v="Navy"/>
    <n v="74.67"/>
    <n v="0"/>
    <n v="0"/>
    <n v="0"/>
    <s v="No Discount"/>
    <n v="74.67"/>
    <s v="No Loss"/>
    <d v="2025-08-06T00:00:00"/>
    <n v="15"/>
    <s v="IN STOCK"/>
    <n v="4.5999999999999996"/>
    <n v="4.5999999999999996"/>
    <b v="0"/>
    <x v="0"/>
    <m/>
  </r>
  <r>
    <s v="FB000738"/>
    <x v="5"/>
    <x v="7"/>
    <x v="2"/>
    <s v="XL"/>
    <s v="XXL"/>
    <s v="Brown"/>
    <n v="63.79"/>
    <n v="0.35499999999999998"/>
    <n v="35.5"/>
    <n v="22.64545"/>
    <s v="high Discount"/>
    <n v="41.14"/>
    <s v="High Loss"/>
    <d v="2025-08-06T00:00:00"/>
    <n v="15"/>
    <s v="IN STOCK"/>
    <n v="3.1"/>
    <n v="3.1"/>
    <b v="1"/>
    <x v="4"/>
    <s v="Quality Issue"/>
  </r>
  <r>
    <s v="FB000739"/>
    <x v="4"/>
    <x v="5"/>
    <x v="2"/>
    <s v="S"/>
    <s v="XXL"/>
    <s v="Brown"/>
    <n v="49.6"/>
    <n v="0"/>
    <n v="0"/>
    <n v="0"/>
    <s v="No Discount"/>
    <n v="49.6"/>
    <s v="No Loss"/>
    <d v="2025-08-06T00:00:00"/>
    <n v="32"/>
    <s v="IN STOCK"/>
    <n v="4.7"/>
    <n v="4.7"/>
    <b v="0"/>
    <x v="0"/>
    <m/>
  </r>
  <r>
    <s v="FB000740"/>
    <x v="1"/>
    <x v="0"/>
    <x v="0"/>
    <s v="S"/>
    <s v="XL"/>
    <s v="Red"/>
    <n v="57.91"/>
    <n v="0"/>
    <n v="0"/>
    <n v="0"/>
    <s v="No Discount"/>
    <n v="57.91"/>
    <s v="No Loss"/>
    <d v="2025-03-13T00:00:00"/>
    <n v="33"/>
    <s v="IN STOCK"/>
    <n v="3.9"/>
    <n v="3.9"/>
    <b v="0"/>
    <x v="0"/>
    <m/>
  </r>
  <r>
    <s v="FB000741"/>
    <x v="5"/>
    <x v="1"/>
    <x v="3"/>
    <s v="L"/>
    <s v="XL"/>
    <s v="Pink"/>
    <n v="135.99"/>
    <n v="0"/>
    <n v="0"/>
    <n v="0"/>
    <s v="No Discount"/>
    <n v="135.99"/>
    <s v="No Loss"/>
    <d v="2025-08-06T00:00:00"/>
    <n v="34"/>
    <s v="IN STOCK"/>
    <n v="3"/>
    <n v="3"/>
    <b v="0"/>
    <x v="0"/>
    <m/>
  </r>
  <r>
    <s v="FB000742"/>
    <x v="5"/>
    <x v="3"/>
    <x v="1"/>
    <s v="OS"/>
    <s v="S"/>
    <s v="Purple"/>
    <n v="53.49"/>
    <n v="0.218"/>
    <n v="21.8"/>
    <n v="11.660820000000001"/>
    <s v="Medium Discount"/>
    <n v="41.83"/>
    <s v="Medium Loss"/>
    <d v="2025-08-06T00:00:00"/>
    <n v="41"/>
    <s v="IN STOCK"/>
    <n v="2.1"/>
    <n v="2.1"/>
    <b v="0"/>
    <x v="0"/>
    <m/>
  </r>
  <r>
    <s v="FB000743"/>
    <x v="1"/>
    <x v="7"/>
    <x v="3"/>
    <s v="OS"/>
    <s v="S"/>
    <s v="Pink"/>
    <n v="113.29"/>
    <n v="0.34"/>
    <n v="34"/>
    <n v="38.518600000000006"/>
    <s v="high Discount"/>
    <n v="74.77"/>
    <s v="High Loss"/>
    <d v="2025-08-06T00:00:00"/>
    <n v="10"/>
    <s v="LOW STOCK"/>
    <n v="0"/>
    <m/>
    <b v="0"/>
    <x v="0"/>
    <m/>
  </r>
  <r>
    <s v="FB000744"/>
    <x v="1"/>
    <x v="4"/>
    <x v="1"/>
    <s v="XXL"/>
    <s v="L"/>
    <s v="White"/>
    <n v="110.87"/>
    <n v="0.06"/>
    <n v="6"/>
    <n v="6.6521999999999997"/>
    <s v="Low Discount"/>
    <n v="104.22"/>
    <s v="Low Loss"/>
    <d v="2025-08-06T00:00:00"/>
    <n v="15"/>
    <s v="IN STOCK"/>
    <n v="0"/>
    <m/>
    <b v="0"/>
    <x v="0"/>
    <m/>
  </r>
  <r>
    <s v="FB000745"/>
    <x v="1"/>
    <x v="5"/>
    <x v="2"/>
    <s v="OS"/>
    <m/>
    <s v="Navy"/>
    <n v="94.3"/>
    <n v="0"/>
    <n v="0"/>
    <n v="0"/>
    <s v="No Discount"/>
    <n v="94.3"/>
    <s v="No Loss"/>
    <d v="2025-08-06T00:00:00"/>
    <n v="16"/>
    <s v="IN STOCK"/>
    <n v="0"/>
    <m/>
    <b v="0"/>
    <x v="0"/>
    <m/>
  </r>
  <r>
    <s v="FB000746"/>
    <x v="2"/>
    <x v="7"/>
    <x v="0"/>
    <s v="L"/>
    <m/>
    <s v="Red"/>
    <n v="37.94"/>
    <n v="0"/>
    <n v="0"/>
    <n v="0"/>
    <s v="No Discount"/>
    <n v="37.94"/>
    <s v="No Loss"/>
    <d v="2024-10-08T00:00:00"/>
    <n v="9"/>
    <s v="LOW STOCK"/>
    <n v="4.5999999999999996"/>
    <n v="4.5999999999999996"/>
    <b v="0"/>
    <x v="0"/>
    <m/>
  </r>
  <r>
    <s v="FB000747"/>
    <x v="0"/>
    <x v="5"/>
    <x v="1"/>
    <s v="OS"/>
    <s v="XXL"/>
    <s v="Gray"/>
    <n v="200.24"/>
    <n v="0.23"/>
    <n v="23"/>
    <n v="46.055200000000006"/>
    <s v="Medium Discount"/>
    <n v="154.18"/>
    <s v="High Loss"/>
    <d v="2025-08-06T00:00:00"/>
    <n v="38"/>
    <s v="IN STOCK"/>
    <n v="0"/>
    <m/>
    <b v="0"/>
    <x v="0"/>
    <m/>
  </r>
  <r>
    <s v="FB000748"/>
    <x v="2"/>
    <x v="7"/>
    <x v="1"/>
    <s v="XL"/>
    <m/>
    <s v="Purple"/>
    <n v="43.45"/>
    <n v="0"/>
    <n v="0"/>
    <n v="0"/>
    <s v="No Discount"/>
    <n v="43.45"/>
    <s v="No Loss"/>
    <d v="2025-08-06T00:00:00"/>
    <n v="50"/>
    <s v="IN STOCK"/>
    <n v="4"/>
    <n v="4"/>
    <b v="0"/>
    <x v="0"/>
    <m/>
  </r>
  <r>
    <s v="FB000749"/>
    <x v="4"/>
    <x v="7"/>
    <x v="3"/>
    <s v="XXL"/>
    <s v="L"/>
    <s v="Red"/>
    <n v="76.92"/>
    <n v="9.6000000000000002E-2"/>
    <n v="9.6"/>
    <n v="7.3843200000000007"/>
    <s v="Low Discount"/>
    <n v="69.540000000000006"/>
    <s v="Low Loss"/>
    <d v="2025-08-06T00:00:00"/>
    <n v="20"/>
    <s v="IN STOCK"/>
    <n v="2"/>
    <n v="2"/>
    <b v="0"/>
    <x v="0"/>
    <m/>
  </r>
  <r>
    <s v="FB000750"/>
    <x v="2"/>
    <x v="7"/>
    <x v="2"/>
    <s v="OS"/>
    <m/>
    <s v="White"/>
    <n v="21.09"/>
    <n v="0"/>
    <n v="0"/>
    <n v="0"/>
    <s v="No Discount"/>
    <n v="21.09"/>
    <s v="No Loss"/>
    <d v="2025-08-06T00:00:00"/>
    <n v="33"/>
    <s v="IN STOCK"/>
    <n v="4.0999999999999996"/>
    <n v="4.0999999999999996"/>
    <b v="1"/>
    <x v="2"/>
    <s v="Size Issue"/>
  </r>
  <r>
    <s v="FB000751"/>
    <x v="5"/>
    <x v="2"/>
    <x v="1"/>
    <s v="XS"/>
    <s v="XL"/>
    <s v="Green"/>
    <n v="55.47"/>
    <n v="0"/>
    <n v="0"/>
    <n v="0"/>
    <s v="No Discount"/>
    <n v="55.47"/>
    <s v="No Loss"/>
    <d v="2025-08-06T00:00:00"/>
    <n v="18"/>
    <s v="IN STOCK"/>
    <n v="0"/>
    <m/>
    <b v="0"/>
    <x v="0"/>
    <m/>
  </r>
  <r>
    <s v="FB000752"/>
    <x v="0"/>
    <x v="4"/>
    <x v="0"/>
    <s v="OS"/>
    <s v="XXL"/>
    <s v="White"/>
    <n v="122.53"/>
    <n v="0"/>
    <n v="0"/>
    <n v="0"/>
    <s v="No Discount"/>
    <n v="122.53"/>
    <s v="No Loss"/>
    <d v="2024-09-21T00:00:00"/>
    <n v="25"/>
    <s v="IN STOCK"/>
    <n v="0"/>
    <m/>
    <b v="0"/>
    <x v="0"/>
    <m/>
  </r>
  <r>
    <s v="FB000753"/>
    <x v="2"/>
    <x v="1"/>
    <x v="3"/>
    <s v="XL"/>
    <m/>
    <s v="Beige"/>
    <n v="61.13"/>
    <n v="0"/>
    <n v="0"/>
    <n v="0"/>
    <s v="No Discount"/>
    <n v="61.13"/>
    <s v="No Loss"/>
    <d v="2025-08-06T00:00:00"/>
    <n v="34"/>
    <s v="IN STOCK"/>
    <n v="2.6"/>
    <n v="2.6"/>
    <b v="0"/>
    <x v="0"/>
    <m/>
  </r>
  <r>
    <s v="FB000754"/>
    <x v="0"/>
    <x v="1"/>
    <x v="0"/>
    <s v="OS"/>
    <s v="XS"/>
    <s v="Brown"/>
    <n v="127.59"/>
    <n v="0"/>
    <n v="0"/>
    <n v="0"/>
    <s v="No Discount"/>
    <n v="127.59"/>
    <s v="No Loss"/>
    <d v="2025-05-08T00:00:00"/>
    <n v="1"/>
    <s v="LOW STOCK"/>
    <n v="4.9000000000000004"/>
    <n v="4.9000000000000004"/>
    <b v="0"/>
    <x v="0"/>
    <m/>
  </r>
  <r>
    <s v="FB000755"/>
    <x v="2"/>
    <x v="5"/>
    <x v="3"/>
    <s v="L"/>
    <m/>
    <s v="Navy"/>
    <n v="73.040000000000006"/>
    <n v="0"/>
    <n v="0"/>
    <n v="0"/>
    <s v="No Discount"/>
    <n v="73.040000000000006"/>
    <s v="No Loss"/>
    <d v="2025-08-06T00:00:00"/>
    <n v="44"/>
    <s v="IN STOCK"/>
    <n v="4.2"/>
    <n v="4.2"/>
    <b v="0"/>
    <x v="0"/>
    <m/>
  </r>
  <r>
    <s v="FB000756"/>
    <x v="0"/>
    <x v="1"/>
    <x v="1"/>
    <s v="OS"/>
    <s v="XL"/>
    <s v="Beige"/>
    <n v="129.46"/>
    <n v="0"/>
    <n v="0"/>
    <n v="0"/>
    <s v="No Discount"/>
    <n v="129.46"/>
    <s v="No Loss"/>
    <d v="2025-08-06T00:00:00"/>
    <n v="32"/>
    <s v="IN STOCK"/>
    <n v="4"/>
    <n v="4"/>
    <b v="0"/>
    <x v="0"/>
    <m/>
  </r>
  <r>
    <s v="FB000757"/>
    <x v="2"/>
    <x v="2"/>
    <x v="1"/>
    <s v="S"/>
    <m/>
    <s v="White"/>
    <n v="51.3"/>
    <n v="0"/>
    <n v="0"/>
    <n v="0"/>
    <s v="No Discount"/>
    <n v="51.3"/>
    <s v="No Loss"/>
    <d v="2025-08-06T00:00:00"/>
    <n v="33"/>
    <s v="IN STOCK"/>
    <n v="0"/>
    <m/>
    <b v="0"/>
    <x v="0"/>
    <m/>
  </r>
  <r>
    <s v="FB000758"/>
    <x v="5"/>
    <x v="4"/>
    <x v="0"/>
    <s v="XXL"/>
    <s v="L"/>
    <s v="Gray"/>
    <n v="173"/>
    <n v="0"/>
    <n v="0"/>
    <n v="0"/>
    <s v="No Discount"/>
    <n v="173"/>
    <s v="No Loss"/>
    <d v="2025-04-12T00:00:00"/>
    <n v="13"/>
    <s v="IN STOCK"/>
    <n v="3.9"/>
    <n v="3.9"/>
    <b v="0"/>
    <x v="0"/>
    <m/>
  </r>
  <r>
    <s v="FB000759"/>
    <x v="2"/>
    <x v="1"/>
    <x v="3"/>
    <s v="OS"/>
    <m/>
    <s v="Green"/>
    <n v="70.72"/>
    <n v="0"/>
    <n v="0"/>
    <n v="0"/>
    <s v="No Discount"/>
    <n v="70.72"/>
    <s v="No Loss"/>
    <d v="2025-08-06T00:00:00"/>
    <n v="18"/>
    <s v="IN STOCK"/>
    <n v="2.8"/>
    <n v="2.8"/>
    <b v="0"/>
    <x v="0"/>
    <m/>
  </r>
  <r>
    <s v="FB000760"/>
    <x v="5"/>
    <x v="7"/>
    <x v="3"/>
    <s v="M"/>
    <s v="S"/>
    <s v="Black"/>
    <n v="126.37"/>
    <n v="0"/>
    <n v="0"/>
    <n v="0"/>
    <s v="No Discount"/>
    <n v="126.37"/>
    <s v="No Loss"/>
    <d v="2025-08-06T00:00:00"/>
    <n v="42"/>
    <s v="IN STOCK"/>
    <n v="2"/>
    <n v="2"/>
    <b v="0"/>
    <x v="0"/>
    <m/>
  </r>
  <r>
    <s v="FB000761"/>
    <x v="4"/>
    <x v="0"/>
    <x v="1"/>
    <s v="S"/>
    <s v="XXL"/>
    <s v="Blue"/>
    <n v="84.19"/>
    <n v="9.6000000000000002E-2"/>
    <n v="9.6"/>
    <n v="8.0822400000000005"/>
    <s v="Low Discount"/>
    <n v="76.11"/>
    <s v="Low Loss"/>
    <d v="2025-08-06T00:00:00"/>
    <n v="45"/>
    <s v="IN STOCK"/>
    <n v="2.1"/>
    <n v="2.1"/>
    <b v="0"/>
    <x v="0"/>
    <m/>
  </r>
  <r>
    <s v="FB000762"/>
    <x v="2"/>
    <x v="7"/>
    <x v="3"/>
    <s v="L"/>
    <m/>
    <s v="Pink"/>
    <n v="59.39"/>
    <n v="0.44600000000000001"/>
    <n v="44.6"/>
    <n v="26.487940000000002"/>
    <s v="high Discount"/>
    <n v="32.9"/>
    <s v="High Loss"/>
    <d v="2025-08-06T00:00:00"/>
    <n v="41"/>
    <s v="IN STOCK"/>
    <n v="2.2999999999999998"/>
    <n v="2.2999999999999998"/>
    <b v="1"/>
    <x v="1"/>
    <s v="Color Mismatch"/>
  </r>
  <r>
    <s v="FB000763"/>
    <x v="0"/>
    <x v="3"/>
    <x v="2"/>
    <s v="L"/>
    <s v="M"/>
    <s v="Green"/>
    <n v="195.38"/>
    <n v="3.0000000000000001E-3"/>
    <n v="0.3"/>
    <n v="0.58613999999999999"/>
    <s v="Low Discount"/>
    <n v="194.79"/>
    <s v="Low Loss"/>
    <d v="2025-08-06T00:00:00"/>
    <n v="30"/>
    <s v="IN STOCK"/>
    <n v="2.9"/>
    <n v="2.9"/>
    <b v="0"/>
    <x v="0"/>
    <m/>
  </r>
  <r>
    <s v="FB000764"/>
    <x v="5"/>
    <x v="6"/>
    <x v="0"/>
    <s v="L"/>
    <s v="S"/>
    <s v="White"/>
    <n v="107.64"/>
    <n v="7.4999999999999997E-2"/>
    <n v="7.5"/>
    <n v="8.0730000000000004"/>
    <s v="Low Discount"/>
    <n v="99.57"/>
    <s v="Low Loss"/>
    <d v="2024-09-10T00:00:00"/>
    <n v="21"/>
    <s v="IN STOCK"/>
    <n v="4.5999999999999996"/>
    <n v="4.5999999999999996"/>
    <b v="0"/>
    <x v="0"/>
    <m/>
  </r>
  <r>
    <s v="FB000765"/>
    <x v="3"/>
    <x v="4"/>
    <x v="0"/>
    <s v="XL"/>
    <s v="L"/>
    <s v="Blue"/>
    <n v="63.12"/>
    <n v="0"/>
    <n v="0"/>
    <n v="0"/>
    <s v="No Discount"/>
    <n v="63.12"/>
    <s v="No Loss"/>
    <d v="2024-11-08T00:00:00"/>
    <n v="35"/>
    <s v="IN STOCK"/>
    <n v="2.9"/>
    <n v="2.9"/>
    <b v="0"/>
    <x v="0"/>
    <m/>
  </r>
  <r>
    <s v="FB000766"/>
    <x v="4"/>
    <x v="6"/>
    <x v="2"/>
    <s v="L"/>
    <s v="L"/>
    <s v="Blue"/>
    <n v="58.91"/>
    <n v="0"/>
    <n v="0"/>
    <n v="0"/>
    <s v="No Discount"/>
    <n v="58.91"/>
    <s v="No Loss"/>
    <d v="2025-08-06T00:00:00"/>
    <n v="17"/>
    <s v="IN STOCK"/>
    <n v="2"/>
    <n v="2"/>
    <b v="0"/>
    <x v="0"/>
    <m/>
  </r>
  <r>
    <s v="FB000767"/>
    <x v="4"/>
    <x v="4"/>
    <x v="3"/>
    <s v="S"/>
    <s v="L"/>
    <s v="Green"/>
    <n v="93.27"/>
    <n v="0"/>
    <n v="0"/>
    <n v="0"/>
    <s v="No Discount"/>
    <n v="93.27"/>
    <s v="No Loss"/>
    <d v="2025-08-06T00:00:00"/>
    <n v="18"/>
    <s v="IN STOCK"/>
    <n v="3.7"/>
    <n v="3.7"/>
    <b v="0"/>
    <x v="0"/>
    <m/>
  </r>
  <r>
    <s v="FB000768"/>
    <x v="5"/>
    <x v="7"/>
    <x v="0"/>
    <s v="XS"/>
    <s v="XL"/>
    <s v="Green"/>
    <n v="147.88"/>
    <n v="0.36799999999999999"/>
    <n v="36.799999999999997"/>
    <n v="54.419840000000001"/>
    <s v="high Discount"/>
    <n v="93.46"/>
    <s v="High Loss"/>
    <d v="2024-09-08T00:00:00"/>
    <n v="37"/>
    <s v="IN STOCK"/>
    <n v="3.3"/>
    <n v="3.3"/>
    <b v="0"/>
    <x v="0"/>
    <m/>
  </r>
  <r>
    <s v="FB000769"/>
    <x v="1"/>
    <x v="1"/>
    <x v="2"/>
    <s v="M"/>
    <s v="L"/>
    <s v="Gray"/>
    <n v="30.53"/>
    <n v="0"/>
    <n v="0"/>
    <n v="0"/>
    <s v="No Discount"/>
    <n v="30.53"/>
    <s v="No Loss"/>
    <d v="2025-08-06T00:00:00"/>
    <n v="25"/>
    <s v="IN STOCK"/>
    <n v="2.5"/>
    <n v="2.5"/>
    <b v="0"/>
    <x v="0"/>
    <m/>
  </r>
  <r>
    <s v="FB000770"/>
    <x v="1"/>
    <x v="0"/>
    <x v="2"/>
    <s v="XS"/>
    <s v="S"/>
    <s v="White"/>
    <n v="104.96"/>
    <n v="1.6E-2"/>
    <n v="1.6"/>
    <n v="1.67936"/>
    <s v="Low Discount"/>
    <n v="103.28"/>
    <s v="Low Loss"/>
    <d v="2025-08-06T00:00:00"/>
    <n v="33"/>
    <s v="IN STOCK"/>
    <n v="2"/>
    <n v="2"/>
    <b v="0"/>
    <x v="0"/>
    <m/>
  </r>
  <r>
    <s v="FB000771"/>
    <x v="5"/>
    <x v="4"/>
    <x v="1"/>
    <s v="XS"/>
    <s v="XS"/>
    <s v="Blue"/>
    <n v="75.52"/>
    <n v="0"/>
    <n v="0"/>
    <n v="0"/>
    <s v="No Discount"/>
    <n v="75.52"/>
    <s v="No Loss"/>
    <d v="2025-08-06T00:00:00"/>
    <n v="2"/>
    <s v="LOW STOCK"/>
    <n v="2.8"/>
    <n v="2.8"/>
    <b v="0"/>
    <x v="0"/>
    <m/>
  </r>
  <r>
    <s v="FB000772"/>
    <x v="4"/>
    <x v="6"/>
    <x v="1"/>
    <s v="OS"/>
    <s v="M"/>
    <s v="Red"/>
    <n v="54.7"/>
    <n v="0"/>
    <n v="0"/>
    <n v="0"/>
    <s v="No Discount"/>
    <n v="54.7"/>
    <s v="No Loss"/>
    <d v="2025-08-06T00:00:00"/>
    <n v="18"/>
    <s v="IN STOCK"/>
    <n v="4.2"/>
    <n v="4.2"/>
    <b v="0"/>
    <x v="0"/>
    <m/>
  </r>
  <r>
    <s v="FB000773"/>
    <x v="3"/>
    <x v="5"/>
    <x v="3"/>
    <s v="M"/>
    <s v="XS"/>
    <s v="Black"/>
    <n v="126.25"/>
    <n v="0.25900000000000001"/>
    <n v="25.9"/>
    <n v="32.698750000000004"/>
    <s v="Medium Discount"/>
    <n v="93.55"/>
    <s v="High Loss"/>
    <d v="2025-08-06T00:00:00"/>
    <n v="40"/>
    <s v="IN STOCK"/>
    <n v="1.5"/>
    <n v="1.5"/>
    <b v="1"/>
    <x v="2"/>
    <s v="Size Issue"/>
  </r>
  <r>
    <s v="FB000774"/>
    <x v="3"/>
    <x v="2"/>
    <x v="3"/>
    <s v="XXL"/>
    <s v="XS"/>
    <s v="Blue"/>
    <n v="63.86"/>
    <n v="0.52800000000000002"/>
    <n v="52.8"/>
    <n v="33.71808"/>
    <s v="high Discount"/>
    <n v="30.14"/>
    <s v="High Loss"/>
    <d v="2025-08-06T00:00:00"/>
    <n v="23"/>
    <s v="IN STOCK"/>
    <n v="0"/>
    <m/>
    <b v="0"/>
    <x v="0"/>
    <m/>
  </r>
  <r>
    <s v="FB000775"/>
    <x v="2"/>
    <x v="1"/>
    <x v="1"/>
    <s v="XXL"/>
    <m/>
    <s v="Red"/>
    <n v="75.930000000000007"/>
    <n v="0"/>
    <n v="0"/>
    <n v="0"/>
    <s v="No Discount"/>
    <n v="75.930000000000007"/>
    <s v="No Loss"/>
    <d v="2025-08-06T00:00:00"/>
    <n v="32"/>
    <s v="IN STOCK"/>
    <n v="3.1"/>
    <n v="3.1"/>
    <b v="0"/>
    <x v="0"/>
    <m/>
  </r>
  <r>
    <s v="FB000776"/>
    <x v="1"/>
    <x v="0"/>
    <x v="2"/>
    <s v="S"/>
    <s v="M"/>
    <s v="Brown"/>
    <n v="82.51"/>
    <n v="0.27300000000000002"/>
    <n v="27.3"/>
    <n v="22.525230000000004"/>
    <s v="Medium Discount"/>
    <n v="59.98"/>
    <s v="High Loss"/>
    <d v="2025-08-06T00:00:00"/>
    <n v="9"/>
    <s v="LOW STOCK"/>
    <n v="3.8"/>
    <n v="3.8"/>
    <b v="0"/>
    <x v="0"/>
    <m/>
  </r>
  <r>
    <s v="FB000777"/>
    <x v="4"/>
    <x v="2"/>
    <x v="2"/>
    <s v="XS"/>
    <s v="XXL"/>
    <s v="Green"/>
    <n v="46.02"/>
    <n v="0"/>
    <n v="0"/>
    <n v="0"/>
    <s v="No Discount"/>
    <n v="46.02"/>
    <s v="No Loss"/>
    <d v="2025-08-06T00:00:00"/>
    <n v="21"/>
    <s v="IN STOCK"/>
    <n v="1.1000000000000001"/>
    <n v="1.1000000000000001"/>
    <b v="0"/>
    <x v="0"/>
    <m/>
  </r>
  <r>
    <s v="FB000778"/>
    <x v="5"/>
    <x v="3"/>
    <x v="1"/>
    <s v="XS"/>
    <s v="XXL"/>
    <s v="Brown"/>
    <n v="125.67"/>
    <n v="0.45500000000000002"/>
    <n v="45.5"/>
    <n v="57.179850000000002"/>
    <s v="high Discount"/>
    <n v="68.489999999999995"/>
    <s v="High Loss"/>
    <d v="2025-08-06T00:00:00"/>
    <n v="27"/>
    <s v="IN STOCK"/>
    <n v="1.6"/>
    <n v="1.6"/>
    <b v="0"/>
    <x v="0"/>
    <m/>
  </r>
  <r>
    <s v="FB000779"/>
    <x v="3"/>
    <x v="3"/>
    <x v="1"/>
    <s v="M"/>
    <s v="S"/>
    <s v="Red"/>
    <n v="65.61"/>
    <n v="0.50700000000000001"/>
    <n v="50.7"/>
    <n v="33.264270000000003"/>
    <s v="high Discount"/>
    <n v="32.35"/>
    <s v="High Loss"/>
    <d v="2025-08-06T00:00:00"/>
    <n v="23"/>
    <s v="IN STOCK"/>
    <n v="1.1000000000000001"/>
    <n v="1.1000000000000001"/>
    <b v="0"/>
    <x v="0"/>
    <m/>
  </r>
  <r>
    <s v="FB000780"/>
    <x v="5"/>
    <x v="2"/>
    <x v="3"/>
    <s v="OS"/>
    <s v="XS"/>
    <s v="Beige"/>
    <n v="91.61"/>
    <n v="0"/>
    <n v="0"/>
    <n v="0"/>
    <s v="No Discount"/>
    <n v="91.61"/>
    <s v="No Loss"/>
    <d v="2025-08-06T00:00:00"/>
    <n v="31"/>
    <s v="IN STOCK"/>
    <n v="1.4"/>
    <n v="1.4"/>
    <b v="0"/>
    <x v="0"/>
    <m/>
  </r>
  <r>
    <s v="FB000781"/>
    <x v="0"/>
    <x v="4"/>
    <x v="3"/>
    <s v="OS"/>
    <s v="XS"/>
    <s v="Pink"/>
    <n v="162.78"/>
    <n v="0"/>
    <n v="0"/>
    <n v="0"/>
    <s v="No Discount"/>
    <n v="162.78"/>
    <s v="No Loss"/>
    <d v="2025-08-06T00:00:00"/>
    <n v="0"/>
    <s v="NO STOCK"/>
    <n v="0"/>
    <m/>
    <b v="0"/>
    <x v="0"/>
    <m/>
  </r>
  <r>
    <s v="FB000782"/>
    <x v="0"/>
    <x v="3"/>
    <x v="1"/>
    <s v="S"/>
    <s v="M"/>
    <s v="Gray"/>
    <n v="134.35"/>
    <n v="0.35299999999999998"/>
    <n v="35.299999999999997"/>
    <n v="47.425549999999994"/>
    <s v="high Discount"/>
    <n v="86.92"/>
    <s v="High Loss"/>
    <d v="2025-08-06T00:00:00"/>
    <n v="36"/>
    <s v="IN STOCK"/>
    <n v="0"/>
    <m/>
    <b v="0"/>
    <x v="0"/>
    <m/>
  </r>
  <r>
    <s v="FB000783"/>
    <x v="4"/>
    <x v="3"/>
    <x v="0"/>
    <s v="XL"/>
    <m/>
    <s v="Gray"/>
    <n v="77.739999999999995"/>
    <n v="0.38799999999999996"/>
    <n v="38.799999999999997"/>
    <n v="30.163119999999996"/>
    <s v="high Discount"/>
    <n v="47.58"/>
    <s v="High Loss"/>
    <d v="2025-07-11T00:00:00"/>
    <n v="23"/>
    <s v="IN STOCK"/>
    <n v="4.3"/>
    <n v="4.3"/>
    <b v="0"/>
    <x v="0"/>
    <m/>
  </r>
  <r>
    <s v="FB000784"/>
    <x v="2"/>
    <x v="6"/>
    <x v="3"/>
    <s v="S"/>
    <m/>
    <s v="Brown"/>
    <n v="49.33"/>
    <n v="0.59899999999999998"/>
    <n v="59.9"/>
    <n v="29.548669999999998"/>
    <s v="high Discount"/>
    <n v="19.78"/>
    <s v="High Loss"/>
    <d v="2025-08-06T00:00:00"/>
    <n v="47"/>
    <s v="IN STOCK"/>
    <n v="0"/>
    <m/>
    <b v="0"/>
    <x v="0"/>
    <m/>
  </r>
  <r>
    <s v="FB000785"/>
    <x v="0"/>
    <x v="7"/>
    <x v="3"/>
    <s v="S"/>
    <s v="S"/>
    <s v="Gray"/>
    <n v="231.52"/>
    <n v="0.17300000000000001"/>
    <n v="17.3"/>
    <n v="40.052960000000006"/>
    <s v="Low Discount"/>
    <n v="191.47"/>
    <s v="High Loss"/>
    <d v="2025-08-06T00:00:00"/>
    <n v="49"/>
    <s v="IN STOCK"/>
    <n v="2.1"/>
    <n v="2.1"/>
    <b v="0"/>
    <x v="0"/>
    <m/>
  </r>
  <r>
    <s v="FB000786"/>
    <x v="0"/>
    <x v="6"/>
    <x v="1"/>
    <s v="XL"/>
    <s v="XL"/>
    <s v="White"/>
    <n v="140.1"/>
    <n v="0"/>
    <n v="0"/>
    <n v="0"/>
    <s v="No Discount"/>
    <n v="140.1"/>
    <s v="No Loss"/>
    <d v="2025-08-06T00:00:00"/>
    <n v="14"/>
    <s v="IN STOCK"/>
    <n v="3.9"/>
    <n v="3.9"/>
    <b v="0"/>
    <x v="0"/>
    <m/>
  </r>
  <r>
    <s v="FB000787"/>
    <x v="5"/>
    <x v="5"/>
    <x v="3"/>
    <s v="S"/>
    <s v="S"/>
    <s v="Pink"/>
    <n v="117.38"/>
    <n v="0.27800000000000002"/>
    <n v="27.8"/>
    <n v="32.631640000000004"/>
    <s v="Medium Discount"/>
    <n v="84.75"/>
    <s v="High Loss"/>
    <d v="2025-08-06T00:00:00"/>
    <n v="34"/>
    <s v="IN STOCK"/>
    <n v="2.8"/>
    <n v="2.8"/>
    <b v="1"/>
    <x v="4"/>
    <s v="Quality Issue"/>
  </r>
  <r>
    <s v="FB000788"/>
    <x v="1"/>
    <x v="5"/>
    <x v="0"/>
    <s v="XL"/>
    <s v="S"/>
    <s v="Purple"/>
    <n v="83.98"/>
    <n v="0"/>
    <n v="0"/>
    <n v="0"/>
    <s v="No Discount"/>
    <n v="83.98"/>
    <s v="No Loss"/>
    <d v="2024-08-29T00:00:00"/>
    <n v="23"/>
    <s v="IN STOCK"/>
    <n v="1.9"/>
    <n v="1.9"/>
    <b v="0"/>
    <x v="0"/>
    <m/>
  </r>
  <r>
    <s v="FB000789"/>
    <x v="5"/>
    <x v="4"/>
    <x v="0"/>
    <s v="XS"/>
    <s v="XL"/>
    <s v="Navy"/>
    <n v="111.67"/>
    <n v="0.53500000000000003"/>
    <n v="53.5"/>
    <n v="59.743450000000003"/>
    <s v="high Discount"/>
    <n v="51.93"/>
    <s v="High Loss"/>
    <d v="2025-02-05T00:00:00"/>
    <n v="19"/>
    <s v="IN STOCK"/>
    <n v="0"/>
    <m/>
    <b v="0"/>
    <x v="0"/>
    <m/>
  </r>
  <r>
    <s v="FB000790"/>
    <x v="4"/>
    <x v="4"/>
    <x v="3"/>
    <s v="M"/>
    <s v="S"/>
    <s v="White"/>
    <n v="25.16"/>
    <n v="0"/>
    <n v="0"/>
    <n v="0"/>
    <s v="No Discount"/>
    <n v="25.16"/>
    <s v="No Loss"/>
    <d v="2025-08-06T00:00:00"/>
    <n v="37"/>
    <s v="IN STOCK"/>
    <n v="2.8"/>
    <n v="2.8"/>
    <b v="0"/>
    <x v="0"/>
    <m/>
  </r>
  <r>
    <s v="FB000791"/>
    <x v="0"/>
    <x v="2"/>
    <x v="2"/>
    <s v="S"/>
    <s v="XL"/>
    <s v="Blue"/>
    <n v="175.82"/>
    <n v="0.23"/>
    <n v="23"/>
    <n v="40.438600000000001"/>
    <s v="Medium Discount"/>
    <n v="135.38"/>
    <s v="High Loss"/>
    <d v="2025-08-06T00:00:00"/>
    <n v="1"/>
    <s v="LOW STOCK"/>
    <n v="3.7"/>
    <n v="3.7"/>
    <b v="0"/>
    <x v="0"/>
    <m/>
  </r>
  <r>
    <s v="FB000792"/>
    <x v="1"/>
    <x v="3"/>
    <x v="3"/>
    <s v="XXL"/>
    <s v="XS"/>
    <s v="Green"/>
    <n v="53.25"/>
    <n v="0.375"/>
    <n v="37.5"/>
    <n v="19.96875"/>
    <s v="high Discount"/>
    <n v="33.28"/>
    <s v="Medium Loss"/>
    <d v="2025-08-06T00:00:00"/>
    <n v="33"/>
    <s v="IN STOCK"/>
    <n v="4.3"/>
    <n v="4.3"/>
    <b v="0"/>
    <x v="0"/>
    <m/>
  </r>
  <r>
    <s v="FB000793"/>
    <x v="0"/>
    <x v="2"/>
    <x v="2"/>
    <s v="OS"/>
    <s v="M"/>
    <s v="Purple"/>
    <n v="215.19"/>
    <n v="0.43"/>
    <n v="43"/>
    <n v="92.531700000000001"/>
    <s v="high Discount"/>
    <n v="122.66"/>
    <s v="High Loss"/>
    <d v="2025-08-06T00:00:00"/>
    <n v="48"/>
    <s v="IN STOCK"/>
    <n v="2.5"/>
    <n v="2.5"/>
    <b v="0"/>
    <x v="0"/>
    <m/>
  </r>
  <r>
    <s v="FB000794"/>
    <x v="4"/>
    <x v="0"/>
    <x v="3"/>
    <s v="S"/>
    <s v="S"/>
    <s v="Pink"/>
    <n v="78.41"/>
    <n v="0.20699999999999999"/>
    <n v="20.7"/>
    <n v="16.230869999999999"/>
    <s v="Medium Discount"/>
    <n v="62.18"/>
    <s v="Medium Loss"/>
    <d v="2025-08-06T00:00:00"/>
    <n v="9"/>
    <s v="LOW STOCK"/>
    <n v="4.4000000000000004"/>
    <n v="4.4000000000000004"/>
    <b v="0"/>
    <x v="0"/>
    <m/>
  </r>
  <r>
    <s v="FB000795"/>
    <x v="3"/>
    <x v="0"/>
    <x v="3"/>
    <s v="XXL"/>
    <s v="XXL"/>
    <s v="Pink"/>
    <n v="173.15"/>
    <n v="0"/>
    <n v="0"/>
    <n v="0"/>
    <s v="No Discount"/>
    <n v="173.15"/>
    <s v="No Loss"/>
    <d v="2025-08-06T00:00:00"/>
    <n v="45"/>
    <s v="IN STOCK"/>
    <n v="2.2000000000000002"/>
    <n v="2.2000000000000002"/>
    <b v="0"/>
    <x v="0"/>
    <m/>
  </r>
  <r>
    <s v="FB000796"/>
    <x v="2"/>
    <x v="0"/>
    <x v="2"/>
    <s v="XXL"/>
    <m/>
    <s v="Blue"/>
    <n v="16.84"/>
    <n v="0.36599999999999999"/>
    <n v="36.6"/>
    <n v="6.1634399999999996"/>
    <s v="high Discount"/>
    <n v="10.68"/>
    <s v="Low Loss"/>
    <d v="2025-08-06T00:00:00"/>
    <n v="34"/>
    <s v="IN STOCK"/>
    <n v="1.7"/>
    <n v="1.7"/>
    <b v="0"/>
    <x v="0"/>
    <m/>
  </r>
  <r>
    <s v="FB000797"/>
    <x v="0"/>
    <x v="7"/>
    <x v="3"/>
    <s v="XL"/>
    <s v="S"/>
    <s v="Purple"/>
    <n v="128.6"/>
    <n v="0"/>
    <n v="0"/>
    <n v="0"/>
    <s v="No Discount"/>
    <n v="128.6"/>
    <s v="No Loss"/>
    <d v="2025-08-06T00:00:00"/>
    <n v="11"/>
    <s v="IN STOCK"/>
    <n v="2.2999999999999998"/>
    <n v="2.2999999999999998"/>
    <b v="0"/>
    <x v="0"/>
    <m/>
  </r>
  <r>
    <s v="FB000798"/>
    <x v="0"/>
    <x v="5"/>
    <x v="0"/>
    <s v="XL"/>
    <s v="XXL"/>
    <s v="Green"/>
    <n v="131.74"/>
    <n v="0"/>
    <n v="0"/>
    <n v="0"/>
    <s v="No Discount"/>
    <n v="131.74"/>
    <s v="No Loss"/>
    <d v="2024-09-13T00:00:00"/>
    <n v="46"/>
    <s v="IN STOCK"/>
    <n v="4.5999999999999996"/>
    <n v="4.5999999999999996"/>
    <b v="0"/>
    <x v="0"/>
    <m/>
  </r>
  <r>
    <s v="FB000799"/>
    <x v="4"/>
    <x v="7"/>
    <x v="3"/>
    <s v="XL"/>
    <s v="XXL"/>
    <s v="White"/>
    <n v="28.15"/>
    <n v="0.127"/>
    <n v="12.7"/>
    <n v="3.5750500000000001"/>
    <s v="Low Discount"/>
    <n v="24.57"/>
    <s v="Low Loss"/>
    <d v="2025-08-06T00:00:00"/>
    <n v="13"/>
    <s v="IN STOCK"/>
    <n v="3.9"/>
    <n v="3.9"/>
    <b v="0"/>
    <x v="0"/>
    <m/>
  </r>
  <r>
    <s v="FB000800"/>
    <x v="0"/>
    <x v="7"/>
    <x v="1"/>
    <s v="S"/>
    <s v="XL"/>
    <s v="Red"/>
    <n v="165.1"/>
    <n v="0.58399999999999996"/>
    <n v="58.4"/>
    <n v="96.418399999999991"/>
    <s v="high Discount"/>
    <n v="68.680000000000007"/>
    <s v="High Loss"/>
    <d v="2025-08-06T00:00:00"/>
    <n v="29"/>
    <s v="IN STOCK"/>
    <n v="1.2"/>
    <n v="1.2"/>
    <b v="0"/>
    <x v="0"/>
    <m/>
  </r>
  <r>
    <s v="FB000801"/>
    <x v="1"/>
    <x v="3"/>
    <x v="0"/>
    <s v="OS"/>
    <s v="XL"/>
    <s v="Gray"/>
    <n v="49.62"/>
    <n v="8.0000000000000002E-3"/>
    <n v="0.8"/>
    <n v="0.39695999999999998"/>
    <s v="Low Discount"/>
    <n v="49.22"/>
    <s v="Low Loss"/>
    <d v="2024-11-17T00:00:00"/>
    <n v="22"/>
    <s v="IN STOCK"/>
    <n v="2.2999999999999998"/>
    <n v="2.2999999999999998"/>
    <b v="0"/>
    <x v="0"/>
    <m/>
  </r>
  <r>
    <s v="FB000802"/>
    <x v="1"/>
    <x v="2"/>
    <x v="2"/>
    <s v="S"/>
    <s v="XL"/>
    <s v="Black"/>
    <n v="98.52"/>
    <n v="0.18899999999999997"/>
    <n v="18.899999999999999"/>
    <n v="18.620279999999998"/>
    <s v="Low Discount"/>
    <n v="79.900000000000006"/>
    <s v="Medium Loss"/>
    <d v="2025-08-06T00:00:00"/>
    <n v="37"/>
    <s v="IN STOCK"/>
    <n v="4.0999999999999996"/>
    <n v="4.0999999999999996"/>
    <b v="1"/>
    <x v="6"/>
    <s v="Wrong Item"/>
  </r>
  <r>
    <s v="FB000803"/>
    <x v="3"/>
    <x v="3"/>
    <x v="2"/>
    <s v="OS"/>
    <s v="S"/>
    <s v="Green"/>
    <n v="94.19"/>
    <n v="0.308"/>
    <n v="30.8"/>
    <n v="29.01052"/>
    <s v="high Discount"/>
    <n v="65.180000000000007"/>
    <s v="High Loss"/>
    <d v="2025-08-06T00:00:00"/>
    <n v="31"/>
    <s v="IN STOCK"/>
    <n v="1.4"/>
    <n v="1.4"/>
    <b v="0"/>
    <x v="0"/>
    <m/>
  </r>
  <r>
    <s v="FB000804"/>
    <x v="2"/>
    <x v="7"/>
    <x v="1"/>
    <s v="XS"/>
    <m/>
    <s v="Gray"/>
    <n v="23.5"/>
    <n v="0"/>
    <n v="0"/>
    <n v="0"/>
    <s v="No Discount"/>
    <n v="23.5"/>
    <s v="No Loss"/>
    <d v="2025-08-06T00:00:00"/>
    <n v="14"/>
    <s v="IN STOCK"/>
    <n v="3.9"/>
    <n v="3.9"/>
    <b v="1"/>
    <x v="4"/>
    <s v="Quality Issue"/>
  </r>
  <r>
    <s v="FB000805"/>
    <x v="4"/>
    <x v="0"/>
    <x v="2"/>
    <s v="M"/>
    <s v="S"/>
    <s v="Beige"/>
    <n v="109.36"/>
    <n v="0"/>
    <n v="0"/>
    <n v="0"/>
    <s v="No Discount"/>
    <n v="109.36"/>
    <s v="No Loss"/>
    <d v="2025-08-06T00:00:00"/>
    <n v="0"/>
    <s v="NO STOCK"/>
    <n v="1.1000000000000001"/>
    <n v="1.1000000000000001"/>
    <b v="0"/>
    <x v="0"/>
    <m/>
  </r>
  <r>
    <s v="FB000806"/>
    <x v="2"/>
    <x v="4"/>
    <x v="2"/>
    <s v="M"/>
    <m/>
    <s v="Blue"/>
    <n v="69.73"/>
    <n v="0"/>
    <n v="0"/>
    <n v="0"/>
    <s v="No Discount"/>
    <n v="69.73"/>
    <s v="No Loss"/>
    <d v="2025-08-06T00:00:00"/>
    <n v="7"/>
    <s v="LOW STOCK"/>
    <n v="1.1000000000000001"/>
    <n v="1.1000000000000001"/>
    <b v="1"/>
    <x v="1"/>
    <s v="Color Mismatch"/>
  </r>
  <r>
    <s v="FB000807"/>
    <x v="3"/>
    <x v="4"/>
    <x v="3"/>
    <s v="S"/>
    <s v="XS"/>
    <s v="Green"/>
    <n v="199.03"/>
    <n v="0.57299999999999995"/>
    <n v="57.3"/>
    <n v="114.04418999999999"/>
    <s v="high Discount"/>
    <n v="84.99"/>
    <s v="High Loss"/>
    <d v="2025-08-06T00:00:00"/>
    <n v="37"/>
    <s v="IN STOCK"/>
    <n v="3.4"/>
    <n v="3.4"/>
    <b v="0"/>
    <x v="0"/>
    <m/>
  </r>
  <r>
    <s v="FB000808"/>
    <x v="4"/>
    <x v="6"/>
    <x v="0"/>
    <s v="XL"/>
    <s v="M"/>
    <s v="White"/>
    <n v="82.32"/>
    <n v="0.56700000000000006"/>
    <n v="56.7"/>
    <n v="46.675440000000002"/>
    <s v="high Discount"/>
    <n v="35.64"/>
    <s v="High Loss"/>
    <d v="2024-12-23T00:00:00"/>
    <n v="41"/>
    <s v="IN STOCK"/>
    <n v="0"/>
    <m/>
    <b v="0"/>
    <x v="0"/>
    <m/>
  </r>
  <r>
    <s v="FB000809"/>
    <x v="4"/>
    <x v="1"/>
    <x v="0"/>
    <s v="XL"/>
    <s v="M"/>
    <s v="Navy"/>
    <n v="52.42"/>
    <n v="9.9000000000000005E-2"/>
    <n v="9.9"/>
    <n v="5.1895800000000003"/>
    <s v="Low Discount"/>
    <n v="47.23"/>
    <s v="Low Loss"/>
    <d v="2024-10-16T00:00:00"/>
    <n v="42"/>
    <s v="IN STOCK"/>
    <n v="3.5"/>
    <n v="3.5"/>
    <b v="0"/>
    <x v="0"/>
    <m/>
  </r>
  <r>
    <s v="FB000810"/>
    <x v="0"/>
    <x v="5"/>
    <x v="2"/>
    <s v="XXL"/>
    <s v="S"/>
    <s v="White"/>
    <n v="180.49"/>
    <n v="0"/>
    <n v="0"/>
    <n v="0"/>
    <s v="No Discount"/>
    <n v="180.49"/>
    <s v="No Loss"/>
    <d v="2025-08-06T00:00:00"/>
    <n v="18"/>
    <s v="IN STOCK"/>
    <n v="2.5"/>
    <n v="2.5"/>
    <b v="1"/>
    <x v="6"/>
    <s v="Wrong Item"/>
  </r>
  <r>
    <s v="FB000811"/>
    <x v="5"/>
    <x v="5"/>
    <x v="2"/>
    <s v="M"/>
    <s v="XL"/>
    <s v="White"/>
    <n v="63.02"/>
    <n v="0"/>
    <n v="0"/>
    <n v="0"/>
    <s v="No Discount"/>
    <n v="63.02"/>
    <s v="No Loss"/>
    <d v="2025-08-06T00:00:00"/>
    <n v="37"/>
    <s v="IN STOCK"/>
    <n v="2.5"/>
    <n v="2.5"/>
    <b v="0"/>
    <x v="0"/>
    <m/>
  </r>
  <r>
    <s v="FB000812"/>
    <x v="1"/>
    <x v="3"/>
    <x v="0"/>
    <s v="L"/>
    <s v="XL"/>
    <s v="Red"/>
    <n v="97.05"/>
    <n v="0"/>
    <n v="0"/>
    <n v="0"/>
    <s v="No Discount"/>
    <n v="97.05"/>
    <s v="No Loss"/>
    <d v="2024-12-25T00:00:00"/>
    <n v="9"/>
    <s v="LOW STOCK"/>
    <n v="0"/>
    <m/>
    <b v="0"/>
    <x v="0"/>
    <m/>
  </r>
  <r>
    <s v="FB000813"/>
    <x v="4"/>
    <x v="0"/>
    <x v="1"/>
    <s v="XS"/>
    <s v="XXL"/>
    <s v="Pink"/>
    <n v="79.62"/>
    <n v="0"/>
    <n v="0"/>
    <n v="0"/>
    <s v="No Discount"/>
    <n v="79.62"/>
    <s v="No Loss"/>
    <d v="2025-08-06T00:00:00"/>
    <n v="37"/>
    <s v="IN STOCK"/>
    <n v="4.0999999999999996"/>
    <n v="4.0999999999999996"/>
    <b v="0"/>
    <x v="0"/>
    <m/>
  </r>
  <r>
    <s v="FB000814"/>
    <x v="5"/>
    <x v="0"/>
    <x v="1"/>
    <s v="XS"/>
    <s v="M"/>
    <s v="Red"/>
    <n v="82.5"/>
    <n v="0"/>
    <n v="0"/>
    <n v="0"/>
    <s v="No Discount"/>
    <n v="82.5"/>
    <s v="No Loss"/>
    <d v="2025-08-06T00:00:00"/>
    <n v="0"/>
    <s v="NO STOCK"/>
    <n v="0"/>
    <m/>
    <b v="0"/>
    <x v="0"/>
    <m/>
  </r>
  <r>
    <s v="FB000815"/>
    <x v="4"/>
    <x v="5"/>
    <x v="0"/>
    <s v="M"/>
    <s v="L"/>
    <s v="Purple"/>
    <n v="117.18"/>
    <n v="0.13699999999999998"/>
    <n v="13.7"/>
    <n v="16.053660000000001"/>
    <s v="Low Discount"/>
    <n v="101.13"/>
    <s v="Medium Loss"/>
    <d v="2025-08-02T00:00:00"/>
    <n v="5"/>
    <s v="LOW STOCK"/>
    <n v="4.8"/>
    <n v="4.8"/>
    <b v="0"/>
    <x v="0"/>
    <m/>
  </r>
  <r>
    <s v="FB000816"/>
    <x v="0"/>
    <x v="5"/>
    <x v="0"/>
    <s v="OS"/>
    <s v="XS"/>
    <s v="Brown"/>
    <n v="174.05"/>
    <n v="0"/>
    <n v="0"/>
    <n v="0"/>
    <s v="No Discount"/>
    <n v="174.05"/>
    <s v="No Loss"/>
    <d v="2025-04-13T00:00:00"/>
    <n v="9"/>
    <s v="LOW STOCK"/>
    <n v="0"/>
    <m/>
    <b v="0"/>
    <x v="0"/>
    <m/>
  </r>
  <r>
    <s v="FB000817"/>
    <x v="4"/>
    <x v="7"/>
    <x v="0"/>
    <s v="L"/>
    <s v="XS"/>
    <s v="Brown"/>
    <n v="58.29"/>
    <n v="0"/>
    <n v="0"/>
    <n v="0"/>
    <s v="No Discount"/>
    <n v="58.29"/>
    <s v="No Loss"/>
    <d v="2025-01-07T00:00:00"/>
    <n v="22"/>
    <s v="IN STOCK"/>
    <n v="2.2999999999999998"/>
    <n v="2.2999999999999998"/>
    <b v="0"/>
    <x v="0"/>
    <m/>
  </r>
  <r>
    <s v="FB000818"/>
    <x v="4"/>
    <x v="4"/>
    <x v="3"/>
    <s v="XXL"/>
    <s v="M"/>
    <s v="White"/>
    <n v="61.42"/>
    <n v="0.57499999999999996"/>
    <n v="57.5"/>
    <n v="35.316499999999998"/>
    <s v="high Discount"/>
    <n v="26.1"/>
    <s v="High Loss"/>
    <d v="2025-08-06T00:00:00"/>
    <n v="3"/>
    <s v="LOW STOCK"/>
    <n v="4.8"/>
    <n v="4.8"/>
    <b v="0"/>
    <x v="0"/>
    <m/>
  </r>
  <r>
    <s v="FB000819"/>
    <x v="2"/>
    <x v="0"/>
    <x v="1"/>
    <s v="OS"/>
    <m/>
    <s v="Pink"/>
    <n v="20.239999999999998"/>
    <n v="0"/>
    <n v="0"/>
    <n v="0"/>
    <s v="No Discount"/>
    <n v="20.239999999999998"/>
    <s v="No Loss"/>
    <d v="2025-08-06T00:00:00"/>
    <n v="20"/>
    <s v="IN STOCK"/>
    <n v="4.0999999999999996"/>
    <n v="4.0999999999999996"/>
    <b v="0"/>
    <x v="0"/>
    <m/>
  </r>
  <r>
    <s v="FB000820"/>
    <x v="4"/>
    <x v="0"/>
    <x v="2"/>
    <s v="S"/>
    <s v="L"/>
    <s v="Red"/>
    <n v="88.58"/>
    <n v="0"/>
    <n v="0"/>
    <n v="0"/>
    <s v="No Discount"/>
    <n v="88.58"/>
    <s v="No Loss"/>
    <d v="2025-08-06T00:00:00"/>
    <n v="50"/>
    <s v="IN STOCK"/>
    <n v="0"/>
    <m/>
    <b v="0"/>
    <x v="0"/>
    <m/>
  </r>
  <r>
    <s v="FB000821"/>
    <x v="4"/>
    <x v="5"/>
    <x v="1"/>
    <s v="XL"/>
    <s v="XXL"/>
    <s v="Purple"/>
    <n v="67.92"/>
    <n v="0"/>
    <n v="0"/>
    <n v="0"/>
    <s v="No Discount"/>
    <n v="67.92"/>
    <s v="No Loss"/>
    <d v="2025-08-06T00:00:00"/>
    <n v="23"/>
    <s v="IN STOCK"/>
    <n v="1.8"/>
    <n v="1.8"/>
    <b v="1"/>
    <x v="2"/>
    <s v="Size Issue"/>
  </r>
  <r>
    <s v="FB000822"/>
    <x v="2"/>
    <x v="5"/>
    <x v="2"/>
    <s v="L"/>
    <m/>
    <s v="White"/>
    <n v="25.39"/>
    <n v="0"/>
    <n v="0"/>
    <n v="0"/>
    <s v="No Discount"/>
    <n v="25.39"/>
    <s v="No Loss"/>
    <d v="2025-08-06T00:00:00"/>
    <n v="42"/>
    <s v="IN STOCK"/>
    <n v="1.8"/>
    <n v="1.8"/>
    <b v="0"/>
    <x v="0"/>
    <m/>
  </r>
  <r>
    <s v="FB000823"/>
    <x v="5"/>
    <x v="7"/>
    <x v="1"/>
    <s v="OS"/>
    <s v="S"/>
    <s v="Black"/>
    <n v="115.89"/>
    <n v="0.39399999999999996"/>
    <n v="39.4"/>
    <n v="45.660659999999993"/>
    <s v="high Discount"/>
    <n v="70.23"/>
    <s v="High Loss"/>
    <d v="2025-08-06T00:00:00"/>
    <n v="14"/>
    <s v="IN STOCK"/>
    <n v="3.8"/>
    <n v="3.8"/>
    <b v="1"/>
    <x v="3"/>
    <s v="Damaged"/>
  </r>
  <r>
    <s v="FB000824"/>
    <x v="4"/>
    <x v="7"/>
    <x v="3"/>
    <s v="S"/>
    <s v="XL"/>
    <s v="Blue"/>
    <n v="103.94"/>
    <n v="0.161"/>
    <n v="16.100000000000001"/>
    <n v="16.73434"/>
    <s v="Low Discount"/>
    <n v="87.21"/>
    <s v="Medium Loss"/>
    <d v="2025-08-06T00:00:00"/>
    <n v="6"/>
    <s v="LOW STOCK"/>
    <n v="4.9000000000000004"/>
    <n v="4.9000000000000004"/>
    <b v="1"/>
    <x v="5"/>
    <s v="Changed Mind"/>
  </r>
  <r>
    <s v="FB000825"/>
    <x v="3"/>
    <x v="6"/>
    <x v="1"/>
    <s v="XXL"/>
    <s v="L"/>
    <s v="Red"/>
    <n v="94.72"/>
    <n v="0.20499999999999999"/>
    <n v="20.5"/>
    <n v="19.4176"/>
    <s v="Medium Discount"/>
    <n v="75.3"/>
    <s v="Medium Loss"/>
    <d v="2025-08-06T00:00:00"/>
    <n v="24"/>
    <s v="IN STOCK"/>
    <n v="3.6"/>
    <n v="3.6"/>
    <b v="0"/>
    <x v="0"/>
    <m/>
  </r>
  <r>
    <s v="FB000826"/>
    <x v="2"/>
    <x v="5"/>
    <x v="2"/>
    <s v="XL"/>
    <m/>
    <s v="Pink"/>
    <n v="23.28"/>
    <n v="0"/>
    <n v="0"/>
    <n v="0"/>
    <s v="No Discount"/>
    <n v="23.28"/>
    <s v="No Loss"/>
    <d v="2025-08-06T00:00:00"/>
    <n v="44"/>
    <s v="IN STOCK"/>
    <n v="3.1"/>
    <n v="3.1"/>
    <b v="1"/>
    <x v="4"/>
    <s v="Quality Issue"/>
  </r>
  <r>
    <s v="FB000827"/>
    <x v="1"/>
    <x v="6"/>
    <x v="3"/>
    <s v="OS"/>
    <s v="S"/>
    <s v="Pink"/>
    <n v="90.73"/>
    <n v="0"/>
    <n v="0"/>
    <n v="0"/>
    <s v="No Discount"/>
    <n v="90.73"/>
    <s v="No Loss"/>
    <d v="2025-08-06T00:00:00"/>
    <n v="14"/>
    <s v="IN STOCK"/>
    <n v="1.1000000000000001"/>
    <n v="1.1000000000000001"/>
    <b v="0"/>
    <x v="0"/>
    <m/>
  </r>
  <r>
    <s v="FB000828"/>
    <x v="4"/>
    <x v="4"/>
    <x v="2"/>
    <s v="OS"/>
    <s v="XXL"/>
    <s v="Green"/>
    <n v="25.74"/>
    <n v="0"/>
    <n v="0"/>
    <n v="0"/>
    <s v="No Discount"/>
    <n v="25.74"/>
    <s v="No Loss"/>
    <d v="2025-08-06T00:00:00"/>
    <n v="33"/>
    <s v="IN STOCK"/>
    <n v="1.1000000000000001"/>
    <n v="1.1000000000000001"/>
    <b v="1"/>
    <x v="1"/>
    <s v="Color Mismatch"/>
  </r>
  <r>
    <s v="FB000829"/>
    <x v="3"/>
    <x v="5"/>
    <x v="0"/>
    <s v="XXL"/>
    <s v="XL"/>
    <s v="Gray"/>
    <n v="162.97"/>
    <n v="0"/>
    <n v="0"/>
    <n v="0"/>
    <s v="No Discount"/>
    <n v="162.97"/>
    <s v="No Loss"/>
    <d v="2024-11-22T00:00:00"/>
    <n v="47"/>
    <s v="IN STOCK"/>
    <n v="2.2000000000000002"/>
    <n v="2.2000000000000002"/>
    <b v="1"/>
    <x v="6"/>
    <s v="Wrong Item"/>
  </r>
  <r>
    <s v="FB000830"/>
    <x v="2"/>
    <x v="4"/>
    <x v="1"/>
    <s v="L"/>
    <m/>
    <s v="Black"/>
    <n v="50.33"/>
    <n v="8.6999999999999994E-2"/>
    <n v="8.6999999999999993"/>
    <n v="4.3787099999999999"/>
    <s v="Low Discount"/>
    <n v="45.95"/>
    <s v="Low Loss"/>
    <d v="2025-08-06T00:00:00"/>
    <n v="14"/>
    <s v="IN STOCK"/>
    <n v="1.3"/>
    <n v="1.3"/>
    <b v="0"/>
    <x v="0"/>
    <m/>
  </r>
  <r>
    <s v="FB000831"/>
    <x v="3"/>
    <x v="1"/>
    <x v="0"/>
    <s v="S"/>
    <m/>
    <s v="Pink"/>
    <n v="60.38"/>
    <n v="0"/>
    <n v="0"/>
    <n v="0"/>
    <s v="No Discount"/>
    <n v="60.38"/>
    <s v="No Loss"/>
    <d v="2025-04-29T00:00:00"/>
    <n v="0"/>
    <s v="NO STOCK"/>
    <n v="0"/>
    <m/>
    <b v="0"/>
    <x v="0"/>
    <m/>
  </r>
  <r>
    <s v="FB000832"/>
    <x v="1"/>
    <x v="1"/>
    <x v="3"/>
    <s v="XS"/>
    <s v="XXL"/>
    <s v="Black"/>
    <n v="103.65"/>
    <n v="0"/>
    <n v="0"/>
    <n v="0"/>
    <s v="No Discount"/>
    <n v="103.65"/>
    <s v="No Loss"/>
    <d v="2025-08-06T00:00:00"/>
    <n v="29"/>
    <s v="IN STOCK"/>
    <n v="3.7"/>
    <n v="3.7"/>
    <b v="0"/>
    <x v="0"/>
    <m/>
  </r>
  <r>
    <s v="FB000833"/>
    <x v="4"/>
    <x v="6"/>
    <x v="0"/>
    <s v="XS"/>
    <s v="L"/>
    <s v="Beige"/>
    <n v="75.14"/>
    <n v="0"/>
    <n v="0"/>
    <n v="0"/>
    <s v="No Discount"/>
    <n v="75.14"/>
    <s v="No Loss"/>
    <d v="2025-01-27T00:00:00"/>
    <n v="41"/>
    <s v="IN STOCK"/>
    <n v="0"/>
    <m/>
    <b v="1"/>
    <x v="5"/>
    <s v="Changed Mind"/>
  </r>
  <r>
    <s v="FB000834"/>
    <x v="3"/>
    <x v="4"/>
    <x v="1"/>
    <s v="XXL"/>
    <s v="S"/>
    <s v="Pink"/>
    <n v="88"/>
    <n v="0"/>
    <n v="0"/>
    <n v="0"/>
    <s v="No Discount"/>
    <n v="88"/>
    <s v="No Loss"/>
    <d v="2025-08-06T00:00:00"/>
    <n v="2"/>
    <s v="LOW STOCK"/>
    <n v="1.9"/>
    <n v="1.9"/>
    <b v="0"/>
    <x v="0"/>
    <m/>
  </r>
  <r>
    <s v="FB000835"/>
    <x v="5"/>
    <x v="5"/>
    <x v="1"/>
    <s v="XS"/>
    <s v="XS"/>
    <s v="Red"/>
    <n v="69.540000000000006"/>
    <n v="0"/>
    <n v="0"/>
    <n v="0"/>
    <s v="No Discount"/>
    <n v="69.540000000000006"/>
    <s v="No Loss"/>
    <d v="2025-08-06T00:00:00"/>
    <n v="21"/>
    <s v="IN STOCK"/>
    <n v="0"/>
    <m/>
    <b v="0"/>
    <x v="0"/>
    <m/>
  </r>
  <r>
    <s v="FB000836"/>
    <x v="0"/>
    <x v="3"/>
    <x v="1"/>
    <s v="XL"/>
    <s v="XS"/>
    <s v="Pink"/>
    <n v="209.52"/>
    <n v="0"/>
    <n v="0"/>
    <n v="0"/>
    <s v="No Discount"/>
    <n v="209.52"/>
    <s v="No Loss"/>
    <d v="2025-08-06T00:00:00"/>
    <n v="48"/>
    <s v="IN STOCK"/>
    <n v="2.6"/>
    <n v="2.6"/>
    <b v="0"/>
    <x v="0"/>
    <m/>
  </r>
  <r>
    <s v="FB000837"/>
    <x v="3"/>
    <x v="4"/>
    <x v="2"/>
    <s v="OS"/>
    <s v="XXL"/>
    <s v="Beige"/>
    <n v="97.42"/>
    <n v="0"/>
    <n v="0"/>
    <n v="0"/>
    <s v="No Discount"/>
    <n v="97.42"/>
    <s v="No Loss"/>
    <d v="2025-08-06T00:00:00"/>
    <n v="35"/>
    <s v="IN STOCK"/>
    <n v="2"/>
    <n v="2"/>
    <b v="0"/>
    <x v="0"/>
    <m/>
  </r>
  <r>
    <s v="FB000838"/>
    <x v="5"/>
    <x v="1"/>
    <x v="1"/>
    <s v="S"/>
    <s v="XS"/>
    <s v="White"/>
    <n v="154.6"/>
    <n v="0"/>
    <n v="0"/>
    <n v="0"/>
    <s v="No Discount"/>
    <n v="154.6"/>
    <s v="No Loss"/>
    <d v="2025-08-06T00:00:00"/>
    <n v="38"/>
    <s v="IN STOCK"/>
    <n v="4.5"/>
    <n v="4.5"/>
    <b v="1"/>
    <x v="5"/>
    <s v="Changed Mind"/>
  </r>
  <r>
    <s v="FB000839"/>
    <x v="4"/>
    <x v="0"/>
    <x v="3"/>
    <s v="S"/>
    <s v="XL"/>
    <s v="White"/>
    <n v="81.59"/>
    <n v="0.38"/>
    <n v="38"/>
    <n v="31.004200000000001"/>
    <s v="high Discount"/>
    <n v="50.59"/>
    <s v="High Loss"/>
    <d v="2025-08-06T00:00:00"/>
    <n v="31"/>
    <s v="IN STOCK"/>
    <n v="1.2"/>
    <n v="1.2"/>
    <b v="0"/>
    <x v="0"/>
    <m/>
  </r>
  <r>
    <s v="FB000840"/>
    <x v="2"/>
    <x v="3"/>
    <x v="1"/>
    <s v="L"/>
    <m/>
    <s v="Brown"/>
    <n v="48.04"/>
    <n v="0"/>
    <n v="0"/>
    <n v="0"/>
    <s v="No Discount"/>
    <n v="48.04"/>
    <s v="No Loss"/>
    <d v="2025-08-06T00:00:00"/>
    <n v="46"/>
    <s v="IN STOCK"/>
    <n v="4.8"/>
    <n v="4.8"/>
    <b v="0"/>
    <x v="0"/>
    <m/>
  </r>
  <r>
    <s v="FB000841"/>
    <x v="1"/>
    <x v="2"/>
    <x v="2"/>
    <s v="OS"/>
    <s v="S"/>
    <s v="Green"/>
    <n v="70.77"/>
    <n v="0"/>
    <n v="0"/>
    <n v="0"/>
    <s v="No Discount"/>
    <n v="70.77"/>
    <s v="No Loss"/>
    <d v="2025-08-06T00:00:00"/>
    <n v="5"/>
    <s v="LOW STOCK"/>
    <n v="3.7"/>
    <n v="3.7"/>
    <b v="0"/>
    <x v="0"/>
    <m/>
  </r>
  <r>
    <s v="FB000842"/>
    <x v="0"/>
    <x v="7"/>
    <x v="2"/>
    <s v="M"/>
    <s v="S"/>
    <s v="Gray"/>
    <n v="103.49"/>
    <n v="0"/>
    <n v="0"/>
    <n v="0"/>
    <s v="No Discount"/>
    <n v="103.49"/>
    <s v="No Loss"/>
    <d v="2025-08-06T00:00:00"/>
    <n v="12"/>
    <s v="IN STOCK"/>
    <n v="1.8"/>
    <n v="1.8"/>
    <b v="0"/>
    <x v="0"/>
    <m/>
  </r>
  <r>
    <s v="FB000843"/>
    <x v="0"/>
    <x v="1"/>
    <x v="0"/>
    <s v="XS"/>
    <s v="L"/>
    <s v="Purple"/>
    <n v="138.88999999999999"/>
    <n v="0"/>
    <n v="0"/>
    <n v="0"/>
    <s v="No Discount"/>
    <n v="138.88999999999999"/>
    <s v="No Loss"/>
    <d v="2025-01-30T00:00:00"/>
    <n v="10"/>
    <s v="LOW STOCK"/>
    <n v="0"/>
    <m/>
    <b v="0"/>
    <x v="0"/>
    <m/>
  </r>
  <r>
    <s v="FB000844"/>
    <x v="2"/>
    <x v="4"/>
    <x v="1"/>
    <s v="XXL"/>
    <m/>
    <s v="Green"/>
    <n v="73.510000000000005"/>
    <n v="0.32200000000000001"/>
    <n v="32.200000000000003"/>
    <n v="23.670220000000004"/>
    <s v="high Discount"/>
    <n v="49.84"/>
    <s v="High Loss"/>
    <d v="2025-08-06T00:00:00"/>
    <n v="17"/>
    <s v="IN STOCK"/>
    <n v="0"/>
    <m/>
    <b v="1"/>
    <x v="6"/>
    <s v="Wrong Item"/>
  </r>
  <r>
    <s v="FB000845"/>
    <x v="4"/>
    <x v="0"/>
    <x v="0"/>
    <s v="XL"/>
    <s v="M"/>
    <s v="Purple"/>
    <n v="82.37"/>
    <n v="0"/>
    <n v="0"/>
    <n v="0"/>
    <s v="No Discount"/>
    <n v="82.37"/>
    <s v="No Loss"/>
    <d v="2025-06-04T00:00:00"/>
    <n v="49"/>
    <s v="IN STOCK"/>
    <n v="3.3"/>
    <n v="3.3"/>
    <b v="0"/>
    <x v="0"/>
    <m/>
  </r>
  <r>
    <s v="FB000846"/>
    <x v="5"/>
    <x v="5"/>
    <x v="3"/>
    <s v="L"/>
    <s v="XS"/>
    <s v="Navy"/>
    <n v="81.709999999999994"/>
    <n v="0.18"/>
    <n v="18"/>
    <n v="14.707799999999999"/>
    <s v="Low Discount"/>
    <n v="67"/>
    <s v="Medium Loss"/>
    <d v="2025-08-06T00:00:00"/>
    <n v="28"/>
    <s v="IN STOCK"/>
    <n v="4.7"/>
    <n v="4.7"/>
    <b v="0"/>
    <x v="0"/>
    <m/>
  </r>
  <r>
    <s v="FB000847"/>
    <x v="5"/>
    <x v="2"/>
    <x v="1"/>
    <s v="XL"/>
    <s v="XXL"/>
    <s v="Navy"/>
    <n v="107.02"/>
    <n v="0.106"/>
    <n v="10.6"/>
    <n v="11.344119999999998"/>
    <s v="Low Discount"/>
    <n v="95.68"/>
    <s v="Medium Loss"/>
    <d v="2025-08-06T00:00:00"/>
    <n v="6"/>
    <s v="LOW STOCK"/>
    <n v="0"/>
    <m/>
    <b v="0"/>
    <x v="0"/>
    <m/>
  </r>
  <r>
    <s v="FB000848"/>
    <x v="4"/>
    <x v="4"/>
    <x v="3"/>
    <s v="OS"/>
    <s v="XL"/>
    <s v="Pink"/>
    <n v="103.23"/>
    <n v="0.187"/>
    <n v="18.7"/>
    <n v="19.304010000000002"/>
    <s v="Low Discount"/>
    <n v="83.93"/>
    <s v="Medium Loss"/>
    <d v="2025-08-06T00:00:00"/>
    <n v="6"/>
    <s v="LOW STOCK"/>
    <n v="4"/>
    <n v="4"/>
    <b v="0"/>
    <x v="0"/>
    <m/>
  </r>
  <r>
    <s v="FB000849"/>
    <x v="1"/>
    <x v="6"/>
    <x v="2"/>
    <s v="S"/>
    <s v="L"/>
    <s v="Blue"/>
    <n v="100.48"/>
    <n v="0.17600000000000002"/>
    <n v="17.600000000000001"/>
    <n v="17.684480000000004"/>
    <s v="Low Discount"/>
    <n v="82.8"/>
    <s v="Medium Loss"/>
    <d v="2025-08-06T00:00:00"/>
    <n v="19"/>
    <s v="IN STOCK"/>
    <n v="0"/>
    <m/>
    <b v="0"/>
    <x v="0"/>
    <m/>
  </r>
  <r>
    <s v="FB000850"/>
    <x v="3"/>
    <x v="5"/>
    <x v="1"/>
    <s v="S"/>
    <s v="XL"/>
    <s v="White"/>
    <n v="160.87"/>
    <n v="0.53700000000000003"/>
    <n v="53.7"/>
    <n v="86.387190000000004"/>
    <s v="high Discount"/>
    <n v="74.48"/>
    <s v="High Loss"/>
    <d v="2025-08-06T00:00:00"/>
    <n v="18"/>
    <s v="IN STOCK"/>
    <n v="0"/>
    <m/>
    <b v="0"/>
    <x v="0"/>
    <m/>
  </r>
  <r>
    <s v="FB000851"/>
    <x v="2"/>
    <x v="3"/>
    <x v="2"/>
    <s v="XL"/>
    <m/>
    <s v="White"/>
    <n v="78.39"/>
    <n v="0"/>
    <n v="0"/>
    <n v="0"/>
    <s v="No Discount"/>
    <n v="78.39"/>
    <s v="No Loss"/>
    <d v="2025-08-06T00:00:00"/>
    <n v="7"/>
    <s v="LOW STOCK"/>
    <n v="4.2"/>
    <n v="4.2"/>
    <b v="0"/>
    <x v="0"/>
    <m/>
  </r>
  <r>
    <s v="FB000852"/>
    <x v="0"/>
    <x v="0"/>
    <x v="0"/>
    <s v="M"/>
    <s v="S"/>
    <s v="Beige"/>
    <n v="168.38"/>
    <n v="0.23100000000000001"/>
    <n v="23.1"/>
    <n v="38.895780000000002"/>
    <s v="Medium Discount"/>
    <n v="129.47999999999999"/>
    <s v="High Loss"/>
    <d v="2025-06-04T00:00:00"/>
    <n v="3"/>
    <s v="LOW STOCK"/>
    <n v="2"/>
    <n v="2"/>
    <b v="0"/>
    <x v="0"/>
    <m/>
  </r>
  <r>
    <s v="FB000853"/>
    <x v="3"/>
    <x v="2"/>
    <x v="1"/>
    <s v="XS"/>
    <s v="S"/>
    <s v="Navy"/>
    <n v="128.35"/>
    <n v="0"/>
    <n v="0"/>
    <n v="0"/>
    <s v="No Discount"/>
    <n v="128.35"/>
    <s v="No Loss"/>
    <d v="2025-08-06T00:00:00"/>
    <n v="20"/>
    <s v="IN STOCK"/>
    <n v="2.5"/>
    <n v="2.5"/>
    <b v="0"/>
    <x v="0"/>
    <m/>
  </r>
  <r>
    <s v="FB000854"/>
    <x v="5"/>
    <x v="1"/>
    <x v="0"/>
    <s v="XXL"/>
    <s v="XL"/>
    <s v="Gray"/>
    <n v="138.16999999999999"/>
    <n v="0.03"/>
    <n v="3"/>
    <n v="4.1450999999999993"/>
    <s v="Low Discount"/>
    <n v="134.02000000000001"/>
    <s v="Low Loss"/>
    <d v="2025-04-04T00:00:00"/>
    <n v="34"/>
    <s v="IN STOCK"/>
    <n v="4.0999999999999996"/>
    <n v="4.0999999999999996"/>
    <b v="0"/>
    <x v="0"/>
    <m/>
  </r>
  <r>
    <s v="FB000855"/>
    <x v="5"/>
    <x v="1"/>
    <x v="2"/>
    <s v="OS"/>
    <s v="M"/>
    <s v="Navy"/>
    <n v="52.45"/>
    <n v="0"/>
    <n v="0"/>
    <n v="0"/>
    <s v="No Discount"/>
    <n v="52.45"/>
    <s v="No Loss"/>
    <d v="2025-08-06T00:00:00"/>
    <n v="16"/>
    <s v="IN STOCK"/>
    <n v="1.7"/>
    <n v="1.7"/>
    <b v="0"/>
    <x v="0"/>
    <m/>
  </r>
  <r>
    <s v="FB000856"/>
    <x v="3"/>
    <x v="4"/>
    <x v="1"/>
    <s v="S"/>
    <s v="XS"/>
    <s v="White"/>
    <n v="171.53"/>
    <n v="0"/>
    <n v="0"/>
    <n v="0"/>
    <s v="No Discount"/>
    <n v="171.53"/>
    <s v="No Loss"/>
    <d v="2025-08-06T00:00:00"/>
    <n v="12"/>
    <s v="IN STOCK"/>
    <n v="4.8"/>
    <n v="4.8"/>
    <b v="0"/>
    <x v="0"/>
    <m/>
  </r>
  <r>
    <s v="FB000857"/>
    <x v="1"/>
    <x v="3"/>
    <x v="2"/>
    <s v="XL"/>
    <s v="XXL"/>
    <s v="Brown"/>
    <n v="81.23"/>
    <n v="1.2E-2"/>
    <n v="1.2"/>
    <n v="0.97476000000000007"/>
    <s v="Low Discount"/>
    <n v="80.260000000000005"/>
    <s v="Low Loss"/>
    <d v="2025-08-06T00:00:00"/>
    <n v="10"/>
    <s v="LOW STOCK"/>
    <n v="4.9000000000000004"/>
    <n v="4.9000000000000004"/>
    <b v="0"/>
    <x v="0"/>
    <m/>
  </r>
  <r>
    <s v="FB000858"/>
    <x v="2"/>
    <x v="2"/>
    <x v="0"/>
    <s v="L"/>
    <m/>
    <s v="Blue"/>
    <n v="31.37"/>
    <n v="0.441"/>
    <n v="44.1"/>
    <n v="13.83417"/>
    <s v="high Discount"/>
    <n v="17.54"/>
    <s v="Medium Loss"/>
    <d v="2024-09-13T00:00:00"/>
    <n v="11"/>
    <s v="IN STOCK"/>
    <n v="3.4"/>
    <n v="3.4"/>
    <b v="0"/>
    <x v="0"/>
    <m/>
  </r>
  <r>
    <s v="FB000859"/>
    <x v="4"/>
    <x v="6"/>
    <x v="0"/>
    <s v="M"/>
    <s v="S"/>
    <s v="Red"/>
    <n v="93.89"/>
    <n v="0"/>
    <n v="0"/>
    <n v="0"/>
    <s v="No Discount"/>
    <n v="93.89"/>
    <s v="No Loss"/>
    <d v="2025-02-03T00:00:00"/>
    <n v="3"/>
    <s v="LOW STOCK"/>
    <n v="1.8"/>
    <n v="1.8"/>
    <b v="0"/>
    <x v="0"/>
    <m/>
  </r>
  <r>
    <s v="FB000860"/>
    <x v="4"/>
    <x v="1"/>
    <x v="0"/>
    <s v="S"/>
    <s v="XL"/>
    <s v="Gray"/>
    <n v="54.84"/>
    <n v="0"/>
    <n v="0"/>
    <n v="0"/>
    <s v="No Discount"/>
    <n v="54.84"/>
    <s v="No Loss"/>
    <d v="2024-09-22T00:00:00"/>
    <n v="12"/>
    <s v="IN STOCK"/>
    <n v="3.2"/>
    <n v="3.2"/>
    <b v="0"/>
    <x v="0"/>
    <m/>
  </r>
  <r>
    <s v="FB000861"/>
    <x v="5"/>
    <x v="0"/>
    <x v="1"/>
    <s v="OS"/>
    <s v="L"/>
    <s v="Red"/>
    <n v="140.34"/>
    <n v="0"/>
    <n v="0"/>
    <n v="0"/>
    <s v="No Discount"/>
    <n v="140.34"/>
    <s v="No Loss"/>
    <d v="2025-08-06T00:00:00"/>
    <n v="23"/>
    <s v="IN STOCK"/>
    <n v="2.8"/>
    <n v="2.8"/>
    <b v="1"/>
    <x v="5"/>
    <s v="Changed Mind"/>
  </r>
  <r>
    <s v="FB000862"/>
    <x v="1"/>
    <x v="2"/>
    <x v="2"/>
    <s v="S"/>
    <s v="M"/>
    <s v="Red"/>
    <n v="51.88"/>
    <n v="0.16800000000000001"/>
    <n v="16.8"/>
    <n v="8.7158400000000018"/>
    <s v="Low Discount"/>
    <n v="43.16"/>
    <s v="Low Loss"/>
    <d v="2025-08-06T00:00:00"/>
    <n v="30"/>
    <s v="IN STOCK"/>
    <n v="1.5"/>
    <n v="1.5"/>
    <b v="0"/>
    <x v="0"/>
    <m/>
  </r>
  <r>
    <s v="FB000863"/>
    <x v="5"/>
    <x v="3"/>
    <x v="0"/>
    <s v="XXL"/>
    <s v="S"/>
    <s v="Purple"/>
    <n v="136.19999999999999"/>
    <n v="0.44299999999999995"/>
    <n v="44.3"/>
    <n v="60.33659999999999"/>
    <s v="high Discount"/>
    <n v="75.86"/>
    <s v="High Loss"/>
    <d v="2024-11-21T00:00:00"/>
    <n v="49"/>
    <s v="IN STOCK"/>
    <n v="0"/>
    <m/>
    <b v="0"/>
    <x v="0"/>
    <m/>
  </r>
  <r>
    <s v="FB000864"/>
    <x v="2"/>
    <x v="4"/>
    <x v="3"/>
    <s v="XXL"/>
    <m/>
    <s v="Brown"/>
    <n v="71.19"/>
    <n v="0"/>
    <n v="0"/>
    <n v="0"/>
    <s v="No Discount"/>
    <n v="71.19"/>
    <s v="No Loss"/>
    <d v="2025-08-06T00:00:00"/>
    <n v="14"/>
    <s v="IN STOCK"/>
    <n v="2.8"/>
    <n v="2.8"/>
    <b v="0"/>
    <x v="0"/>
    <m/>
  </r>
  <r>
    <s v="FB000865"/>
    <x v="0"/>
    <x v="7"/>
    <x v="0"/>
    <s v="XL"/>
    <s v="S"/>
    <s v="Navy"/>
    <n v="241.37"/>
    <n v="0.44900000000000001"/>
    <n v="44.9"/>
    <n v="108.37513"/>
    <s v="high Discount"/>
    <n v="132.99"/>
    <s v="High Loss"/>
    <d v="2025-05-15T00:00:00"/>
    <n v="23"/>
    <s v="IN STOCK"/>
    <n v="2.1"/>
    <n v="2.1"/>
    <b v="0"/>
    <x v="0"/>
    <m/>
  </r>
  <r>
    <s v="FB000866"/>
    <x v="0"/>
    <x v="6"/>
    <x v="2"/>
    <s v="XS"/>
    <s v="XXL"/>
    <s v="Blue"/>
    <n v="198.26"/>
    <n v="0.51300000000000001"/>
    <n v="51.3"/>
    <n v="101.70738"/>
    <s v="high Discount"/>
    <n v="96.55"/>
    <s v="High Loss"/>
    <d v="2025-08-06T00:00:00"/>
    <n v="38"/>
    <s v="IN STOCK"/>
    <n v="0"/>
    <m/>
    <b v="0"/>
    <x v="0"/>
    <m/>
  </r>
  <r>
    <s v="FB000867"/>
    <x v="4"/>
    <x v="5"/>
    <x v="1"/>
    <s v="OS"/>
    <s v="XXL"/>
    <s v="Beige"/>
    <n v="64.069999999999993"/>
    <n v="0"/>
    <n v="0"/>
    <n v="0"/>
    <s v="No Discount"/>
    <n v="64.069999999999993"/>
    <s v="No Loss"/>
    <d v="2025-08-06T00:00:00"/>
    <n v="34"/>
    <s v="IN STOCK"/>
    <n v="0"/>
    <m/>
    <b v="0"/>
    <x v="0"/>
    <m/>
  </r>
  <r>
    <s v="FB000868"/>
    <x v="4"/>
    <x v="0"/>
    <x v="2"/>
    <s v="L"/>
    <s v="XL"/>
    <s v="Gray"/>
    <n v="110.15"/>
    <n v="0.10400000000000001"/>
    <n v="10.4"/>
    <n v="11.455600000000002"/>
    <s v="Low Discount"/>
    <n v="98.69"/>
    <s v="Medium Loss"/>
    <d v="2025-08-06T00:00:00"/>
    <n v="36"/>
    <s v="IN STOCK"/>
    <n v="1.6"/>
    <n v="1.6"/>
    <b v="0"/>
    <x v="0"/>
    <m/>
  </r>
  <r>
    <s v="FB000869"/>
    <x v="0"/>
    <x v="7"/>
    <x v="0"/>
    <s v="S"/>
    <s v="XS"/>
    <s v="Blue"/>
    <n v="120.68"/>
    <n v="0"/>
    <n v="0"/>
    <n v="0"/>
    <s v="No Discount"/>
    <n v="120.68"/>
    <s v="No Loss"/>
    <d v="2024-12-21T00:00:00"/>
    <n v="6"/>
    <s v="LOW STOCK"/>
    <n v="1.9"/>
    <n v="1.9"/>
    <b v="0"/>
    <x v="0"/>
    <m/>
  </r>
  <r>
    <s v="FB000870"/>
    <x v="2"/>
    <x v="0"/>
    <x v="2"/>
    <s v="OS"/>
    <m/>
    <s v="Black"/>
    <n v="69.180000000000007"/>
    <n v="0.31"/>
    <n v="31"/>
    <n v="21.445800000000002"/>
    <s v="high Discount"/>
    <n v="47.73"/>
    <s v="High Loss"/>
    <d v="2025-08-06T00:00:00"/>
    <n v="9"/>
    <s v="LOW STOCK"/>
    <n v="2.7"/>
    <n v="2.7"/>
    <b v="1"/>
    <x v="2"/>
    <s v="Size Issue"/>
  </r>
  <r>
    <s v="FB000871"/>
    <x v="5"/>
    <x v="5"/>
    <x v="2"/>
    <s v="XS"/>
    <s v="L"/>
    <s v="Red"/>
    <n v="134.77000000000001"/>
    <n v="0"/>
    <n v="0"/>
    <n v="0"/>
    <s v="No Discount"/>
    <n v="134.77000000000001"/>
    <s v="No Loss"/>
    <d v="2025-08-06T00:00:00"/>
    <n v="36"/>
    <s v="IN STOCK"/>
    <n v="4.8"/>
    <n v="4.8"/>
    <b v="0"/>
    <x v="0"/>
    <m/>
  </r>
  <r>
    <s v="FB000872"/>
    <x v="1"/>
    <x v="1"/>
    <x v="0"/>
    <s v="M"/>
    <s v="S"/>
    <s v="Black"/>
    <n v="29.93"/>
    <n v="0"/>
    <n v="0"/>
    <n v="0"/>
    <s v="No Discount"/>
    <n v="29.93"/>
    <s v="No Loss"/>
    <d v="2024-10-10T00:00:00"/>
    <n v="13"/>
    <s v="IN STOCK"/>
    <n v="0"/>
    <m/>
    <b v="0"/>
    <x v="0"/>
    <m/>
  </r>
  <r>
    <s v="FB000873"/>
    <x v="2"/>
    <x v="6"/>
    <x v="1"/>
    <s v="XS"/>
    <m/>
    <s v="White"/>
    <n v="56.09"/>
    <n v="0"/>
    <n v="0"/>
    <n v="0"/>
    <s v="No Discount"/>
    <n v="56.09"/>
    <s v="No Loss"/>
    <d v="2025-08-06T00:00:00"/>
    <n v="21"/>
    <s v="IN STOCK"/>
    <n v="4.9000000000000004"/>
    <n v="4.9000000000000004"/>
    <b v="0"/>
    <x v="0"/>
    <m/>
  </r>
  <r>
    <s v="FB000874"/>
    <x v="3"/>
    <x v="6"/>
    <x v="2"/>
    <s v="OS"/>
    <s v="XS"/>
    <s v="Green"/>
    <n v="124.81"/>
    <n v="0.33100000000000002"/>
    <n v="33.1"/>
    <n v="41.312110000000004"/>
    <s v="high Discount"/>
    <n v="83.5"/>
    <s v="High Loss"/>
    <d v="2025-08-06T00:00:00"/>
    <n v="45"/>
    <s v="IN STOCK"/>
    <n v="2.4"/>
    <n v="2.4"/>
    <b v="0"/>
    <x v="0"/>
    <m/>
  </r>
  <r>
    <s v="FB000875"/>
    <x v="5"/>
    <x v="0"/>
    <x v="0"/>
    <s v="OS"/>
    <s v="M"/>
    <s v="White"/>
    <n v="94.03"/>
    <n v="0.56100000000000005"/>
    <n v="56.1"/>
    <n v="52.750830000000008"/>
    <s v="high Discount"/>
    <n v="41.28"/>
    <s v="High Loss"/>
    <d v="2024-12-16T00:00:00"/>
    <n v="16"/>
    <s v="IN STOCK"/>
    <n v="1.2"/>
    <n v="1.2"/>
    <b v="0"/>
    <x v="0"/>
    <m/>
  </r>
  <r>
    <s v="FB000876"/>
    <x v="3"/>
    <x v="0"/>
    <x v="2"/>
    <s v="M"/>
    <s v="XS"/>
    <s v="Red"/>
    <n v="109.51"/>
    <n v="8.199999999999999E-2"/>
    <n v="8.1999999999999993"/>
    <n v="8.9798200000000001"/>
    <s v="Low Discount"/>
    <n v="100.53"/>
    <s v="Low Loss"/>
    <d v="2025-08-06T00:00:00"/>
    <n v="12"/>
    <s v="IN STOCK"/>
    <n v="0"/>
    <m/>
    <b v="0"/>
    <x v="0"/>
    <m/>
  </r>
  <r>
    <s v="FB000877"/>
    <x v="2"/>
    <x v="3"/>
    <x v="1"/>
    <s v="L"/>
    <m/>
    <s v="Navy"/>
    <n v="31.13"/>
    <n v="0"/>
    <n v="0"/>
    <n v="0"/>
    <s v="No Discount"/>
    <n v="31.13"/>
    <s v="No Loss"/>
    <d v="2025-08-06T00:00:00"/>
    <n v="29"/>
    <s v="IN STOCK"/>
    <n v="4.7"/>
    <n v="4.7"/>
    <b v="0"/>
    <x v="0"/>
    <m/>
  </r>
  <r>
    <s v="FB000878"/>
    <x v="2"/>
    <x v="2"/>
    <x v="2"/>
    <s v="M"/>
    <m/>
    <s v="Blue"/>
    <n v="66.3"/>
    <n v="1.7000000000000001E-2"/>
    <n v="1.7"/>
    <n v="1.1271"/>
    <s v="Low Discount"/>
    <n v="65.17"/>
    <s v="Low Loss"/>
    <d v="2025-08-06T00:00:00"/>
    <n v="28"/>
    <s v="IN STOCK"/>
    <n v="1.6"/>
    <n v="1.6"/>
    <b v="0"/>
    <x v="0"/>
    <m/>
  </r>
  <r>
    <s v="FB000879"/>
    <x v="4"/>
    <x v="4"/>
    <x v="1"/>
    <s v="S"/>
    <s v="M"/>
    <s v="Red"/>
    <n v="66.63"/>
    <n v="0.28399999999999997"/>
    <n v="28.4"/>
    <n v="18.922919999999998"/>
    <s v="Medium Discount"/>
    <n v="47.71"/>
    <s v="Medium Loss"/>
    <d v="2025-08-06T00:00:00"/>
    <n v="32"/>
    <s v="IN STOCK"/>
    <n v="2"/>
    <n v="2"/>
    <b v="0"/>
    <x v="0"/>
    <m/>
  </r>
  <r>
    <s v="FB000880"/>
    <x v="4"/>
    <x v="3"/>
    <x v="0"/>
    <s v="XL"/>
    <s v="L"/>
    <s v="Green"/>
    <n v="117.63"/>
    <n v="0"/>
    <n v="0"/>
    <n v="0"/>
    <s v="No Discount"/>
    <n v="117.63"/>
    <s v="No Loss"/>
    <d v="2024-09-28T00:00:00"/>
    <n v="18"/>
    <s v="IN STOCK"/>
    <n v="1.2"/>
    <n v="1.2"/>
    <b v="0"/>
    <x v="0"/>
    <m/>
  </r>
  <r>
    <s v="FB000881"/>
    <x v="3"/>
    <x v="2"/>
    <x v="1"/>
    <s v="OS"/>
    <s v="M"/>
    <s v="Purple"/>
    <n v="174.53"/>
    <n v="0"/>
    <n v="0"/>
    <n v="0"/>
    <s v="No Discount"/>
    <n v="174.53"/>
    <s v="No Loss"/>
    <d v="2025-08-06T00:00:00"/>
    <n v="45"/>
    <s v="IN STOCK"/>
    <n v="0"/>
    <m/>
    <b v="0"/>
    <x v="0"/>
    <m/>
  </r>
  <r>
    <s v="FB000882"/>
    <x v="5"/>
    <x v="0"/>
    <x v="1"/>
    <s v="XL"/>
    <s v="S"/>
    <s v="Green"/>
    <n v="152.65"/>
    <n v="0"/>
    <n v="0"/>
    <n v="0"/>
    <s v="No Discount"/>
    <n v="152.65"/>
    <s v="No Loss"/>
    <d v="2025-08-06T00:00:00"/>
    <n v="27"/>
    <s v="IN STOCK"/>
    <n v="3.7"/>
    <n v="3.7"/>
    <b v="0"/>
    <x v="0"/>
    <m/>
  </r>
  <r>
    <s v="FB000883"/>
    <x v="0"/>
    <x v="5"/>
    <x v="3"/>
    <s v="OS"/>
    <s v="XL"/>
    <s v="Blue"/>
    <n v="83.24"/>
    <n v="0"/>
    <n v="0"/>
    <n v="0"/>
    <s v="No Discount"/>
    <n v="83.24"/>
    <s v="No Loss"/>
    <d v="2025-08-06T00:00:00"/>
    <n v="16"/>
    <s v="IN STOCK"/>
    <n v="0"/>
    <m/>
    <b v="0"/>
    <x v="0"/>
    <m/>
  </r>
  <r>
    <s v="FB000884"/>
    <x v="2"/>
    <x v="0"/>
    <x v="1"/>
    <s v="OS"/>
    <m/>
    <s v="Brown"/>
    <n v="40.18"/>
    <n v="0"/>
    <n v="0"/>
    <n v="0"/>
    <s v="No Discount"/>
    <n v="40.18"/>
    <s v="No Loss"/>
    <d v="2025-08-06T00:00:00"/>
    <n v="27"/>
    <s v="IN STOCK"/>
    <n v="4.7"/>
    <n v="4.7"/>
    <b v="0"/>
    <x v="0"/>
    <m/>
  </r>
  <r>
    <s v="FB000885"/>
    <x v="4"/>
    <x v="3"/>
    <x v="0"/>
    <s v="OS"/>
    <s v="XL"/>
    <s v="Red"/>
    <n v="73.77"/>
    <n v="0.22800000000000001"/>
    <n v="22.8"/>
    <n v="16.819559999999999"/>
    <s v="Medium Discount"/>
    <n v="56.95"/>
    <s v="Medium Loss"/>
    <d v="2024-08-18T00:00:00"/>
    <n v="0"/>
    <s v="NO STOCK"/>
    <n v="0"/>
    <m/>
    <b v="0"/>
    <x v="0"/>
    <m/>
  </r>
  <r>
    <s v="FB000886"/>
    <x v="2"/>
    <x v="7"/>
    <x v="1"/>
    <s v="OS"/>
    <m/>
    <s v="Red"/>
    <n v="71.3"/>
    <n v="0"/>
    <n v="0"/>
    <n v="0"/>
    <s v="No Discount"/>
    <n v="71.3"/>
    <s v="No Loss"/>
    <d v="2025-08-06T00:00:00"/>
    <n v="29"/>
    <s v="IN STOCK"/>
    <n v="0"/>
    <m/>
    <b v="0"/>
    <x v="0"/>
    <m/>
  </r>
  <r>
    <s v="FB000887"/>
    <x v="2"/>
    <x v="7"/>
    <x v="3"/>
    <s v="XL"/>
    <m/>
    <s v="Beige"/>
    <n v="50.3"/>
    <n v="0.52800000000000002"/>
    <n v="52.8"/>
    <n v="26.558399999999999"/>
    <s v="high Discount"/>
    <n v="23.74"/>
    <s v="High Loss"/>
    <d v="2025-08-06T00:00:00"/>
    <n v="11"/>
    <s v="IN STOCK"/>
    <n v="0"/>
    <m/>
    <b v="0"/>
    <x v="0"/>
    <m/>
  </r>
  <r>
    <s v="FB000888"/>
    <x v="2"/>
    <x v="4"/>
    <x v="0"/>
    <s v="L"/>
    <m/>
    <s v="Green"/>
    <n v="46.97"/>
    <n v="0"/>
    <n v="0"/>
    <n v="0"/>
    <s v="No Discount"/>
    <n v="46.97"/>
    <s v="No Loss"/>
    <d v="2025-02-24T00:00:00"/>
    <n v="33"/>
    <s v="IN STOCK"/>
    <n v="2.6"/>
    <n v="2.6"/>
    <b v="0"/>
    <x v="0"/>
    <m/>
  </r>
  <r>
    <s v="FB000889"/>
    <x v="3"/>
    <x v="0"/>
    <x v="2"/>
    <s v="OS"/>
    <m/>
    <s v="Brown"/>
    <n v="162.9"/>
    <n v="0"/>
    <n v="0"/>
    <n v="0"/>
    <s v="No Discount"/>
    <n v="162.9"/>
    <s v="No Loss"/>
    <d v="2025-08-06T00:00:00"/>
    <n v="30"/>
    <s v="IN STOCK"/>
    <n v="1.9"/>
    <n v="1.9"/>
    <b v="0"/>
    <x v="0"/>
    <m/>
  </r>
  <r>
    <s v="FB000890"/>
    <x v="4"/>
    <x v="7"/>
    <x v="1"/>
    <s v="S"/>
    <s v="XL"/>
    <s v="White"/>
    <n v="57.14"/>
    <n v="0"/>
    <n v="0"/>
    <n v="0"/>
    <s v="No Discount"/>
    <n v="57.14"/>
    <s v="No Loss"/>
    <d v="2025-08-06T00:00:00"/>
    <n v="39"/>
    <s v="IN STOCK"/>
    <n v="1.4"/>
    <n v="1.4"/>
    <b v="0"/>
    <x v="0"/>
    <m/>
  </r>
  <r>
    <s v="FB000891"/>
    <x v="3"/>
    <x v="5"/>
    <x v="0"/>
    <s v="XS"/>
    <s v="L"/>
    <s v="Purple"/>
    <n v="93.6"/>
    <n v="0"/>
    <n v="0"/>
    <n v="0"/>
    <s v="No Discount"/>
    <n v="93.6"/>
    <s v="No Loss"/>
    <d v="2024-09-09T00:00:00"/>
    <n v="49"/>
    <s v="IN STOCK"/>
    <n v="4.3"/>
    <n v="4.3"/>
    <b v="0"/>
    <x v="0"/>
    <m/>
  </r>
  <r>
    <s v="FB000892"/>
    <x v="2"/>
    <x v="7"/>
    <x v="0"/>
    <s v="OS"/>
    <m/>
    <s v="Brown"/>
    <n v="64.56"/>
    <n v="0.43"/>
    <n v="43"/>
    <n v="27.7608"/>
    <s v="high Discount"/>
    <n v="36.799999999999997"/>
    <s v="High Loss"/>
    <d v="2024-08-06T00:00:00"/>
    <n v="36"/>
    <s v="IN STOCK"/>
    <n v="3.9"/>
    <n v="3.9"/>
    <b v="0"/>
    <x v="0"/>
    <m/>
  </r>
  <r>
    <s v="FB000893"/>
    <x v="0"/>
    <x v="5"/>
    <x v="1"/>
    <s v="XS"/>
    <s v="S"/>
    <s v="Navy"/>
    <n v="142.34"/>
    <n v="0"/>
    <n v="0"/>
    <n v="0"/>
    <s v="No Discount"/>
    <n v="142.34"/>
    <s v="No Loss"/>
    <d v="2025-08-06T00:00:00"/>
    <n v="43"/>
    <s v="IN STOCK"/>
    <n v="0"/>
    <m/>
    <b v="0"/>
    <x v="0"/>
    <m/>
  </r>
  <r>
    <s v="FB000894"/>
    <x v="3"/>
    <x v="6"/>
    <x v="0"/>
    <s v="OS"/>
    <s v="XS"/>
    <s v="White"/>
    <n v="111.02"/>
    <n v="0.57799999999999996"/>
    <n v="57.8"/>
    <n v="64.16955999999999"/>
    <s v="high Discount"/>
    <n v="46.85"/>
    <s v="High Loss"/>
    <d v="2025-05-19T00:00:00"/>
    <n v="11"/>
    <s v="IN STOCK"/>
    <n v="2.2000000000000002"/>
    <n v="2.2000000000000002"/>
    <b v="0"/>
    <x v="0"/>
    <m/>
  </r>
  <r>
    <s v="FB000895"/>
    <x v="1"/>
    <x v="2"/>
    <x v="1"/>
    <s v="M"/>
    <m/>
    <s v="Black"/>
    <n v="29.16"/>
    <n v="0.49"/>
    <n v="49"/>
    <n v="14.288399999999999"/>
    <s v="high Discount"/>
    <n v="14.87"/>
    <s v="Medium Loss"/>
    <d v="2025-08-06T00:00:00"/>
    <n v="31"/>
    <s v="IN STOCK"/>
    <n v="0"/>
    <m/>
    <b v="0"/>
    <x v="0"/>
    <m/>
  </r>
  <r>
    <s v="FB000896"/>
    <x v="1"/>
    <x v="5"/>
    <x v="3"/>
    <s v="M"/>
    <s v="XS"/>
    <s v="Black"/>
    <n v="30.46"/>
    <n v="0"/>
    <n v="0"/>
    <n v="0"/>
    <s v="No Discount"/>
    <n v="30.46"/>
    <s v="No Loss"/>
    <d v="2025-08-06T00:00:00"/>
    <n v="19"/>
    <s v="IN STOCK"/>
    <n v="1.2"/>
    <n v="1.2"/>
    <b v="0"/>
    <x v="0"/>
    <m/>
  </r>
  <r>
    <s v="FB000897"/>
    <x v="2"/>
    <x v="7"/>
    <x v="1"/>
    <s v="L"/>
    <m/>
    <s v="Blue"/>
    <n v="31.32"/>
    <n v="0"/>
    <n v="0"/>
    <n v="0"/>
    <s v="No Discount"/>
    <n v="31.32"/>
    <s v="No Loss"/>
    <d v="2025-08-06T00:00:00"/>
    <n v="28"/>
    <s v="IN STOCK"/>
    <n v="2.7"/>
    <n v="2.7"/>
    <b v="0"/>
    <x v="0"/>
    <m/>
  </r>
  <r>
    <s v="FB000898"/>
    <x v="4"/>
    <x v="1"/>
    <x v="0"/>
    <s v="OS"/>
    <s v="M"/>
    <s v="Pink"/>
    <n v="61.78"/>
    <n v="0"/>
    <n v="0"/>
    <n v="0"/>
    <s v="No Discount"/>
    <n v="61.78"/>
    <s v="No Loss"/>
    <d v="2025-07-30T00:00:00"/>
    <n v="24"/>
    <s v="IN STOCK"/>
    <n v="3.5"/>
    <n v="3.5"/>
    <b v="0"/>
    <x v="0"/>
    <m/>
  </r>
  <r>
    <s v="FB000899"/>
    <x v="0"/>
    <x v="0"/>
    <x v="3"/>
    <s v="M"/>
    <s v="M"/>
    <s v="Green"/>
    <n v="126.27"/>
    <n v="0"/>
    <n v="0"/>
    <n v="0"/>
    <s v="No Discount"/>
    <n v="126.27"/>
    <s v="No Loss"/>
    <d v="2025-08-06T00:00:00"/>
    <n v="1"/>
    <s v="LOW STOCK"/>
    <n v="4.7"/>
    <n v="4.7"/>
    <b v="0"/>
    <x v="0"/>
    <m/>
  </r>
  <r>
    <s v="FB000900"/>
    <x v="0"/>
    <x v="1"/>
    <x v="1"/>
    <s v="OS"/>
    <s v="L"/>
    <s v="White"/>
    <n v="147.53"/>
    <n v="0"/>
    <n v="0"/>
    <n v="0"/>
    <s v="No Discount"/>
    <n v="147.53"/>
    <s v="No Loss"/>
    <d v="2025-08-06T00:00:00"/>
    <n v="33"/>
    <s v="IN STOCK"/>
    <n v="4.7"/>
    <n v="4.7"/>
    <b v="1"/>
    <x v="4"/>
    <s v="Quality Issue"/>
  </r>
  <r>
    <s v="FB000901"/>
    <x v="2"/>
    <x v="2"/>
    <x v="3"/>
    <s v="XS"/>
    <m/>
    <s v="Red"/>
    <n v="36.979999999999997"/>
    <n v="0.122"/>
    <n v="12.2"/>
    <n v="4.5115599999999993"/>
    <s v="Low Discount"/>
    <n v="32.47"/>
    <s v="Low Loss"/>
    <d v="2025-08-06T00:00:00"/>
    <n v="14"/>
    <s v="IN STOCK"/>
    <n v="4.8"/>
    <n v="4.8"/>
    <b v="0"/>
    <x v="0"/>
    <m/>
  </r>
  <r>
    <s v="FB000902"/>
    <x v="3"/>
    <x v="4"/>
    <x v="2"/>
    <s v="OS"/>
    <s v="M"/>
    <s v="Pink"/>
    <n v="172.41"/>
    <n v="0"/>
    <n v="0"/>
    <n v="0"/>
    <s v="No Discount"/>
    <n v="172.41"/>
    <s v="No Loss"/>
    <d v="2025-08-06T00:00:00"/>
    <n v="33"/>
    <s v="IN STOCK"/>
    <n v="2.2999999999999998"/>
    <n v="2.2999999999999998"/>
    <b v="0"/>
    <x v="0"/>
    <m/>
  </r>
  <r>
    <s v="FB000903"/>
    <x v="2"/>
    <x v="4"/>
    <x v="0"/>
    <s v="XL"/>
    <m/>
    <s v="Pink"/>
    <n v="53.79"/>
    <n v="0.16"/>
    <n v="16"/>
    <n v="8.6064000000000007"/>
    <s v="Low Discount"/>
    <n v="45.18"/>
    <s v="Low Loss"/>
    <d v="2024-10-01T00:00:00"/>
    <n v="32"/>
    <s v="IN STOCK"/>
    <n v="0"/>
    <m/>
    <b v="0"/>
    <x v="0"/>
    <m/>
  </r>
  <r>
    <s v="FB000904"/>
    <x v="3"/>
    <x v="3"/>
    <x v="3"/>
    <s v="XXL"/>
    <s v="XS"/>
    <s v="Beige"/>
    <n v="80.56"/>
    <n v="0"/>
    <n v="0"/>
    <n v="0"/>
    <s v="No Discount"/>
    <n v="80.56"/>
    <s v="No Loss"/>
    <d v="2025-08-06T00:00:00"/>
    <n v="7"/>
    <s v="LOW STOCK"/>
    <n v="1.9"/>
    <n v="1.9"/>
    <b v="0"/>
    <x v="0"/>
    <m/>
  </r>
  <r>
    <s v="FB000905"/>
    <x v="2"/>
    <x v="3"/>
    <x v="2"/>
    <s v="S"/>
    <m/>
    <s v="Pink"/>
    <n v="51.72"/>
    <n v="0"/>
    <n v="0"/>
    <n v="0"/>
    <s v="No Discount"/>
    <n v="51.72"/>
    <s v="No Loss"/>
    <d v="2025-08-06T00:00:00"/>
    <n v="35"/>
    <s v="IN STOCK"/>
    <n v="3.7"/>
    <n v="3.7"/>
    <b v="1"/>
    <x v="3"/>
    <s v="Damaged"/>
  </r>
  <r>
    <s v="FB000906"/>
    <x v="4"/>
    <x v="3"/>
    <x v="0"/>
    <s v="XXL"/>
    <s v="XL"/>
    <s v="Pink"/>
    <n v="107.22"/>
    <n v="0.37799999999999995"/>
    <n v="37.799999999999997"/>
    <n v="40.529159999999997"/>
    <s v="high Discount"/>
    <n v="66.69"/>
    <s v="High Loss"/>
    <d v="2025-07-11T00:00:00"/>
    <n v="21"/>
    <s v="IN STOCK"/>
    <n v="2.9"/>
    <n v="2.9"/>
    <b v="0"/>
    <x v="0"/>
    <m/>
  </r>
  <r>
    <s v="FB000907"/>
    <x v="3"/>
    <x v="4"/>
    <x v="2"/>
    <s v="XS"/>
    <s v="XXL"/>
    <s v="Green"/>
    <n v="174.99"/>
    <n v="0.501"/>
    <n v="50.1"/>
    <n v="87.669989999999999"/>
    <s v="high Discount"/>
    <n v="87.32"/>
    <s v="High Loss"/>
    <d v="2025-08-06T00:00:00"/>
    <n v="7"/>
    <s v="LOW STOCK"/>
    <n v="4.9000000000000004"/>
    <n v="4.9000000000000004"/>
    <b v="0"/>
    <x v="0"/>
    <m/>
  </r>
  <r>
    <s v="FB000908"/>
    <x v="5"/>
    <x v="7"/>
    <x v="0"/>
    <s v="OS"/>
    <s v="S"/>
    <s v="Blue"/>
    <n v="90.52"/>
    <n v="0.53200000000000003"/>
    <n v="53.2"/>
    <n v="48.156640000000003"/>
    <s v="high Discount"/>
    <n v="42.36"/>
    <s v="High Loss"/>
    <d v="2025-07-28T00:00:00"/>
    <n v="37"/>
    <s v="IN STOCK"/>
    <n v="2.2000000000000002"/>
    <n v="2.2000000000000002"/>
    <b v="0"/>
    <x v="0"/>
    <m/>
  </r>
  <r>
    <s v="FB000909"/>
    <x v="3"/>
    <x v="7"/>
    <x v="3"/>
    <s v="S"/>
    <s v="XXL"/>
    <s v="Green"/>
    <n v="94.93"/>
    <n v="0.16600000000000001"/>
    <n v="16.600000000000001"/>
    <n v="15.758380000000002"/>
    <s v="Low Discount"/>
    <n v="79.17"/>
    <s v="Medium Loss"/>
    <d v="2025-08-06T00:00:00"/>
    <n v="39"/>
    <s v="IN STOCK"/>
    <n v="4.8"/>
    <n v="4.8"/>
    <b v="0"/>
    <x v="0"/>
    <m/>
  </r>
  <r>
    <s v="FB000910"/>
    <x v="3"/>
    <x v="2"/>
    <x v="1"/>
    <s v="S"/>
    <s v="XS"/>
    <s v="Gray"/>
    <n v="179.82"/>
    <n v="0"/>
    <n v="0"/>
    <n v="0"/>
    <s v="No Discount"/>
    <n v="179.82"/>
    <s v="No Loss"/>
    <d v="2025-08-06T00:00:00"/>
    <n v="28"/>
    <s v="IN STOCK"/>
    <n v="2.4"/>
    <n v="2.4"/>
    <b v="1"/>
    <x v="3"/>
    <s v="Damaged"/>
  </r>
  <r>
    <s v="FB000911"/>
    <x v="1"/>
    <x v="1"/>
    <x v="0"/>
    <s v="OS"/>
    <m/>
    <s v="Brown"/>
    <n v="101.96"/>
    <n v="0.23699999999999999"/>
    <n v="23.7"/>
    <n v="24.164519999999996"/>
    <s v="Medium Discount"/>
    <n v="77.8"/>
    <s v="High Loss"/>
    <d v="2025-05-21T00:00:00"/>
    <n v="29"/>
    <s v="IN STOCK"/>
    <n v="3.6"/>
    <n v="3.6"/>
    <b v="0"/>
    <x v="0"/>
    <m/>
  </r>
  <r>
    <s v="FB000912"/>
    <x v="4"/>
    <x v="2"/>
    <x v="0"/>
    <s v="XS"/>
    <s v="S"/>
    <s v="Green"/>
    <n v="27.11"/>
    <n v="0.16200000000000001"/>
    <n v="16.2"/>
    <n v="4.3918200000000001"/>
    <s v="Low Discount"/>
    <n v="22.72"/>
    <s v="Low Loss"/>
    <d v="2024-12-08T00:00:00"/>
    <n v="10"/>
    <s v="LOW STOCK"/>
    <n v="2.4"/>
    <n v="2.4"/>
    <b v="1"/>
    <x v="5"/>
    <s v="Changed Mind"/>
  </r>
  <r>
    <s v="FB000913"/>
    <x v="0"/>
    <x v="6"/>
    <x v="3"/>
    <s v="L"/>
    <s v="S"/>
    <s v="Black"/>
    <n v="141.83000000000001"/>
    <n v="0"/>
    <n v="0"/>
    <n v="0"/>
    <s v="No Discount"/>
    <n v="141.83000000000001"/>
    <s v="No Loss"/>
    <d v="2025-08-06T00:00:00"/>
    <n v="2"/>
    <s v="LOW STOCK"/>
    <n v="2.4"/>
    <n v="2.4"/>
    <b v="1"/>
    <x v="1"/>
    <s v="Color Mismatch"/>
  </r>
  <r>
    <s v="FB000914"/>
    <x v="3"/>
    <x v="6"/>
    <x v="0"/>
    <s v="S"/>
    <m/>
    <s v="Beige"/>
    <n v="156.34"/>
    <n v="0.37"/>
    <n v="37"/>
    <n v="57.845800000000004"/>
    <s v="high Discount"/>
    <n v="98.49"/>
    <s v="High Loss"/>
    <d v="2025-04-13T00:00:00"/>
    <n v="45"/>
    <s v="IN STOCK"/>
    <n v="2.9"/>
    <n v="2.9"/>
    <b v="1"/>
    <x v="2"/>
    <s v="Size Issue"/>
  </r>
  <r>
    <s v="FB000915"/>
    <x v="1"/>
    <x v="7"/>
    <x v="3"/>
    <s v="XL"/>
    <s v="XS"/>
    <s v="Brown"/>
    <n v="81.84"/>
    <n v="0"/>
    <n v="0"/>
    <n v="0"/>
    <s v="No Discount"/>
    <n v="81.84"/>
    <s v="No Loss"/>
    <d v="2025-08-06T00:00:00"/>
    <n v="41"/>
    <s v="IN STOCK"/>
    <n v="2.4"/>
    <n v="2.4"/>
    <b v="0"/>
    <x v="0"/>
    <m/>
  </r>
  <r>
    <s v="FB000916"/>
    <x v="4"/>
    <x v="4"/>
    <x v="2"/>
    <s v="XS"/>
    <s v="L"/>
    <s v="Black"/>
    <n v="36.44"/>
    <n v="0.19899999999999998"/>
    <n v="19.899999999999999"/>
    <n v="7.2515599999999987"/>
    <s v="Low Discount"/>
    <n v="29.19"/>
    <s v="Low Loss"/>
    <d v="2025-08-06T00:00:00"/>
    <n v="39"/>
    <s v="IN STOCK"/>
    <n v="1.8"/>
    <n v="1.8"/>
    <b v="0"/>
    <x v="0"/>
    <m/>
  </r>
  <r>
    <s v="FB000917"/>
    <x v="0"/>
    <x v="5"/>
    <x v="2"/>
    <s v="OS"/>
    <s v="S"/>
    <s v="Pink"/>
    <n v="155.30000000000001"/>
    <n v="0"/>
    <n v="0"/>
    <n v="0"/>
    <s v="No Discount"/>
    <n v="155.30000000000001"/>
    <s v="No Loss"/>
    <d v="2025-08-06T00:00:00"/>
    <n v="9"/>
    <s v="LOW STOCK"/>
    <n v="3"/>
    <n v="3"/>
    <b v="0"/>
    <x v="0"/>
    <m/>
  </r>
  <r>
    <s v="FB000918"/>
    <x v="4"/>
    <x v="1"/>
    <x v="2"/>
    <s v="L"/>
    <s v="XL"/>
    <s v="Red"/>
    <n v="84.04"/>
    <n v="0.28499999999999998"/>
    <n v="28.5"/>
    <n v="23.9514"/>
    <s v="Medium Discount"/>
    <n v="60.09"/>
    <s v="High Loss"/>
    <d v="2025-08-06T00:00:00"/>
    <n v="3"/>
    <s v="LOW STOCK"/>
    <n v="1"/>
    <n v="1"/>
    <b v="0"/>
    <x v="0"/>
    <m/>
  </r>
  <r>
    <s v="FB000919"/>
    <x v="3"/>
    <x v="6"/>
    <x v="2"/>
    <s v="OS"/>
    <s v="XS"/>
    <s v="Brown"/>
    <n v="98.76"/>
    <n v="0.56399999999999995"/>
    <n v="56.4"/>
    <n v="55.70064"/>
    <s v="high Discount"/>
    <n v="43.06"/>
    <s v="High Loss"/>
    <d v="2025-08-06T00:00:00"/>
    <n v="22"/>
    <s v="IN STOCK"/>
    <n v="4.5"/>
    <n v="4.5"/>
    <b v="0"/>
    <x v="0"/>
    <m/>
  </r>
  <r>
    <s v="FB000920"/>
    <x v="2"/>
    <x v="5"/>
    <x v="3"/>
    <s v="L"/>
    <m/>
    <s v="White"/>
    <n v="52.99"/>
    <n v="0.59099999999999997"/>
    <n v="59.1"/>
    <n v="31.31709"/>
    <s v="high Discount"/>
    <n v="21.67"/>
    <s v="High Loss"/>
    <d v="2025-08-06T00:00:00"/>
    <n v="50"/>
    <s v="IN STOCK"/>
    <n v="3.4"/>
    <n v="3.4"/>
    <b v="1"/>
    <x v="2"/>
    <s v="Size Issue"/>
  </r>
  <r>
    <s v="FB000921"/>
    <x v="4"/>
    <x v="1"/>
    <x v="0"/>
    <s v="XL"/>
    <s v="L"/>
    <s v="Red"/>
    <n v="39.840000000000003"/>
    <n v="0"/>
    <n v="0"/>
    <n v="0"/>
    <s v="No Discount"/>
    <n v="39.840000000000003"/>
    <s v="No Loss"/>
    <d v="2025-04-18T00:00:00"/>
    <n v="24"/>
    <s v="IN STOCK"/>
    <n v="2.4"/>
    <n v="2.4"/>
    <b v="0"/>
    <x v="0"/>
    <m/>
  </r>
  <r>
    <s v="FB000922"/>
    <x v="2"/>
    <x v="5"/>
    <x v="0"/>
    <s v="M"/>
    <m/>
    <s v="Green"/>
    <n v="40.01"/>
    <n v="0"/>
    <n v="0"/>
    <n v="0"/>
    <s v="No Discount"/>
    <n v="40.01"/>
    <s v="No Loss"/>
    <d v="2025-06-05T00:00:00"/>
    <n v="22"/>
    <s v="IN STOCK"/>
    <n v="4.5"/>
    <n v="4.5"/>
    <b v="0"/>
    <x v="0"/>
    <m/>
  </r>
  <r>
    <s v="FB000923"/>
    <x v="0"/>
    <x v="5"/>
    <x v="3"/>
    <s v="OS"/>
    <s v="L"/>
    <s v="Navy"/>
    <n v="245.75"/>
    <n v="0"/>
    <n v="0"/>
    <n v="0"/>
    <s v="No Discount"/>
    <n v="245.75"/>
    <s v="No Loss"/>
    <d v="2025-08-06T00:00:00"/>
    <n v="12"/>
    <s v="IN STOCK"/>
    <n v="0"/>
    <m/>
    <b v="1"/>
    <x v="5"/>
    <s v="Changed Mind"/>
  </r>
  <r>
    <s v="FB000924"/>
    <x v="4"/>
    <x v="0"/>
    <x v="1"/>
    <s v="XXL"/>
    <s v="XL"/>
    <s v="Gray"/>
    <n v="102.25"/>
    <n v="0"/>
    <n v="0"/>
    <n v="0"/>
    <s v="No Discount"/>
    <n v="102.25"/>
    <s v="No Loss"/>
    <d v="2025-08-06T00:00:00"/>
    <n v="6"/>
    <s v="LOW STOCK"/>
    <n v="3.8"/>
    <n v="3.8"/>
    <b v="0"/>
    <x v="0"/>
    <m/>
  </r>
  <r>
    <s v="FB000925"/>
    <x v="1"/>
    <x v="5"/>
    <x v="3"/>
    <s v="OS"/>
    <s v="M"/>
    <s v="Gray"/>
    <n v="76.33"/>
    <n v="0"/>
    <n v="0"/>
    <n v="0"/>
    <s v="No Discount"/>
    <n v="76.33"/>
    <s v="No Loss"/>
    <d v="2025-08-06T00:00:00"/>
    <n v="15"/>
    <s v="IN STOCK"/>
    <n v="2"/>
    <n v="2"/>
    <b v="1"/>
    <x v="6"/>
    <s v="Wrong Item"/>
  </r>
  <r>
    <s v="FB000926"/>
    <x v="2"/>
    <x v="0"/>
    <x v="0"/>
    <s v="M"/>
    <m/>
    <s v="Gray"/>
    <n v="51.79"/>
    <n v="0.39"/>
    <n v="39"/>
    <n v="20.1981"/>
    <s v="high Discount"/>
    <n v="31.59"/>
    <s v="High Loss"/>
    <d v="2025-03-17T00:00:00"/>
    <n v="37"/>
    <s v="IN STOCK"/>
    <n v="2.5"/>
    <n v="2.5"/>
    <b v="0"/>
    <x v="0"/>
    <m/>
  </r>
  <r>
    <s v="FB000927"/>
    <x v="0"/>
    <x v="0"/>
    <x v="0"/>
    <s v="OS"/>
    <s v="XXL"/>
    <s v="Pink"/>
    <n v="141.24"/>
    <n v="0.129"/>
    <n v="12.9"/>
    <n v="18.21996"/>
    <s v="Low Discount"/>
    <n v="123.02"/>
    <s v="Medium Loss"/>
    <d v="2024-10-02T00:00:00"/>
    <n v="23"/>
    <s v="IN STOCK"/>
    <n v="1.7"/>
    <n v="1.7"/>
    <b v="0"/>
    <x v="0"/>
    <m/>
  </r>
  <r>
    <s v="FB000928"/>
    <x v="2"/>
    <x v="1"/>
    <x v="0"/>
    <s v="OS"/>
    <m/>
    <s v="Black"/>
    <n v="66.180000000000007"/>
    <n v="0"/>
    <n v="0"/>
    <n v="0"/>
    <s v="No Discount"/>
    <n v="66.180000000000007"/>
    <s v="No Loss"/>
    <d v="2025-05-23T00:00:00"/>
    <n v="20"/>
    <s v="IN STOCK"/>
    <n v="1.7"/>
    <n v="1.7"/>
    <b v="0"/>
    <x v="0"/>
    <m/>
  </r>
  <r>
    <s v="FB000929"/>
    <x v="1"/>
    <x v="2"/>
    <x v="3"/>
    <s v="L"/>
    <s v="M"/>
    <s v="Navy"/>
    <n v="35.15"/>
    <n v="0"/>
    <n v="0"/>
    <n v="0"/>
    <s v="No Discount"/>
    <n v="35.15"/>
    <s v="No Loss"/>
    <d v="2025-08-06T00:00:00"/>
    <n v="38"/>
    <s v="IN STOCK"/>
    <n v="2.2000000000000002"/>
    <n v="2.2000000000000002"/>
    <b v="0"/>
    <x v="0"/>
    <m/>
  </r>
  <r>
    <s v="FB000930"/>
    <x v="2"/>
    <x v="4"/>
    <x v="0"/>
    <s v="OS"/>
    <m/>
    <s v="Pink"/>
    <n v="35.619999999999997"/>
    <n v="0.41200000000000003"/>
    <n v="41.2"/>
    <n v="14.67544"/>
    <s v="high Discount"/>
    <n v="20.94"/>
    <s v="Medium Loss"/>
    <d v="2025-03-20T00:00:00"/>
    <n v="4"/>
    <s v="LOW STOCK"/>
    <n v="3.7"/>
    <n v="3.7"/>
    <b v="0"/>
    <x v="0"/>
    <m/>
  </r>
  <r>
    <s v="FB000931"/>
    <x v="2"/>
    <x v="7"/>
    <x v="3"/>
    <s v="XXL"/>
    <m/>
    <s v="Green"/>
    <n v="35.64"/>
    <n v="0"/>
    <n v="0"/>
    <n v="0"/>
    <s v="No Discount"/>
    <n v="35.64"/>
    <s v="No Loss"/>
    <d v="2025-08-06T00:00:00"/>
    <n v="48"/>
    <s v="IN STOCK"/>
    <n v="5"/>
    <n v="5"/>
    <b v="1"/>
    <x v="1"/>
    <s v="Color Mismatch"/>
  </r>
  <r>
    <s v="FB000932"/>
    <x v="4"/>
    <x v="5"/>
    <x v="3"/>
    <s v="XS"/>
    <s v="L"/>
    <s v="Red"/>
    <n v="86.68"/>
    <n v="0"/>
    <n v="0"/>
    <n v="0"/>
    <s v="No Discount"/>
    <n v="86.68"/>
    <s v="No Loss"/>
    <d v="2025-08-06T00:00:00"/>
    <n v="2"/>
    <s v="LOW STOCK"/>
    <n v="0"/>
    <m/>
    <b v="0"/>
    <x v="0"/>
    <m/>
  </r>
  <r>
    <s v="FB000933"/>
    <x v="2"/>
    <x v="4"/>
    <x v="2"/>
    <s v="S"/>
    <m/>
    <s v="Pink"/>
    <n v="17.72"/>
    <n v="0"/>
    <n v="0"/>
    <n v="0"/>
    <s v="No Discount"/>
    <n v="17.72"/>
    <s v="No Loss"/>
    <d v="2025-08-06T00:00:00"/>
    <n v="9"/>
    <s v="LOW STOCK"/>
    <n v="1.2"/>
    <n v="1.2"/>
    <b v="0"/>
    <x v="0"/>
    <m/>
  </r>
  <r>
    <s v="FB000934"/>
    <x v="0"/>
    <x v="1"/>
    <x v="2"/>
    <s v="XXL"/>
    <s v="XXL"/>
    <s v="Pink"/>
    <n v="87.95"/>
    <n v="0.13300000000000001"/>
    <n v="13.3"/>
    <n v="11.69735"/>
    <s v="Low Discount"/>
    <n v="76.25"/>
    <s v="Medium Loss"/>
    <d v="2025-08-06T00:00:00"/>
    <n v="4"/>
    <s v="LOW STOCK"/>
    <n v="4.5"/>
    <n v="4.5"/>
    <b v="0"/>
    <x v="0"/>
    <m/>
  </r>
  <r>
    <s v="FB000935"/>
    <x v="0"/>
    <x v="3"/>
    <x v="0"/>
    <s v="OS"/>
    <s v="XS"/>
    <s v="Gray"/>
    <n v="216.26"/>
    <n v="0"/>
    <n v="0"/>
    <n v="0"/>
    <s v="No Discount"/>
    <n v="216.26"/>
    <s v="No Loss"/>
    <d v="2025-04-16T00:00:00"/>
    <n v="26"/>
    <s v="IN STOCK"/>
    <n v="1.1000000000000001"/>
    <n v="1.1000000000000001"/>
    <b v="0"/>
    <x v="0"/>
    <m/>
  </r>
  <r>
    <s v="FB000936"/>
    <x v="0"/>
    <x v="3"/>
    <x v="3"/>
    <s v="XXL"/>
    <s v="S"/>
    <s v="Black"/>
    <n v="238.11"/>
    <n v="0"/>
    <n v="0"/>
    <n v="0"/>
    <s v="No Discount"/>
    <n v="238.11"/>
    <s v="No Loss"/>
    <d v="2025-08-06T00:00:00"/>
    <n v="49"/>
    <s v="IN STOCK"/>
    <n v="0"/>
    <m/>
    <b v="0"/>
    <x v="0"/>
    <m/>
  </r>
  <r>
    <s v="FB000937"/>
    <x v="3"/>
    <x v="1"/>
    <x v="1"/>
    <s v="M"/>
    <s v="XXL"/>
    <s v="Pink"/>
    <n v="112.77"/>
    <n v="0"/>
    <n v="0"/>
    <n v="0"/>
    <s v="No Discount"/>
    <n v="112.77"/>
    <s v="No Loss"/>
    <d v="2025-08-06T00:00:00"/>
    <n v="11"/>
    <s v="IN STOCK"/>
    <n v="4.0999999999999996"/>
    <n v="4.0999999999999996"/>
    <b v="0"/>
    <x v="0"/>
    <m/>
  </r>
  <r>
    <s v="FB000938"/>
    <x v="2"/>
    <x v="6"/>
    <x v="1"/>
    <s v="OS"/>
    <m/>
    <s v="Navy"/>
    <n v="39.020000000000003"/>
    <n v="0.44799999999999995"/>
    <n v="44.8"/>
    <n v="17.48096"/>
    <s v="high Discount"/>
    <n v="21.54"/>
    <s v="Medium Loss"/>
    <d v="2025-08-06T00:00:00"/>
    <n v="29"/>
    <s v="IN STOCK"/>
    <n v="3.4"/>
    <n v="3.4"/>
    <b v="0"/>
    <x v="0"/>
    <m/>
  </r>
  <r>
    <s v="FB000939"/>
    <x v="1"/>
    <x v="5"/>
    <x v="0"/>
    <s v="XS"/>
    <s v="XXL"/>
    <s v="Purple"/>
    <n v="69.77"/>
    <n v="0"/>
    <n v="0"/>
    <n v="0"/>
    <s v="No Discount"/>
    <n v="69.77"/>
    <s v="No Loss"/>
    <d v="2024-11-09T00:00:00"/>
    <n v="29"/>
    <s v="IN STOCK"/>
    <n v="5"/>
    <n v="5"/>
    <b v="0"/>
    <x v="0"/>
    <m/>
  </r>
  <r>
    <s v="FB000940"/>
    <x v="5"/>
    <x v="4"/>
    <x v="0"/>
    <s v="XXL"/>
    <s v="M"/>
    <s v="Purple"/>
    <n v="124.92"/>
    <n v="0.48399999999999999"/>
    <n v="48.4"/>
    <n v="60.461280000000002"/>
    <s v="high Discount"/>
    <n v="64.459999999999994"/>
    <s v="High Loss"/>
    <d v="2025-05-03T00:00:00"/>
    <n v="22"/>
    <s v="IN STOCK"/>
    <n v="3.2"/>
    <n v="3.2"/>
    <b v="0"/>
    <x v="0"/>
    <m/>
  </r>
  <r>
    <s v="FB000941"/>
    <x v="5"/>
    <x v="2"/>
    <x v="3"/>
    <s v="XL"/>
    <m/>
    <s v="Purple"/>
    <n v="83.92"/>
    <n v="0.29399999999999998"/>
    <n v="29.4"/>
    <n v="24.67248"/>
    <s v="Medium Discount"/>
    <n v="59.25"/>
    <s v="High Loss"/>
    <d v="2025-08-06T00:00:00"/>
    <n v="20"/>
    <s v="IN STOCK"/>
    <n v="2.1"/>
    <n v="2.1"/>
    <b v="1"/>
    <x v="4"/>
    <s v="Quality Issue"/>
  </r>
  <r>
    <s v="FB000942"/>
    <x v="0"/>
    <x v="7"/>
    <x v="2"/>
    <s v="L"/>
    <s v="XS"/>
    <s v="Beige"/>
    <n v="180.91"/>
    <n v="0"/>
    <n v="0"/>
    <n v="0"/>
    <s v="No Discount"/>
    <n v="180.91"/>
    <s v="No Loss"/>
    <d v="2025-08-06T00:00:00"/>
    <n v="10"/>
    <s v="LOW STOCK"/>
    <n v="3.8"/>
    <n v="3.8"/>
    <b v="0"/>
    <x v="0"/>
    <m/>
  </r>
  <r>
    <s v="FB000943"/>
    <x v="3"/>
    <x v="7"/>
    <x v="0"/>
    <s v="OS"/>
    <s v="XXL"/>
    <s v="Brown"/>
    <n v="120.11"/>
    <n v="0"/>
    <n v="0"/>
    <n v="0"/>
    <s v="No Discount"/>
    <n v="120.11"/>
    <s v="No Loss"/>
    <d v="2024-12-24T00:00:00"/>
    <n v="27"/>
    <s v="IN STOCK"/>
    <n v="4.0999999999999996"/>
    <n v="4.0999999999999996"/>
    <b v="0"/>
    <x v="0"/>
    <m/>
  </r>
  <r>
    <s v="FB000944"/>
    <x v="0"/>
    <x v="7"/>
    <x v="3"/>
    <s v="XXL"/>
    <s v="XL"/>
    <s v="Red"/>
    <n v="225.01"/>
    <n v="0"/>
    <n v="0"/>
    <n v="0"/>
    <s v="No Discount"/>
    <n v="225.01"/>
    <s v="No Loss"/>
    <d v="2025-08-06T00:00:00"/>
    <n v="50"/>
    <s v="IN STOCK"/>
    <n v="1.9"/>
    <n v="1.9"/>
    <b v="1"/>
    <x v="2"/>
    <s v="Size Issue"/>
  </r>
  <r>
    <s v="FB000945"/>
    <x v="5"/>
    <x v="3"/>
    <x v="3"/>
    <s v="OS"/>
    <s v="L"/>
    <s v="Green"/>
    <n v="115.57"/>
    <n v="0"/>
    <n v="0"/>
    <n v="0"/>
    <s v="No Discount"/>
    <n v="115.57"/>
    <s v="No Loss"/>
    <d v="2025-08-06T00:00:00"/>
    <n v="32"/>
    <s v="IN STOCK"/>
    <n v="3"/>
    <n v="3"/>
    <b v="0"/>
    <x v="0"/>
    <m/>
  </r>
  <r>
    <s v="FB000946"/>
    <x v="2"/>
    <x v="6"/>
    <x v="2"/>
    <s v="OS"/>
    <m/>
    <s v="Blue"/>
    <n v="21.2"/>
    <n v="0.19"/>
    <n v="19"/>
    <n v="4.0279999999999996"/>
    <s v="Low Discount"/>
    <n v="17.170000000000002"/>
    <s v="Low Loss"/>
    <d v="2025-08-06T00:00:00"/>
    <n v="22"/>
    <s v="IN STOCK"/>
    <n v="1.3"/>
    <n v="1.3"/>
    <b v="0"/>
    <x v="0"/>
    <m/>
  </r>
  <r>
    <s v="FB000947"/>
    <x v="4"/>
    <x v="0"/>
    <x v="0"/>
    <s v="OS"/>
    <s v="XXL"/>
    <s v="Black"/>
    <n v="52.36"/>
    <n v="0"/>
    <n v="0"/>
    <n v="0"/>
    <s v="No Discount"/>
    <n v="52.36"/>
    <s v="No Loss"/>
    <d v="2025-04-22T00:00:00"/>
    <n v="35"/>
    <s v="IN STOCK"/>
    <n v="0"/>
    <m/>
    <b v="0"/>
    <x v="0"/>
    <m/>
  </r>
  <r>
    <s v="FB000948"/>
    <x v="2"/>
    <x v="5"/>
    <x v="2"/>
    <s v="L"/>
    <m/>
    <s v="Gray"/>
    <n v="73.430000000000007"/>
    <n v="0"/>
    <n v="0"/>
    <n v="0"/>
    <s v="No Discount"/>
    <n v="73.430000000000007"/>
    <s v="No Loss"/>
    <d v="2025-08-06T00:00:00"/>
    <n v="22"/>
    <s v="IN STOCK"/>
    <n v="2.2999999999999998"/>
    <n v="2.2999999999999998"/>
    <b v="0"/>
    <x v="0"/>
    <m/>
  </r>
  <r>
    <s v="FB000949"/>
    <x v="2"/>
    <x v="5"/>
    <x v="0"/>
    <s v="OS"/>
    <m/>
    <s v="Purple"/>
    <n v="70.75"/>
    <n v="0"/>
    <n v="0"/>
    <n v="0"/>
    <s v="No Discount"/>
    <n v="70.75"/>
    <s v="No Loss"/>
    <d v="2025-05-12T00:00:00"/>
    <n v="0"/>
    <s v="NO STOCK"/>
    <n v="1.4"/>
    <n v="1.4"/>
    <b v="0"/>
    <x v="0"/>
    <m/>
  </r>
  <r>
    <s v="FB000950"/>
    <x v="2"/>
    <x v="6"/>
    <x v="2"/>
    <s v="XS"/>
    <m/>
    <s v="White"/>
    <n v="58.9"/>
    <n v="0"/>
    <n v="0"/>
    <n v="0"/>
    <s v="No Discount"/>
    <n v="58.9"/>
    <s v="No Loss"/>
    <d v="2025-08-06T00:00:00"/>
    <n v="39"/>
    <s v="IN STOCK"/>
    <n v="4"/>
    <n v="4"/>
    <b v="0"/>
    <x v="0"/>
    <m/>
  </r>
  <r>
    <s v="FB000951"/>
    <x v="0"/>
    <x v="7"/>
    <x v="1"/>
    <s v="XS"/>
    <s v="L"/>
    <s v="Purple"/>
    <n v="104.78"/>
    <n v="0.16899999999999998"/>
    <n v="16.899999999999999"/>
    <n v="17.707819999999998"/>
    <s v="Low Discount"/>
    <n v="87.07"/>
    <s v="Medium Loss"/>
    <d v="2025-08-06T00:00:00"/>
    <n v="43"/>
    <s v="IN STOCK"/>
    <n v="4.3"/>
    <n v="4.3"/>
    <b v="0"/>
    <x v="0"/>
    <m/>
  </r>
  <r>
    <s v="FB000952"/>
    <x v="2"/>
    <x v="7"/>
    <x v="2"/>
    <s v="M"/>
    <m/>
    <s v="Blue"/>
    <n v="55.3"/>
    <n v="0"/>
    <n v="0"/>
    <n v="0"/>
    <s v="No Discount"/>
    <n v="55.3"/>
    <s v="No Loss"/>
    <d v="2025-08-06T00:00:00"/>
    <n v="17"/>
    <s v="IN STOCK"/>
    <n v="2.5"/>
    <n v="2.5"/>
    <b v="0"/>
    <x v="0"/>
    <m/>
  </r>
  <r>
    <s v="FB000953"/>
    <x v="4"/>
    <x v="6"/>
    <x v="3"/>
    <s v="XL"/>
    <s v="XS"/>
    <s v="Black"/>
    <n v="56.65"/>
    <n v="0.34"/>
    <n v="34"/>
    <n v="19.260999999999999"/>
    <s v="high Discount"/>
    <n v="37.39"/>
    <s v="Medium Loss"/>
    <d v="2025-08-06T00:00:00"/>
    <n v="23"/>
    <s v="IN STOCK"/>
    <n v="4.3"/>
    <n v="4.3"/>
    <b v="0"/>
    <x v="0"/>
    <m/>
  </r>
  <r>
    <s v="FB000954"/>
    <x v="3"/>
    <x v="1"/>
    <x v="2"/>
    <s v="M"/>
    <s v="XS"/>
    <s v="Pink"/>
    <n v="199.14"/>
    <n v="0"/>
    <n v="0"/>
    <n v="0"/>
    <s v="No Discount"/>
    <n v="199.14"/>
    <s v="No Loss"/>
    <d v="2025-08-06T00:00:00"/>
    <n v="18"/>
    <s v="IN STOCK"/>
    <n v="0"/>
    <m/>
    <b v="0"/>
    <x v="0"/>
    <m/>
  </r>
  <r>
    <s v="FB000955"/>
    <x v="3"/>
    <x v="0"/>
    <x v="2"/>
    <s v="XXL"/>
    <s v="M"/>
    <s v="Pink"/>
    <n v="128.68"/>
    <n v="0"/>
    <n v="0"/>
    <n v="0"/>
    <s v="No Discount"/>
    <n v="128.68"/>
    <s v="No Loss"/>
    <d v="2025-08-06T00:00:00"/>
    <n v="8"/>
    <s v="LOW STOCK"/>
    <n v="2.2000000000000002"/>
    <n v="2.2000000000000002"/>
    <b v="0"/>
    <x v="0"/>
    <m/>
  </r>
  <r>
    <s v="FB000956"/>
    <x v="0"/>
    <x v="1"/>
    <x v="2"/>
    <s v="OS"/>
    <s v="XL"/>
    <s v="Beige"/>
    <n v="150.37"/>
    <n v="0.51900000000000002"/>
    <n v="51.9"/>
    <n v="78.042030000000011"/>
    <s v="high Discount"/>
    <n v="72.33"/>
    <s v="High Loss"/>
    <d v="2025-08-06T00:00:00"/>
    <n v="15"/>
    <s v="IN STOCK"/>
    <n v="5"/>
    <n v="5"/>
    <b v="0"/>
    <x v="0"/>
    <m/>
  </r>
  <r>
    <s v="FB000957"/>
    <x v="5"/>
    <x v="7"/>
    <x v="1"/>
    <s v="S"/>
    <s v="M"/>
    <s v="Pink"/>
    <n v="162.65"/>
    <n v="0"/>
    <n v="0"/>
    <n v="0"/>
    <s v="No Discount"/>
    <n v="162.65"/>
    <s v="No Loss"/>
    <d v="2025-08-06T00:00:00"/>
    <n v="36"/>
    <s v="IN STOCK"/>
    <n v="1.4"/>
    <n v="1.4"/>
    <b v="0"/>
    <x v="0"/>
    <m/>
  </r>
  <r>
    <s v="FB000958"/>
    <x v="4"/>
    <x v="3"/>
    <x v="3"/>
    <s v="S"/>
    <s v="XXL"/>
    <s v="White"/>
    <n v="28.9"/>
    <n v="0"/>
    <n v="0"/>
    <n v="0"/>
    <s v="No Discount"/>
    <n v="28.9"/>
    <s v="No Loss"/>
    <d v="2025-08-06T00:00:00"/>
    <n v="5"/>
    <s v="LOW STOCK"/>
    <n v="4.5999999999999996"/>
    <n v="4.5999999999999996"/>
    <b v="0"/>
    <x v="0"/>
    <m/>
  </r>
  <r>
    <s v="FB000959"/>
    <x v="2"/>
    <x v="7"/>
    <x v="0"/>
    <s v="S"/>
    <m/>
    <s v="Pink"/>
    <n v="75.59"/>
    <n v="0.38799999999999996"/>
    <n v="38.799999999999997"/>
    <n v="29.328919999999997"/>
    <s v="high Discount"/>
    <n v="46.26"/>
    <s v="High Loss"/>
    <d v="2025-03-29T00:00:00"/>
    <n v="43"/>
    <s v="IN STOCK"/>
    <n v="1.1000000000000001"/>
    <n v="1.1000000000000001"/>
    <b v="0"/>
    <x v="0"/>
    <m/>
  </r>
  <r>
    <s v="FB000960"/>
    <x v="1"/>
    <x v="0"/>
    <x v="0"/>
    <s v="M"/>
    <s v="S"/>
    <s v="Brown"/>
    <n v="30.9"/>
    <n v="5.5E-2"/>
    <n v="5.5"/>
    <n v="1.6995"/>
    <s v="Low Discount"/>
    <n v="29.2"/>
    <s v="Low Loss"/>
    <d v="2024-11-06T00:00:00"/>
    <n v="25"/>
    <s v="IN STOCK"/>
    <n v="1.4"/>
    <n v="1.4"/>
    <b v="0"/>
    <x v="0"/>
    <m/>
  </r>
  <r>
    <s v="FB000961"/>
    <x v="0"/>
    <x v="3"/>
    <x v="3"/>
    <s v="XXL"/>
    <s v="S"/>
    <s v="Blue"/>
    <n v="101.04"/>
    <n v="0"/>
    <n v="0"/>
    <n v="0"/>
    <s v="No Discount"/>
    <n v="101.04"/>
    <s v="No Loss"/>
    <d v="2025-08-06T00:00:00"/>
    <n v="35"/>
    <s v="IN STOCK"/>
    <n v="3.5"/>
    <n v="3.5"/>
    <b v="0"/>
    <x v="0"/>
    <m/>
  </r>
  <r>
    <s v="FB000962"/>
    <x v="5"/>
    <x v="7"/>
    <x v="2"/>
    <s v="XXL"/>
    <s v="S"/>
    <s v="White"/>
    <n v="54.81"/>
    <n v="0"/>
    <n v="0"/>
    <n v="0"/>
    <s v="No Discount"/>
    <n v="54.81"/>
    <s v="No Loss"/>
    <d v="2025-08-06T00:00:00"/>
    <n v="41"/>
    <s v="IN STOCK"/>
    <n v="1.2"/>
    <n v="1.2"/>
    <b v="1"/>
    <x v="6"/>
    <s v="Wrong Item"/>
  </r>
  <r>
    <s v="FB000963"/>
    <x v="3"/>
    <x v="4"/>
    <x v="3"/>
    <s v="M"/>
    <s v="M"/>
    <s v="Navy"/>
    <n v="191.61"/>
    <n v="0.42100000000000004"/>
    <n v="42.1"/>
    <n v="80.667810000000017"/>
    <s v="high Discount"/>
    <n v="110.94"/>
    <s v="High Loss"/>
    <d v="2025-08-06T00:00:00"/>
    <n v="28"/>
    <s v="IN STOCK"/>
    <n v="4"/>
    <n v="4"/>
    <b v="0"/>
    <x v="0"/>
    <m/>
  </r>
  <r>
    <s v="FB000964"/>
    <x v="1"/>
    <x v="3"/>
    <x v="3"/>
    <s v="XS"/>
    <s v="XXL"/>
    <s v="Pink"/>
    <n v="100.5"/>
    <n v="0"/>
    <n v="0"/>
    <n v="0"/>
    <s v="No Discount"/>
    <n v="100.5"/>
    <s v="No Loss"/>
    <d v="2025-08-06T00:00:00"/>
    <n v="12"/>
    <s v="IN STOCK"/>
    <n v="2.7"/>
    <n v="2.7"/>
    <b v="1"/>
    <x v="3"/>
    <s v="Damaged"/>
  </r>
  <r>
    <s v="FB000965"/>
    <x v="3"/>
    <x v="3"/>
    <x v="0"/>
    <s v="XS"/>
    <s v="XXL"/>
    <s v="Green"/>
    <n v="92.35"/>
    <n v="0.23600000000000002"/>
    <n v="23.6"/>
    <n v="21.794599999999999"/>
    <s v="Medium Discount"/>
    <n v="70.56"/>
    <s v="High Loss"/>
    <d v="2024-11-28T00:00:00"/>
    <n v="32"/>
    <s v="IN STOCK"/>
    <n v="2.2000000000000002"/>
    <n v="2.2000000000000002"/>
    <b v="0"/>
    <x v="0"/>
    <m/>
  </r>
  <r>
    <s v="FB000966"/>
    <x v="3"/>
    <x v="5"/>
    <x v="3"/>
    <s v="L"/>
    <s v="M"/>
    <s v="Gray"/>
    <n v="161.24"/>
    <n v="0.56600000000000006"/>
    <n v="56.6"/>
    <n v="91.261840000000021"/>
    <s v="high Discount"/>
    <n v="69.98"/>
    <s v="High Loss"/>
    <d v="2025-08-06T00:00:00"/>
    <n v="8"/>
    <s v="LOW STOCK"/>
    <n v="2.1"/>
    <n v="2.1"/>
    <b v="0"/>
    <x v="0"/>
    <m/>
  </r>
  <r>
    <s v="FB000967"/>
    <x v="5"/>
    <x v="3"/>
    <x v="1"/>
    <s v="XS"/>
    <s v="XS"/>
    <s v="Gray"/>
    <n v="68.03"/>
    <n v="6.3E-2"/>
    <n v="6.3"/>
    <n v="4.2858900000000002"/>
    <s v="Low Discount"/>
    <n v="63.74"/>
    <s v="Low Loss"/>
    <d v="2025-08-06T00:00:00"/>
    <n v="43"/>
    <s v="IN STOCK"/>
    <n v="3.4"/>
    <n v="3.4"/>
    <b v="0"/>
    <x v="0"/>
    <m/>
  </r>
  <r>
    <s v="FB000968"/>
    <x v="3"/>
    <x v="5"/>
    <x v="2"/>
    <s v="XXL"/>
    <s v="XS"/>
    <s v="Purple"/>
    <n v="121.21"/>
    <n v="0.47399999999999998"/>
    <n v="47.4"/>
    <n v="57.453539999999997"/>
    <s v="high Discount"/>
    <n v="63.76"/>
    <s v="High Loss"/>
    <d v="2025-08-06T00:00:00"/>
    <n v="45"/>
    <s v="IN STOCK"/>
    <n v="3"/>
    <n v="3"/>
    <b v="1"/>
    <x v="5"/>
    <s v="Changed Mind"/>
  </r>
  <r>
    <s v="FB000969"/>
    <x v="1"/>
    <x v="0"/>
    <x v="1"/>
    <s v="XL"/>
    <s v="L"/>
    <s v="Blue"/>
    <n v="69.599999999999994"/>
    <n v="0.28800000000000003"/>
    <n v="28.8"/>
    <n v="20.044800000000002"/>
    <s v="Medium Discount"/>
    <n v="49.56"/>
    <s v="High Loss"/>
    <d v="2025-08-06T00:00:00"/>
    <n v="42"/>
    <s v="IN STOCK"/>
    <n v="3.7"/>
    <n v="3.7"/>
    <b v="0"/>
    <x v="0"/>
    <m/>
  </r>
  <r>
    <s v="FB000970"/>
    <x v="0"/>
    <x v="2"/>
    <x v="1"/>
    <s v="S"/>
    <s v="XS"/>
    <s v="White"/>
    <n v="222.5"/>
    <n v="0.187"/>
    <n v="18.7"/>
    <n v="41.607500000000002"/>
    <s v="Low Discount"/>
    <n v="180.89"/>
    <s v="High Loss"/>
    <d v="2025-08-06T00:00:00"/>
    <n v="47"/>
    <s v="IN STOCK"/>
    <n v="0"/>
    <m/>
    <b v="0"/>
    <x v="0"/>
    <m/>
  </r>
  <r>
    <s v="FB000971"/>
    <x v="4"/>
    <x v="7"/>
    <x v="2"/>
    <s v="OS"/>
    <s v="XXL"/>
    <s v="Pink"/>
    <n v="25.58"/>
    <n v="0.54500000000000004"/>
    <n v="54.5"/>
    <n v="13.9411"/>
    <s v="high Discount"/>
    <n v="11.64"/>
    <s v="Medium Loss"/>
    <d v="2025-08-06T00:00:00"/>
    <n v="34"/>
    <s v="IN STOCK"/>
    <n v="2.4"/>
    <n v="2.4"/>
    <b v="0"/>
    <x v="0"/>
    <m/>
  </r>
  <r>
    <s v="FB000972"/>
    <x v="5"/>
    <x v="3"/>
    <x v="3"/>
    <s v="XS"/>
    <s v="XL"/>
    <s v="Blue"/>
    <n v="54.46"/>
    <n v="6.6000000000000003E-2"/>
    <n v="6.6"/>
    <n v="3.5943600000000004"/>
    <s v="Low Discount"/>
    <n v="50.87"/>
    <s v="Low Loss"/>
    <d v="2025-08-06T00:00:00"/>
    <n v="17"/>
    <s v="IN STOCK"/>
    <n v="1.7"/>
    <n v="1.7"/>
    <b v="0"/>
    <x v="0"/>
    <m/>
  </r>
  <r>
    <s v="FB000973"/>
    <x v="4"/>
    <x v="7"/>
    <x v="1"/>
    <s v="L"/>
    <s v="S"/>
    <s v="Pink"/>
    <n v="43.32"/>
    <n v="0"/>
    <n v="0"/>
    <n v="0"/>
    <s v="No Discount"/>
    <n v="43.32"/>
    <s v="No Loss"/>
    <d v="2025-08-06T00:00:00"/>
    <n v="0"/>
    <s v="NO STOCK"/>
    <n v="2.6"/>
    <n v="2.6"/>
    <b v="0"/>
    <x v="0"/>
    <m/>
  </r>
  <r>
    <s v="FB000974"/>
    <x v="2"/>
    <x v="7"/>
    <x v="1"/>
    <s v="XXL"/>
    <m/>
    <s v="Red"/>
    <n v="75.09"/>
    <n v="0"/>
    <n v="0"/>
    <n v="0"/>
    <s v="No Discount"/>
    <n v="75.09"/>
    <s v="No Loss"/>
    <d v="2025-08-06T00:00:00"/>
    <n v="41"/>
    <s v="IN STOCK"/>
    <n v="3.5"/>
    <n v="3.5"/>
    <b v="0"/>
    <x v="0"/>
    <m/>
  </r>
  <r>
    <s v="FB000975"/>
    <x v="5"/>
    <x v="1"/>
    <x v="0"/>
    <s v="S"/>
    <s v="XS"/>
    <s v="Red"/>
    <n v="167.46"/>
    <n v="0"/>
    <n v="0"/>
    <n v="0"/>
    <s v="No Discount"/>
    <n v="167.46"/>
    <s v="No Loss"/>
    <d v="2024-08-18T00:00:00"/>
    <n v="4"/>
    <s v="LOW STOCK"/>
    <n v="1.3"/>
    <n v="1.3"/>
    <b v="0"/>
    <x v="0"/>
    <m/>
  </r>
  <r>
    <s v="FB000976"/>
    <x v="3"/>
    <x v="2"/>
    <x v="2"/>
    <s v="M"/>
    <s v="L"/>
    <s v="Blue"/>
    <n v="111.24"/>
    <n v="0.34299999999999997"/>
    <n v="34.299999999999997"/>
    <n v="38.155319999999996"/>
    <s v="high Discount"/>
    <n v="73.08"/>
    <s v="High Loss"/>
    <d v="2025-08-06T00:00:00"/>
    <n v="3"/>
    <s v="LOW STOCK"/>
    <n v="2.2000000000000002"/>
    <n v="2.2000000000000002"/>
    <b v="0"/>
    <x v="0"/>
    <m/>
  </r>
  <r>
    <s v="FB000977"/>
    <x v="4"/>
    <x v="1"/>
    <x v="2"/>
    <s v="XS"/>
    <s v="XXL"/>
    <s v="Navy"/>
    <n v="59.36"/>
    <n v="0"/>
    <n v="0"/>
    <n v="0"/>
    <s v="No Discount"/>
    <n v="59.36"/>
    <s v="No Loss"/>
    <d v="2025-08-06T00:00:00"/>
    <n v="16"/>
    <s v="IN STOCK"/>
    <n v="0"/>
    <m/>
    <b v="0"/>
    <x v="0"/>
    <m/>
  </r>
  <r>
    <s v="FB000978"/>
    <x v="3"/>
    <x v="2"/>
    <x v="2"/>
    <s v="OS"/>
    <s v="S"/>
    <s v="Navy"/>
    <n v="199.46"/>
    <n v="0"/>
    <n v="0"/>
    <n v="0"/>
    <s v="No Discount"/>
    <n v="199.46"/>
    <s v="No Loss"/>
    <d v="2025-08-06T00:00:00"/>
    <n v="15"/>
    <s v="IN STOCK"/>
    <n v="1.4"/>
    <n v="1.4"/>
    <b v="0"/>
    <x v="0"/>
    <m/>
  </r>
  <r>
    <s v="FB000979"/>
    <x v="3"/>
    <x v="7"/>
    <x v="2"/>
    <s v="L"/>
    <s v="M"/>
    <s v="White"/>
    <n v="72.75"/>
    <n v="0.502"/>
    <n v="50.2"/>
    <n v="36.520499999999998"/>
    <s v="high Discount"/>
    <n v="36.229999999999997"/>
    <s v="High Loss"/>
    <d v="2025-08-06T00:00:00"/>
    <n v="28"/>
    <s v="IN STOCK"/>
    <n v="3.6"/>
    <n v="3.6"/>
    <b v="0"/>
    <x v="0"/>
    <m/>
  </r>
  <r>
    <s v="FB000980"/>
    <x v="4"/>
    <x v="3"/>
    <x v="2"/>
    <s v="L"/>
    <s v="XS"/>
    <s v="Pink"/>
    <n v="86.52"/>
    <n v="0.27600000000000002"/>
    <n v="27.6"/>
    <n v="23.879519999999999"/>
    <s v="Medium Discount"/>
    <n v="62.64"/>
    <s v="High Loss"/>
    <d v="2025-08-06T00:00:00"/>
    <n v="47"/>
    <s v="IN STOCK"/>
    <n v="1.1000000000000001"/>
    <n v="1.1000000000000001"/>
    <b v="0"/>
    <x v="0"/>
    <m/>
  </r>
  <r>
    <s v="FB000981"/>
    <x v="2"/>
    <x v="7"/>
    <x v="0"/>
    <s v="XL"/>
    <m/>
    <s v="Blue"/>
    <n v="52.69"/>
    <n v="0.40200000000000002"/>
    <n v="40.200000000000003"/>
    <n v="21.181380000000001"/>
    <s v="high Discount"/>
    <n v="31.51"/>
    <s v="High Loss"/>
    <d v="2024-11-15T00:00:00"/>
    <n v="7"/>
    <s v="LOW STOCK"/>
    <n v="2.7"/>
    <n v="2.7"/>
    <b v="0"/>
    <x v="0"/>
    <m/>
  </r>
  <r>
    <s v="FB000982"/>
    <x v="0"/>
    <x v="2"/>
    <x v="2"/>
    <s v="XL"/>
    <s v="L"/>
    <s v="Black"/>
    <n v="104.18"/>
    <n v="0"/>
    <n v="0"/>
    <n v="0"/>
    <s v="No Discount"/>
    <n v="104.18"/>
    <s v="No Loss"/>
    <d v="2025-08-06T00:00:00"/>
    <n v="12"/>
    <s v="IN STOCK"/>
    <n v="5"/>
    <n v="5"/>
    <b v="0"/>
    <x v="0"/>
    <m/>
  </r>
  <r>
    <s v="FB000983"/>
    <x v="0"/>
    <x v="4"/>
    <x v="1"/>
    <s v="XXL"/>
    <s v="L"/>
    <s v="Red"/>
    <n v="132.38"/>
    <n v="0.58200000000000007"/>
    <n v="58.2"/>
    <n v="77.04516000000001"/>
    <s v="high Discount"/>
    <n v="55.33"/>
    <s v="High Loss"/>
    <d v="2025-08-06T00:00:00"/>
    <n v="24"/>
    <s v="IN STOCK"/>
    <n v="0"/>
    <m/>
    <b v="0"/>
    <x v="0"/>
    <m/>
  </r>
  <r>
    <s v="FB000984"/>
    <x v="3"/>
    <x v="4"/>
    <x v="2"/>
    <s v="XL"/>
    <s v="XL"/>
    <s v="Pink"/>
    <n v="64.400000000000006"/>
    <n v="0"/>
    <n v="0"/>
    <n v="0"/>
    <s v="No Discount"/>
    <n v="64.400000000000006"/>
    <s v="No Loss"/>
    <d v="2025-08-06T00:00:00"/>
    <n v="40"/>
    <s v="IN STOCK"/>
    <n v="4.9000000000000004"/>
    <n v="4.9000000000000004"/>
    <b v="0"/>
    <x v="0"/>
    <m/>
  </r>
  <r>
    <s v="FB000985"/>
    <x v="4"/>
    <x v="0"/>
    <x v="3"/>
    <s v="S"/>
    <s v="XL"/>
    <s v="Gray"/>
    <n v="34.07"/>
    <n v="0"/>
    <n v="0"/>
    <n v="0"/>
    <s v="No Discount"/>
    <n v="34.07"/>
    <s v="No Loss"/>
    <d v="2025-08-06T00:00:00"/>
    <n v="25"/>
    <s v="IN STOCK"/>
    <n v="4.2"/>
    <n v="4.2"/>
    <b v="1"/>
    <x v="6"/>
    <s v="Wrong Item"/>
  </r>
  <r>
    <s v="FB000986"/>
    <x v="4"/>
    <x v="0"/>
    <x v="1"/>
    <s v="XXL"/>
    <s v="XXL"/>
    <s v="Red"/>
    <n v="43.33"/>
    <n v="0.45299999999999996"/>
    <n v="45.3"/>
    <n v="19.628489999999996"/>
    <s v="high Discount"/>
    <n v="23.7"/>
    <s v="Medium Loss"/>
    <d v="2025-08-06T00:00:00"/>
    <n v="1"/>
    <s v="LOW STOCK"/>
    <n v="3.4"/>
    <n v="3.4"/>
    <b v="0"/>
    <x v="0"/>
    <m/>
  </r>
  <r>
    <s v="FB000987"/>
    <x v="0"/>
    <x v="1"/>
    <x v="0"/>
    <s v="S"/>
    <s v="XL"/>
    <s v="White"/>
    <n v="122.92"/>
    <n v="0"/>
    <n v="0"/>
    <n v="0"/>
    <s v="No Discount"/>
    <n v="122.92"/>
    <s v="No Loss"/>
    <d v="2024-11-06T00:00:00"/>
    <n v="41"/>
    <s v="IN STOCK"/>
    <n v="2.9"/>
    <n v="2.9"/>
    <b v="0"/>
    <x v="0"/>
    <m/>
  </r>
  <r>
    <s v="FB000988"/>
    <x v="3"/>
    <x v="0"/>
    <x v="0"/>
    <s v="OS"/>
    <s v="S"/>
    <s v="Gray"/>
    <n v="142.84"/>
    <n v="0"/>
    <n v="0"/>
    <n v="0"/>
    <s v="No Discount"/>
    <n v="142.84"/>
    <s v="No Loss"/>
    <d v="2025-02-14T00:00:00"/>
    <n v="36"/>
    <s v="IN STOCK"/>
    <n v="0"/>
    <m/>
    <b v="0"/>
    <x v="0"/>
    <m/>
  </r>
  <r>
    <s v="FB000989"/>
    <x v="3"/>
    <x v="6"/>
    <x v="3"/>
    <s v="OS"/>
    <s v="XXL"/>
    <s v="Black"/>
    <n v="131.55000000000001"/>
    <n v="0"/>
    <n v="0"/>
    <n v="0"/>
    <s v="No Discount"/>
    <n v="131.55000000000001"/>
    <s v="No Loss"/>
    <d v="2025-08-06T00:00:00"/>
    <n v="45"/>
    <s v="IN STOCK"/>
    <n v="1.8"/>
    <n v="1.8"/>
    <b v="0"/>
    <x v="0"/>
    <m/>
  </r>
  <r>
    <s v="FB000990"/>
    <x v="0"/>
    <x v="0"/>
    <x v="0"/>
    <s v="S"/>
    <s v="S"/>
    <s v="Red"/>
    <n v="192.58"/>
    <n v="0"/>
    <n v="0"/>
    <n v="0"/>
    <s v="No Discount"/>
    <n v="192.58"/>
    <s v="No Loss"/>
    <d v="2025-04-17T00:00:00"/>
    <n v="16"/>
    <s v="IN STOCK"/>
    <n v="1.2"/>
    <n v="1.2"/>
    <b v="0"/>
    <x v="0"/>
    <m/>
  </r>
  <r>
    <s v="FB000991"/>
    <x v="2"/>
    <x v="5"/>
    <x v="0"/>
    <s v="OS"/>
    <m/>
    <s v="Purple"/>
    <n v="33.56"/>
    <n v="0"/>
    <n v="0"/>
    <n v="0"/>
    <s v="No Discount"/>
    <n v="33.56"/>
    <s v="No Loss"/>
    <d v="2025-03-27T00:00:00"/>
    <n v="24"/>
    <s v="IN STOCK"/>
    <n v="3"/>
    <n v="3"/>
    <b v="0"/>
    <x v="0"/>
    <m/>
  </r>
  <r>
    <s v="FB000992"/>
    <x v="2"/>
    <x v="1"/>
    <x v="3"/>
    <s v="M"/>
    <m/>
    <s v="Blue"/>
    <n v="59.1"/>
    <n v="0"/>
    <n v="0"/>
    <n v="0"/>
    <s v="No Discount"/>
    <n v="59.1"/>
    <s v="No Loss"/>
    <d v="2025-08-06T00:00:00"/>
    <n v="29"/>
    <s v="IN STOCK"/>
    <n v="1.3"/>
    <n v="1.3"/>
    <b v="0"/>
    <x v="0"/>
    <m/>
  </r>
  <r>
    <s v="FB000993"/>
    <x v="3"/>
    <x v="6"/>
    <x v="2"/>
    <s v="XL"/>
    <s v="S"/>
    <s v="Gray"/>
    <n v="109.15"/>
    <n v="0.20699999999999999"/>
    <n v="20.7"/>
    <n v="22.594049999999999"/>
    <s v="Medium Discount"/>
    <n v="86.56"/>
    <s v="High Loss"/>
    <d v="2025-08-06T00:00:00"/>
    <n v="28"/>
    <s v="IN STOCK"/>
    <n v="2"/>
    <n v="2"/>
    <b v="1"/>
    <x v="5"/>
    <s v="Changed Mind"/>
  </r>
  <r>
    <s v="FB000994"/>
    <x v="4"/>
    <x v="5"/>
    <x v="2"/>
    <s v="S"/>
    <m/>
    <s v="Beige"/>
    <n v="59.1"/>
    <n v="0"/>
    <n v="0"/>
    <n v="0"/>
    <s v="No Discount"/>
    <n v="59.1"/>
    <s v="No Loss"/>
    <d v="2025-08-06T00:00:00"/>
    <n v="47"/>
    <s v="IN STOCK"/>
    <n v="4.5999999999999996"/>
    <n v="4.5999999999999996"/>
    <b v="0"/>
    <x v="0"/>
    <m/>
  </r>
  <r>
    <s v="FB000995"/>
    <x v="3"/>
    <x v="6"/>
    <x v="0"/>
    <s v="XL"/>
    <s v="M"/>
    <s v="Purple"/>
    <n v="99.33"/>
    <n v="0"/>
    <n v="0"/>
    <n v="0"/>
    <s v="No Discount"/>
    <n v="99.33"/>
    <s v="No Loss"/>
    <d v="2025-05-21T00:00:00"/>
    <n v="16"/>
    <s v="IN STOCK"/>
    <n v="3.9"/>
    <n v="3.9"/>
    <b v="0"/>
    <x v="0"/>
    <m/>
  </r>
  <r>
    <s v="FB000996"/>
    <x v="5"/>
    <x v="5"/>
    <x v="1"/>
    <s v="XS"/>
    <s v="XL"/>
    <s v="Navy"/>
    <n v="92.75"/>
    <n v="0"/>
    <n v="0"/>
    <n v="0"/>
    <s v="No Discount"/>
    <n v="92.75"/>
    <s v="No Loss"/>
    <d v="2025-08-06T00:00:00"/>
    <n v="29"/>
    <s v="IN STOCK"/>
    <n v="0"/>
    <m/>
    <b v="1"/>
    <x v="5"/>
    <s v="Changed Mind"/>
  </r>
  <r>
    <s v="FB000997"/>
    <x v="1"/>
    <x v="0"/>
    <x v="3"/>
    <s v="OS"/>
    <s v="S"/>
    <s v="Beige"/>
    <n v="116.82"/>
    <n v="0"/>
    <n v="0"/>
    <n v="0"/>
    <s v="No Discount"/>
    <n v="116.82"/>
    <s v="No Loss"/>
    <d v="2025-08-06T00:00:00"/>
    <n v="34"/>
    <s v="IN STOCK"/>
    <n v="0"/>
    <m/>
    <b v="0"/>
    <x v="0"/>
    <m/>
  </r>
  <r>
    <s v="FB000998"/>
    <x v="0"/>
    <x v="5"/>
    <x v="3"/>
    <s v="XS"/>
    <s v="XL"/>
    <s v="Green"/>
    <n v="129.78"/>
    <n v="9.5000000000000001E-2"/>
    <n v="9.5"/>
    <n v="12.3291"/>
    <s v="Low Discount"/>
    <n v="117.45"/>
    <s v="Medium Loss"/>
    <d v="2025-08-06T00:00:00"/>
    <n v="17"/>
    <s v="IN STOCK"/>
    <n v="4"/>
    <n v="4"/>
    <b v="0"/>
    <x v="0"/>
    <m/>
  </r>
  <r>
    <s v="FB000999"/>
    <x v="5"/>
    <x v="2"/>
    <x v="0"/>
    <s v="L"/>
    <s v="XS"/>
    <s v="Brown"/>
    <n v="135.69"/>
    <n v="0.03"/>
    <n v="3"/>
    <n v="4.0706999999999995"/>
    <s v="Low Discount"/>
    <n v="131.62"/>
    <s v="Low Loss"/>
    <d v="2024-08-29T00:00:00"/>
    <n v="16"/>
    <s v="IN STOCK"/>
    <n v="0"/>
    <m/>
    <b v="0"/>
    <x v="0"/>
    <m/>
  </r>
  <r>
    <s v="FB001000"/>
    <x v="5"/>
    <x v="6"/>
    <x v="2"/>
    <s v="OS"/>
    <m/>
    <s v="Red"/>
    <n v="48.14"/>
    <n v="0.28300000000000003"/>
    <n v="28.3"/>
    <n v="13.623620000000001"/>
    <s v="Medium Discount"/>
    <n v="34.520000000000003"/>
    <s v="Medium Loss"/>
    <d v="2025-08-06T00:00:00"/>
    <n v="41"/>
    <s v="IN STOCK"/>
    <n v="0"/>
    <m/>
    <b v="0"/>
    <x v="0"/>
    <m/>
  </r>
  <r>
    <s v="FB001001"/>
    <x v="5"/>
    <x v="3"/>
    <x v="2"/>
    <s v="L"/>
    <s v="XS"/>
    <s v="Blue"/>
    <n v="142.96"/>
    <n v="0.47700000000000004"/>
    <n v="47.7"/>
    <n v="68.19192000000001"/>
    <s v="high Discount"/>
    <n v="74.77"/>
    <s v="High Loss"/>
    <d v="2025-08-06T00:00:00"/>
    <n v="7"/>
    <s v="LOW STOCK"/>
    <n v="0"/>
    <m/>
    <b v="0"/>
    <x v="0"/>
    <m/>
  </r>
  <r>
    <s v="FB001002"/>
    <x v="1"/>
    <x v="7"/>
    <x v="0"/>
    <s v="OS"/>
    <s v="L"/>
    <s v="Beige"/>
    <n v="51.72"/>
    <n v="0"/>
    <n v="0"/>
    <n v="0"/>
    <s v="No Discount"/>
    <n v="51.72"/>
    <s v="No Loss"/>
    <d v="2025-02-14T00:00:00"/>
    <n v="50"/>
    <s v="IN STOCK"/>
    <n v="0"/>
    <m/>
    <b v="0"/>
    <x v="0"/>
    <m/>
  </r>
  <r>
    <s v="FB001003"/>
    <x v="2"/>
    <x v="0"/>
    <x v="2"/>
    <s v="OS"/>
    <m/>
    <s v="Brown"/>
    <n v="18.3"/>
    <n v="0.38299999999999995"/>
    <n v="38.299999999999997"/>
    <n v="7.0088999999999997"/>
    <s v="high Discount"/>
    <n v="11.29"/>
    <s v="Low Loss"/>
    <d v="2025-08-06T00:00:00"/>
    <n v="14"/>
    <s v="IN STOCK"/>
    <n v="1.1000000000000001"/>
    <n v="1.1000000000000001"/>
    <b v="0"/>
    <x v="0"/>
    <m/>
  </r>
  <r>
    <s v="FB001004"/>
    <x v="0"/>
    <x v="3"/>
    <x v="0"/>
    <s v="OS"/>
    <s v="L"/>
    <s v="Navy"/>
    <n v="214.99"/>
    <n v="0.28999999999999998"/>
    <n v="29"/>
    <n v="62.347099999999998"/>
    <s v="Medium Discount"/>
    <n v="152.63999999999999"/>
    <s v="High Loss"/>
    <d v="2024-09-06T00:00:00"/>
    <n v="32"/>
    <s v="IN STOCK"/>
    <n v="2.8"/>
    <n v="2.8"/>
    <b v="1"/>
    <x v="6"/>
    <s v="Wrong Item"/>
  </r>
  <r>
    <s v="FB001005"/>
    <x v="2"/>
    <x v="6"/>
    <x v="0"/>
    <s v="OS"/>
    <m/>
    <s v="Red"/>
    <n v="20.77"/>
    <n v="0"/>
    <n v="0"/>
    <n v="0"/>
    <s v="No Discount"/>
    <n v="20.77"/>
    <s v="No Loss"/>
    <d v="2024-08-17T00:00:00"/>
    <n v="31"/>
    <s v="IN STOCK"/>
    <n v="2"/>
    <n v="2"/>
    <b v="0"/>
    <x v="0"/>
    <m/>
  </r>
  <r>
    <s v="FB001006"/>
    <x v="2"/>
    <x v="6"/>
    <x v="3"/>
    <s v="XS"/>
    <m/>
    <s v="Pink"/>
    <n v="77.959999999999994"/>
    <n v="0"/>
    <n v="0"/>
    <n v="0"/>
    <s v="No Discount"/>
    <n v="77.959999999999994"/>
    <s v="No Loss"/>
    <d v="2025-08-06T00:00:00"/>
    <n v="39"/>
    <s v="IN STOCK"/>
    <n v="4.8"/>
    <n v="4.8"/>
    <b v="0"/>
    <x v="0"/>
    <m/>
  </r>
  <r>
    <s v="FB001007"/>
    <x v="2"/>
    <x v="0"/>
    <x v="2"/>
    <s v="XXL"/>
    <m/>
    <s v="Purple"/>
    <n v="73.33"/>
    <n v="0.34600000000000003"/>
    <n v="34.6"/>
    <n v="25.37218"/>
    <s v="high Discount"/>
    <n v="47.96"/>
    <s v="High Loss"/>
    <d v="2025-08-06T00:00:00"/>
    <n v="45"/>
    <s v="IN STOCK"/>
    <n v="2.1"/>
    <n v="2.1"/>
    <b v="0"/>
    <x v="0"/>
    <m/>
  </r>
  <r>
    <s v="FB001008"/>
    <x v="2"/>
    <x v="7"/>
    <x v="2"/>
    <s v="L"/>
    <m/>
    <s v="Purple"/>
    <n v="75.22"/>
    <n v="0.25900000000000001"/>
    <n v="25.9"/>
    <n v="19.48198"/>
    <s v="Medium Discount"/>
    <n v="55.74"/>
    <s v="Medium Loss"/>
    <d v="2025-08-06T00:00:00"/>
    <n v="31"/>
    <s v="IN STOCK"/>
    <n v="1.9"/>
    <n v="1.9"/>
    <b v="1"/>
    <x v="1"/>
    <s v="Color Mismatch"/>
  </r>
  <r>
    <s v="FB001009"/>
    <x v="4"/>
    <x v="6"/>
    <x v="2"/>
    <s v="S"/>
    <s v="XS"/>
    <s v="Black"/>
    <n v="46.65"/>
    <n v="0.24199999999999999"/>
    <n v="24.2"/>
    <n v="11.289299999999999"/>
    <s v="Medium Discount"/>
    <n v="35.36"/>
    <s v="Medium Loss"/>
    <d v="2025-08-06T00:00:00"/>
    <n v="8"/>
    <s v="LOW STOCK"/>
    <n v="3.2"/>
    <n v="3.2"/>
    <b v="0"/>
    <x v="0"/>
    <m/>
  </r>
  <r>
    <s v="FB001010"/>
    <x v="5"/>
    <x v="3"/>
    <x v="2"/>
    <s v="XXL"/>
    <s v="XXL"/>
    <s v="Pink"/>
    <n v="108.19"/>
    <n v="0"/>
    <n v="0"/>
    <n v="0"/>
    <s v="No Discount"/>
    <n v="108.19"/>
    <s v="No Loss"/>
    <d v="2025-08-06T00:00:00"/>
    <n v="21"/>
    <s v="IN STOCK"/>
    <n v="0"/>
    <m/>
    <b v="0"/>
    <x v="0"/>
    <m/>
  </r>
  <r>
    <s v="FB001011"/>
    <x v="5"/>
    <x v="0"/>
    <x v="0"/>
    <s v="XL"/>
    <s v="L"/>
    <s v="Red"/>
    <n v="62.82"/>
    <n v="0"/>
    <n v="0"/>
    <n v="0"/>
    <s v="No Discount"/>
    <n v="62.82"/>
    <s v="No Loss"/>
    <d v="2024-10-08T00:00:00"/>
    <n v="36"/>
    <s v="IN STOCK"/>
    <n v="2.1"/>
    <n v="2.1"/>
    <b v="0"/>
    <x v="0"/>
    <m/>
  </r>
  <r>
    <s v="FB001012"/>
    <x v="1"/>
    <x v="0"/>
    <x v="3"/>
    <s v="XXL"/>
    <s v="S"/>
    <s v="Pink"/>
    <n v="57.32"/>
    <n v="0.57399999999999995"/>
    <n v="57.4"/>
    <n v="32.901679999999999"/>
    <s v="high Discount"/>
    <n v="24.42"/>
    <s v="High Loss"/>
    <d v="2025-08-06T00:00:00"/>
    <n v="46"/>
    <s v="IN STOCK"/>
    <n v="3.1"/>
    <n v="3.1"/>
    <b v="0"/>
    <x v="0"/>
    <m/>
  </r>
  <r>
    <s v="FB001013"/>
    <x v="0"/>
    <x v="4"/>
    <x v="1"/>
    <s v="S"/>
    <s v="XXL"/>
    <s v="Green"/>
    <n v="153.59"/>
    <n v="0"/>
    <n v="0"/>
    <n v="0"/>
    <s v="No Discount"/>
    <n v="153.59"/>
    <s v="No Loss"/>
    <d v="2025-08-06T00:00:00"/>
    <n v="31"/>
    <s v="IN STOCK"/>
    <n v="2.9"/>
    <n v="2.9"/>
    <b v="1"/>
    <x v="3"/>
    <s v="Damaged"/>
  </r>
  <r>
    <s v="FB001014"/>
    <x v="3"/>
    <x v="3"/>
    <x v="1"/>
    <s v="L"/>
    <s v="XL"/>
    <s v="Purple"/>
    <n v="101.14"/>
    <n v="0"/>
    <n v="0"/>
    <n v="0"/>
    <s v="No Discount"/>
    <n v="101.14"/>
    <s v="No Loss"/>
    <d v="2025-08-06T00:00:00"/>
    <n v="43"/>
    <s v="IN STOCK"/>
    <n v="2.8"/>
    <n v="2.8"/>
    <b v="0"/>
    <x v="0"/>
    <m/>
  </r>
  <r>
    <s v="FB001015"/>
    <x v="4"/>
    <x v="5"/>
    <x v="0"/>
    <s v="XXL"/>
    <s v="XXL"/>
    <s v="Brown"/>
    <n v="43.89"/>
    <n v="0.156"/>
    <n v="15.6"/>
    <n v="6.8468400000000003"/>
    <s v="Low Discount"/>
    <n v="37.04"/>
    <s v="Low Loss"/>
    <d v="2025-04-30T00:00:00"/>
    <n v="31"/>
    <s v="IN STOCK"/>
    <n v="1.7"/>
    <n v="1.7"/>
    <b v="1"/>
    <x v="6"/>
    <s v="Wrong Item"/>
  </r>
  <r>
    <s v="FB001016"/>
    <x v="0"/>
    <x v="0"/>
    <x v="1"/>
    <s v="XXL"/>
    <s v="S"/>
    <s v="Gray"/>
    <n v="130.16"/>
    <n v="0.47499999999999998"/>
    <n v="47.5"/>
    <n v="61.825999999999993"/>
    <s v="high Discount"/>
    <n v="68.33"/>
    <s v="High Loss"/>
    <d v="2025-08-06T00:00:00"/>
    <n v="21"/>
    <s v="IN STOCK"/>
    <n v="0"/>
    <m/>
    <b v="0"/>
    <x v="0"/>
    <m/>
  </r>
  <r>
    <s v="FB001017"/>
    <x v="5"/>
    <x v="6"/>
    <x v="1"/>
    <s v="M"/>
    <s v="L"/>
    <s v="Black"/>
    <n v="153.12"/>
    <n v="0"/>
    <n v="0"/>
    <n v="0"/>
    <s v="No Discount"/>
    <n v="153.12"/>
    <s v="No Loss"/>
    <d v="2025-08-06T00:00:00"/>
    <n v="27"/>
    <s v="IN STOCK"/>
    <n v="3.3"/>
    <n v="3.3"/>
    <b v="0"/>
    <x v="0"/>
    <m/>
  </r>
  <r>
    <s v="FB001018"/>
    <x v="1"/>
    <x v="7"/>
    <x v="3"/>
    <s v="S"/>
    <s v="XXL"/>
    <s v="Blue"/>
    <n v="37.119999999999997"/>
    <n v="0.121"/>
    <n v="12.1"/>
    <n v="4.4915199999999995"/>
    <s v="Low Discount"/>
    <n v="32.630000000000003"/>
    <s v="Low Loss"/>
    <d v="2025-08-06T00:00:00"/>
    <n v="43"/>
    <s v="IN STOCK"/>
    <n v="3.2"/>
    <n v="3.2"/>
    <b v="0"/>
    <x v="0"/>
    <m/>
  </r>
  <r>
    <s v="FB001019"/>
    <x v="1"/>
    <x v="3"/>
    <x v="3"/>
    <s v="OS"/>
    <s v="XXL"/>
    <s v="Purple"/>
    <n v="41.05"/>
    <n v="0"/>
    <n v="0"/>
    <n v="0"/>
    <s v="No Discount"/>
    <n v="41.05"/>
    <s v="No Loss"/>
    <d v="2025-08-06T00:00:00"/>
    <n v="24"/>
    <s v="IN STOCK"/>
    <n v="0"/>
    <m/>
    <b v="0"/>
    <x v="0"/>
    <m/>
  </r>
  <r>
    <s v="FB001020"/>
    <x v="3"/>
    <x v="7"/>
    <x v="2"/>
    <s v="OS"/>
    <s v="M"/>
    <s v="Navy"/>
    <n v="61.04"/>
    <n v="0"/>
    <n v="0"/>
    <n v="0"/>
    <s v="No Discount"/>
    <n v="61.04"/>
    <s v="No Loss"/>
    <d v="2025-08-06T00:00:00"/>
    <n v="43"/>
    <s v="IN STOCK"/>
    <n v="1.9"/>
    <n v="1.9"/>
    <b v="0"/>
    <x v="0"/>
    <m/>
  </r>
  <r>
    <s v="FB001021"/>
    <x v="1"/>
    <x v="5"/>
    <x v="3"/>
    <s v="S"/>
    <s v="S"/>
    <s v="Black"/>
    <n v="97.17"/>
    <n v="0"/>
    <n v="0"/>
    <n v="0"/>
    <s v="No Discount"/>
    <n v="97.17"/>
    <s v="No Loss"/>
    <d v="2025-08-06T00:00:00"/>
    <n v="35"/>
    <s v="IN STOCK"/>
    <n v="3"/>
    <n v="3"/>
    <b v="0"/>
    <x v="0"/>
    <m/>
  </r>
  <r>
    <s v="FB001022"/>
    <x v="2"/>
    <x v="1"/>
    <x v="3"/>
    <s v="L"/>
    <m/>
    <s v="Red"/>
    <n v="63.45"/>
    <n v="0"/>
    <n v="0"/>
    <n v="0"/>
    <s v="No Discount"/>
    <n v="63.45"/>
    <s v="No Loss"/>
    <d v="2025-08-06T00:00:00"/>
    <n v="4"/>
    <s v="LOW STOCK"/>
    <n v="3.9"/>
    <n v="3.9"/>
    <b v="0"/>
    <x v="0"/>
    <m/>
  </r>
  <r>
    <s v="FB001023"/>
    <x v="1"/>
    <x v="3"/>
    <x v="2"/>
    <s v="XXL"/>
    <m/>
    <s v="Gray"/>
    <n v="117.39"/>
    <n v="0"/>
    <n v="0"/>
    <n v="0"/>
    <s v="No Discount"/>
    <n v="117.39"/>
    <s v="No Loss"/>
    <d v="2025-08-06T00:00:00"/>
    <n v="14"/>
    <s v="IN STOCK"/>
    <n v="3.2"/>
    <n v="3.2"/>
    <b v="0"/>
    <x v="0"/>
    <m/>
  </r>
  <r>
    <s v="FB001024"/>
    <x v="1"/>
    <x v="2"/>
    <x v="0"/>
    <s v="L"/>
    <s v="S"/>
    <s v="Brown"/>
    <n v="32.89"/>
    <n v="0"/>
    <n v="0"/>
    <n v="0"/>
    <s v="No Discount"/>
    <n v="32.89"/>
    <s v="No Loss"/>
    <d v="2025-07-08T00:00:00"/>
    <n v="6"/>
    <s v="LOW STOCK"/>
    <n v="4.5999999999999996"/>
    <n v="4.5999999999999996"/>
    <b v="0"/>
    <x v="0"/>
    <m/>
  </r>
  <r>
    <s v="FB001025"/>
    <x v="4"/>
    <x v="5"/>
    <x v="0"/>
    <s v="XL"/>
    <s v="L"/>
    <s v="Blue"/>
    <n v="102.6"/>
    <n v="0.38600000000000001"/>
    <n v="38.6"/>
    <n v="39.6036"/>
    <s v="high Discount"/>
    <n v="63"/>
    <s v="High Loss"/>
    <d v="2025-05-10T00:00:00"/>
    <n v="14"/>
    <s v="IN STOCK"/>
    <n v="4"/>
    <n v="4"/>
    <b v="0"/>
    <x v="0"/>
    <m/>
  </r>
  <r>
    <s v="FB001026"/>
    <x v="3"/>
    <x v="6"/>
    <x v="0"/>
    <s v="XXL"/>
    <s v="XXL"/>
    <s v="Navy"/>
    <n v="155.91999999999999"/>
    <n v="0.32200000000000001"/>
    <n v="32.200000000000003"/>
    <n v="50.206239999999994"/>
    <s v="high Discount"/>
    <n v="105.71"/>
    <s v="High Loss"/>
    <d v="2024-10-02T00:00:00"/>
    <n v="5"/>
    <s v="LOW STOCK"/>
    <n v="2"/>
    <n v="2"/>
    <b v="0"/>
    <x v="0"/>
    <m/>
  </r>
  <r>
    <s v="FB001027"/>
    <x v="0"/>
    <x v="6"/>
    <x v="2"/>
    <s v="M"/>
    <s v="L"/>
    <s v="Purple"/>
    <n v="178.39"/>
    <n v="0"/>
    <n v="0"/>
    <n v="0"/>
    <s v="No Discount"/>
    <n v="178.39"/>
    <s v="No Loss"/>
    <d v="2025-08-06T00:00:00"/>
    <n v="29"/>
    <s v="IN STOCK"/>
    <n v="4.2"/>
    <n v="4.2"/>
    <b v="0"/>
    <x v="0"/>
    <m/>
  </r>
  <r>
    <s v="FB001028"/>
    <x v="0"/>
    <x v="4"/>
    <x v="0"/>
    <s v="S"/>
    <s v="XL"/>
    <s v="Gray"/>
    <n v="151.1"/>
    <n v="0"/>
    <n v="0"/>
    <n v="0"/>
    <s v="No Discount"/>
    <n v="151.1"/>
    <s v="No Loss"/>
    <d v="2025-03-22T00:00:00"/>
    <n v="24"/>
    <s v="IN STOCK"/>
    <n v="2.4"/>
    <n v="2.4"/>
    <b v="0"/>
    <x v="0"/>
    <m/>
  </r>
  <r>
    <s v="FB001029"/>
    <x v="1"/>
    <x v="7"/>
    <x v="3"/>
    <s v="XL"/>
    <s v="XXL"/>
    <s v="Beige"/>
    <n v="91.03"/>
    <n v="0.55399999999999994"/>
    <n v="55.4"/>
    <n v="50.430619999999998"/>
    <s v="high Discount"/>
    <n v="40.6"/>
    <s v="High Loss"/>
    <d v="2025-08-06T00:00:00"/>
    <n v="2"/>
    <s v="LOW STOCK"/>
    <n v="2.5"/>
    <n v="2.5"/>
    <b v="0"/>
    <x v="0"/>
    <m/>
  </r>
  <r>
    <s v="FB001030"/>
    <x v="1"/>
    <x v="4"/>
    <x v="2"/>
    <s v="XS"/>
    <s v="M"/>
    <s v="Gray"/>
    <n v="89.03"/>
    <n v="0.41299999999999998"/>
    <n v="41.3"/>
    <n v="36.769390000000001"/>
    <s v="high Discount"/>
    <n v="52.26"/>
    <s v="High Loss"/>
    <d v="2025-08-06T00:00:00"/>
    <n v="50"/>
    <s v="IN STOCK"/>
    <n v="0"/>
    <m/>
    <b v="0"/>
    <x v="0"/>
    <m/>
  </r>
  <r>
    <s v="FB001031"/>
    <x v="5"/>
    <x v="5"/>
    <x v="3"/>
    <s v="XXL"/>
    <s v="S"/>
    <s v="Green"/>
    <n v="147.58000000000001"/>
    <n v="0"/>
    <n v="0"/>
    <n v="0"/>
    <s v="No Discount"/>
    <n v="147.58000000000001"/>
    <s v="No Loss"/>
    <d v="2025-08-06T00:00:00"/>
    <n v="10"/>
    <s v="LOW STOCK"/>
    <n v="4.3"/>
    <n v="4.3"/>
    <b v="0"/>
    <x v="0"/>
    <m/>
  </r>
  <r>
    <s v="FB001032"/>
    <x v="5"/>
    <x v="2"/>
    <x v="3"/>
    <s v="L"/>
    <s v="XL"/>
    <s v="Blue"/>
    <n v="79.98"/>
    <n v="0"/>
    <n v="0"/>
    <n v="0"/>
    <s v="No Discount"/>
    <n v="79.98"/>
    <s v="No Loss"/>
    <d v="2025-08-06T00:00:00"/>
    <n v="25"/>
    <s v="IN STOCK"/>
    <n v="1.5"/>
    <n v="1.5"/>
    <b v="0"/>
    <x v="0"/>
    <m/>
  </r>
  <r>
    <s v="FB001033"/>
    <x v="5"/>
    <x v="4"/>
    <x v="2"/>
    <s v="XXL"/>
    <s v="XS"/>
    <s v="Beige"/>
    <n v="86.38"/>
    <n v="0"/>
    <n v="0"/>
    <n v="0"/>
    <s v="No Discount"/>
    <n v="86.38"/>
    <s v="No Loss"/>
    <d v="2025-08-06T00:00:00"/>
    <n v="40"/>
    <s v="IN STOCK"/>
    <n v="2.7"/>
    <n v="2.7"/>
    <b v="0"/>
    <x v="0"/>
    <m/>
  </r>
  <r>
    <s v="FB001034"/>
    <x v="1"/>
    <x v="2"/>
    <x v="3"/>
    <s v="XXL"/>
    <s v="XXL"/>
    <s v="Brown"/>
    <n v="47.29"/>
    <n v="0.40399999999999997"/>
    <n v="40.4"/>
    <n v="19.105159999999998"/>
    <s v="high Discount"/>
    <n v="28.18"/>
    <s v="Medium Loss"/>
    <d v="2025-08-06T00:00:00"/>
    <n v="26"/>
    <s v="IN STOCK"/>
    <n v="4.4000000000000004"/>
    <n v="4.4000000000000004"/>
    <b v="0"/>
    <x v="0"/>
    <m/>
  </r>
  <r>
    <s v="FB001035"/>
    <x v="0"/>
    <x v="7"/>
    <x v="0"/>
    <s v="OS"/>
    <s v="L"/>
    <s v="Navy"/>
    <n v="196.54"/>
    <n v="0.22600000000000001"/>
    <n v="22.6"/>
    <n v="44.418039999999998"/>
    <s v="Medium Discount"/>
    <n v="152.12"/>
    <s v="High Loss"/>
    <d v="2025-05-12T00:00:00"/>
    <n v="33"/>
    <s v="IN STOCK"/>
    <n v="1.4"/>
    <n v="1.4"/>
    <b v="0"/>
    <x v="0"/>
    <m/>
  </r>
  <r>
    <s v="FB001036"/>
    <x v="1"/>
    <x v="0"/>
    <x v="0"/>
    <s v="XXL"/>
    <s v="XXL"/>
    <s v="Gray"/>
    <n v="72.72"/>
    <n v="0"/>
    <n v="0"/>
    <n v="0"/>
    <s v="No Discount"/>
    <n v="72.72"/>
    <s v="No Loss"/>
    <d v="2025-01-31T00:00:00"/>
    <n v="23"/>
    <s v="IN STOCK"/>
    <n v="1.6"/>
    <n v="1.6"/>
    <b v="0"/>
    <x v="0"/>
    <m/>
  </r>
  <r>
    <s v="FB001037"/>
    <x v="1"/>
    <x v="6"/>
    <x v="3"/>
    <s v="XXL"/>
    <s v="XXL"/>
    <s v="Beige"/>
    <n v="115.5"/>
    <n v="0"/>
    <n v="0"/>
    <n v="0"/>
    <s v="No Discount"/>
    <n v="115.5"/>
    <s v="No Loss"/>
    <d v="2025-08-06T00:00:00"/>
    <n v="36"/>
    <s v="IN STOCK"/>
    <n v="0"/>
    <m/>
    <b v="1"/>
    <x v="4"/>
    <s v="Quality Issue"/>
  </r>
  <r>
    <s v="FB001038"/>
    <x v="2"/>
    <x v="4"/>
    <x v="3"/>
    <s v="XS"/>
    <m/>
    <s v="Gray"/>
    <n v="68.22"/>
    <n v="8.1000000000000003E-2"/>
    <n v="8.1"/>
    <n v="5.5258200000000004"/>
    <s v="Low Discount"/>
    <n v="62.69"/>
    <s v="Low Loss"/>
    <d v="2025-08-06T00:00:00"/>
    <n v="28"/>
    <s v="IN STOCK"/>
    <n v="4"/>
    <n v="4"/>
    <b v="0"/>
    <x v="0"/>
    <m/>
  </r>
  <r>
    <s v="FB001039"/>
    <x v="1"/>
    <x v="3"/>
    <x v="2"/>
    <s v="OS"/>
    <s v="XXL"/>
    <s v="Black"/>
    <n v="91.03"/>
    <n v="0"/>
    <n v="0"/>
    <n v="0"/>
    <s v="No Discount"/>
    <n v="91.03"/>
    <s v="No Loss"/>
    <d v="2025-08-06T00:00:00"/>
    <n v="20"/>
    <s v="IN STOCK"/>
    <n v="2.1"/>
    <n v="2.1"/>
    <b v="0"/>
    <x v="0"/>
    <m/>
  </r>
  <r>
    <s v="FB001040"/>
    <x v="0"/>
    <x v="7"/>
    <x v="2"/>
    <s v="XL"/>
    <s v="XXL"/>
    <s v="Purple"/>
    <n v="100.39"/>
    <n v="0.16500000000000001"/>
    <n v="16.5"/>
    <n v="16.564350000000001"/>
    <s v="Low Discount"/>
    <n v="83.83"/>
    <s v="Medium Loss"/>
    <d v="2025-08-06T00:00:00"/>
    <n v="17"/>
    <s v="IN STOCK"/>
    <n v="4.5999999999999996"/>
    <n v="4.5999999999999996"/>
    <b v="0"/>
    <x v="0"/>
    <m/>
  </r>
  <r>
    <s v="FB001041"/>
    <x v="1"/>
    <x v="6"/>
    <x v="2"/>
    <s v="OS"/>
    <s v="XS"/>
    <s v="Navy"/>
    <n v="100.03"/>
    <n v="0"/>
    <n v="0"/>
    <n v="0"/>
    <s v="No Discount"/>
    <n v="100.03"/>
    <s v="No Loss"/>
    <d v="2025-08-06T00:00:00"/>
    <n v="39"/>
    <s v="IN STOCK"/>
    <n v="1.2"/>
    <n v="1.2"/>
    <b v="0"/>
    <x v="0"/>
    <m/>
  </r>
  <r>
    <s v="FB001042"/>
    <x v="2"/>
    <x v="6"/>
    <x v="0"/>
    <s v="S"/>
    <m/>
    <s v="White"/>
    <n v="50.14"/>
    <n v="0.29199999999999998"/>
    <n v="29.2"/>
    <n v="14.640879999999999"/>
    <s v="Medium Discount"/>
    <n v="35.5"/>
    <s v="Medium Loss"/>
    <d v="2025-02-04T00:00:00"/>
    <n v="33"/>
    <s v="IN STOCK"/>
    <n v="4.4000000000000004"/>
    <n v="4.4000000000000004"/>
    <b v="0"/>
    <x v="0"/>
    <m/>
  </r>
  <r>
    <s v="FB001043"/>
    <x v="4"/>
    <x v="0"/>
    <x v="3"/>
    <s v="XS"/>
    <s v="XL"/>
    <s v="Black"/>
    <n v="33.130000000000003"/>
    <n v="0"/>
    <n v="0"/>
    <n v="0"/>
    <s v="No Discount"/>
    <n v="33.130000000000003"/>
    <s v="No Loss"/>
    <d v="2025-08-06T00:00:00"/>
    <n v="41"/>
    <s v="IN STOCK"/>
    <n v="3.3"/>
    <n v="3.3"/>
    <b v="0"/>
    <x v="0"/>
    <m/>
  </r>
  <r>
    <s v="FB001044"/>
    <x v="2"/>
    <x v="4"/>
    <x v="0"/>
    <s v="M"/>
    <m/>
    <s v="Navy"/>
    <n v="67.67"/>
    <n v="0"/>
    <n v="0"/>
    <n v="0"/>
    <s v="No Discount"/>
    <n v="67.67"/>
    <s v="No Loss"/>
    <d v="2024-09-25T00:00:00"/>
    <n v="7"/>
    <s v="LOW STOCK"/>
    <n v="3.3"/>
    <n v="3.3"/>
    <b v="0"/>
    <x v="0"/>
    <m/>
  </r>
  <r>
    <s v="FB001045"/>
    <x v="4"/>
    <x v="2"/>
    <x v="3"/>
    <s v="XS"/>
    <s v="S"/>
    <s v="Black"/>
    <n v="93.94"/>
    <n v="0.56299999999999994"/>
    <n v="56.3"/>
    <n v="52.888219999999997"/>
    <s v="high Discount"/>
    <n v="41.05"/>
    <s v="High Loss"/>
    <d v="2025-08-06T00:00:00"/>
    <n v="36"/>
    <s v="IN STOCK"/>
    <n v="1.1000000000000001"/>
    <n v="1.1000000000000001"/>
    <b v="0"/>
    <x v="0"/>
    <m/>
  </r>
  <r>
    <s v="FB001046"/>
    <x v="1"/>
    <x v="2"/>
    <x v="2"/>
    <s v="XL"/>
    <s v="XS"/>
    <s v="Black"/>
    <n v="34.56"/>
    <n v="0.11199999999999999"/>
    <n v="11.2"/>
    <n v="3.8707199999999999"/>
    <s v="Low Discount"/>
    <n v="30.69"/>
    <s v="Low Loss"/>
    <d v="2025-08-06T00:00:00"/>
    <n v="46"/>
    <s v="IN STOCK"/>
    <n v="3.4"/>
    <n v="3.4"/>
    <b v="0"/>
    <x v="0"/>
    <m/>
  </r>
  <r>
    <s v="FB001047"/>
    <x v="0"/>
    <x v="5"/>
    <x v="3"/>
    <s v="XL"/>
    <s v="M"/>
    <s v="Black"/>
    <n v="235.33"/>
    <n v="0"/>
    <n v="0"/>
    <n v="0"/>
    <s v="No Discount"/>
    <n v="235.33"/>
    <s v="No Loss"/>
    <d v="2025-08-06T00:00:00"/>
    <n v="11"/>
    <s v="IN STOCK"/>
    <n v="4.7"/>
    <n v="4.7"/>
    <b v="1"/>
    <x v="2"/>
    <s v="Size Issue"/>
  </r>
  <r>
    <s v="FB001048"/>
    <x v="1"/>
    <x v="1"/>
    <x v="0"/>
    <s v="S"/>
    <s v="XS"/>
    <s v="Red"/>
    <n v="25.45"/>
    <n v="0"/>
    <n v="0"/>
    <n v="0"/>
    <s v="No Discount"/>
    <n v="25.45"/>
    <s v="No Loss"/>
    <d v="2024-08-10T00:00:00"/>
    <n v="29"/>
    <s v="IN STOCK"/>
    <n v="3.7"/>
    <n v="3.7"/>
    <b v="0"/>
    <x v="0"/>
    <m/>
  </r>
  <r>
    <s v="FB001049"/>
    <x v="1"/>
    <x v="6"/>
    <x v="1"/>
    <s v="XS"/>
    <s v="XL"/>
    <s v="Gray"/>
    <n v="71.44"/>
    <n v="0"/>
    <n v="0"/>
    <n v="0"/>
    <s v="No Discount"/>
    <n v="71.44"/>
    <s v="No Loss"/>
    <d v="2025-08-06T00:00:00"/>
    <n v="18"/>
    <s v="IN STOCK"/>
    <n v="4.3"/>
    <n v="4.3"/>
    <b v="0"/>
    <x v="0"/>
    <m/>
  </r>
  <r>
    <s v="FB001050"/>
    <x v="5"/>
    <x v="2"/>
    <x v="3"/>
    <s v="L"/>
    <s v="XL"/>
    <s v="White"/>
    <n v="98.33"/>
    <n v="0"/>
    <n v="0"/>
    <n v="0"/>
    <s v="No Discount"/>
    <n v="98.33"/>
    <s v="No Loss"/>
    <d v="2025-08-06T00:00:00"/>
    <n v="46"/>
    <s v="IN STOCK"/>
    <n v="3.7"/>
    <n v="3.7"/>
    <b v="0"/>
    <x v="0"/>
    <m/>
  </r>
  <r>
    <s v="FB001051"/>
    <x v="5"/>
    <x v="7"/>
    <x v="0"/>
    <s v="M"/>
    <s v="S"/>
    <s v="Blue"/>
    <n v="171.1"/>
    <n v="0"/>
    <n v="0"/>
    <n v="0"/>
    <s v="No Discount"/>
    <n v="171.1"/>
    <s v="No Loss"/>
    <d v="2025-07-23T00:00:00"/>
    <n v="34"/>
    <s v="IN STOCK"/>
    <n v="0"/>
    <m/>
    <b v="0"/>
    <x v="0"/>
    <m/>
  </r>
  <r>
    <s v="FB001052"/>
    <x v="5"/>
    <x v="7"/>
    <x v="1"/>
    <s v="M"/>
    <s v="XS"/>
    <s v="White"/>
    <n v="155.57"/>
    <n v="0"/>
    <n v="0"/>
    <n v="0"/>
    <s v="No Discount"/>
    <n v="155.57"/>
    <s v="No Loss"/>
    <d v="2025-08-06T00:00:00"/>
    <n v="48"/>
    <s v="IN STOCK"/>
    <n v="3.8"/>
    <n v="3.8"/>
    <b v="0"/>
    <x v="0"/>
    <m/>
  </r>
  <r>
    <s v="FB001053"/>
    <x v="0"/>
    <x v="3"/>
    <x v="2"/>
    <s v="XXL"/>
    <s v="L"/>
    <s v="Green"/>
    <n v="198.44"/>
    <n v="0"/>
    <n v="0"/>
    <n v="0"/>
    <s v="No Discount"/>
    <n v="198.44"/>
    <s v="No Loss"/>
    <d v="2025-08-06T00:00:00"/>
    <n v="40"/>
    <s v="IN STOCK"/>
    <n v="2.2000000000000002"/>
    <n v="2.2000000000000002"/>
    <b v="0"/>
    <x v="0"/>
    <m/>
  </r>
  <r>
    <s v="FB001054"/>
    <x v="3"/>
    <x v="5"/>
    <x v="0"/>
    <s v="XXL"/>
    <s v="M"/>
    <s v="Black"/>
    <n v="175.85"/>
    <n v="0.18100000000000002"/>
    <n v="18.100000000000001"/>
    <n v="31.828850000000003"/>
    <s v="Low Discount"/>
    <n v="144.02000000000001"/>
    <s v="High Loss"/>
    <d v="2025-01-29T00:00:00"/>
    <n v="4"/>
    <s v="LOW STOCK"/>
    <n v="4"/>
    <n v="4"/>
    <b v="0"/>
    <x v="0"/>
    <m/>
  </r>
  <r>
    <s v="FB001055"/>
    <x v="0"/>
    <x v="7"/>
    <x v="3"/>
    <s v="OS"/>
    <s v="M"/>
    <s v="Pink"/>
    <n v="100.23"/>
    <n v="0"/>
    <n v="0"/>
    <n v="0"/>
    <s v="No Discount"/>
    <n v="100.23"/>
    <s v="No Loss"/>
    <d v="2025-08-06T00:00:00"/>
    <n v="12"/>
    <s v="IN STOCK"/>
    <n v="3.5"/>
    <n v="3.5"/>
    <b v="0"/>
    <x v="0"/>
    <m/>
  </r>
  <r>
    <s v="FB001056"/>
    <x v="0"/>
    <x v="0"/>
    <x v="1"/>
    <s v="OS"/>
    <s v="XXL"/>
    <s v="Beige"/>
    <n v="88.94"/>
    <n v="0"/>
    <n v="0"/>
    <n v="0"/>
    <s v="No Discount"/>
    <n v="88.94"/>
    <s v="No Loss"/>
    <d v="2025-08-06T00:00:00"/>
    <n v="36"/>
    <s v="IN STOCK"/>
    <n v="0"/>
    <m/>
    <b v="0"/>
    <x v="0"/>
    <m/>
  </r>
  <r>
    <s v="FB001057"/>
    <x v="0"/>
    <x v="4"/>
    <x v="2"/>
    <s v="L"/>
    <s v="XXL"/>
    <s v="Navy"/>
    <n v="205.91"/>
    <n v="0"/>
    <n v="0"/>
    <n v="0"/>
    <s v="No Discount"/>
    <n v="205.91"/>
    <s v="No Loss"/>
    <d v="2025-08-06T00:00:00"/>
    <n v="3"/>
    <s v="LOW STOCK"/>
    <n v="4.8"/>
    <n v="4.8"/>
    <b v="0"/>
    <x v="0"/>
    <m/>
  </r>
  <r>
    <s v="FB001058"/>
    <x v="2"/>
    <x v="1"/>
    <x v="2"/>
    <s v="XS"/>
    <m/>
    <s v="Pink"/>
    <n v="29.06"/>
    <n v="1.1000000000000001E-2"/>
    <n v="1.1000000000000001"/>
    <n v="0.31966"/>
    <s v="Low Discount"/>
    <n v="28.74"/>
    <s v="Low Loss"/>
    <d v="2025-08-06T00:00:00"/>
    <n v="12"/>
    <s v="IN STOCK"/>
    <n v="1.1000000000000001"/>
    <n v="1.1000000000000001"/>
    <b v="1"/>
    <x v="1"/>
    <s v="Color Mismatch"/>
  </r>
  <r>
    <s v="FB001059"/>
    <x v="2"/>
    <x v="6"/>
    <x v="3"/>
    <s v="S"/>
    <m/>
    <s v="Brown"/>
    <n v="68.56"/>
    <n v="0"/>
    <n v="0"/>
    <n v="0"/>
    <s v="No Discount"/>
    <n v="68.56"/>
    <s v="No Loss"/>
    <d v="2025-08-06T00:00:00"/>
    <n v="2"/>
    <s v="LOW STOCK"/>
    <n v="2.4"/>
    <n v="2.4"/>
    <b v="0"/>
    <x v="0"/>
    <m/>
  </r>
  <r>
    <s v="FB001060"/>
    <x v="1"/>
    <x v="7"/>
    <x v="3"/>
    <s v="XS"/>
    <s v="L"/>
    <s v="Purple"/>
    <n v="91.6"/>
    <n v="0.59499999999999997"/>
    <n v="59.5"/>
    <n v="54.501999999999995"/>
    <s v="high Discount"/>
    <n v="37.1"/>
    <s v="High Loss"/>
    <d v="2025-08-06T00:00:00"/>
    <n v="2"/>
    <s v="LOW STOCK"/>
    <n v="4.3"/>
    <n v="4.3"/>
    <b v="0"/>
    <x v="0"/>
    <m/>
  </r>
  <r>
    <s v="FB001061"/>
    <x v="5"/>
    <x v="4"/>
    <x v="3"/>
    <s v="XL"/>
    <s v="XS"/>
    <s v="Black"/>
    <n v="96.57"/>
    <n v="0"/>
    <n v="0"/>
    <n v="0"/>
    <s v="No Discount"/>
    <n v="96.57"/>
    <s v="No Loss"/>
    <d v="2025-08-06T00:00:00"/>
    <n v="6"/>
    <s v="LOW STOCK"/>
    <n v="1.9"/>
    <n v="1.9"/>
    <b v="0"/>
    <x v="0"/>
    <m/>
  </r>
  <r>
    <s v="FB001062"/>
    <x v="4"/>
    <x v="4"/>
    <x v="1"/>
    <s v="M"/>
    <s v="S"/>
    <s v="Pink"/>
    <n v="35.630000000000003"/>
    <n v="0.57899999999999996"/>
    <n v="57.9"/>
    <n v="20.629770000000001"/>
    <s v="high Discount"/>
    <n v="15"/>
    <s v="High Loss"/>
    <d v="2025-08-06T00:00:00"/>
    <n v="11"/>
    <s v="IN STOCK"/>
    <n v="1.8"/>
    <n v="1.8"/>
    <b v="0"/>
    <x v="0"/>
    <m/>
  </r>
  <r>
    <s v="FB001063"/>
    <x v="3"/>
    <x v="1"/>
    <x v="1"/>
    <s v="L"/>
    <s v="XS"/>
    <s v="Green"/>
    <n v="118.98"/>
    <n v="0.38100000000000001"/>
    <n v="38.1"/>
    <n v="45.331380000000003"/>
    <s v="high Discount"/>
    <n v="73.650000000000006"/>
    <s v="High Loss"/>
    <d v="2025-08-06T00:00:00"/>
    <n v="36"/>
    <s v="IN STOCK"/>
    <n v="1.1000000000000001"/>
    <n v="1.1000000000000001"/>
    <b v="1"/>
    <x v="1"/>
    <s v="Color Mismatch"/>
  </r>
  <r>
    <s v="FB001064"/>
    <x v="3"/>
    <x v="4"/>
    <x v="0"/>
    <s v="S"/>
    <s v="XL"/>
    <s v="Red"/>
    <n v="62.62"/>
    <n v="0.10099999999999999"/>
    <n v="10.1"/>
    <n v="6.3246199999999995"/>
    <s v="Low Discount"/>
    <n v="56.3"/>
    <s v="Low Loss"/>
    <d v="2025-04-15T00:00:00"/>
    <n v="32"/>
    <s v="IN STOCK"/>
    <n v="2.9"/>
    <n v="2.9"/>
    <b v="0"/>
    <x v="0"/>
    <m/>
  </r>
  <r>
    <s v="FB001065"/>
    <x v="3"/>
    <x v="7"/>
    <x v="3"/>
    <s v="XL"/>
    <s v="M"/>
    <s v="Brown"/>
    <n v="153.34"/>
    <n v="0.55500000000000005"/>
    <n v="55.5"/>
    <n v="85.103700000000003"/>
    <s v="high Discount"/>
    <n v="68.239999999999995"/>
    <s v="High Loss"/>
    <d v="2025-08-06T00:00:00"/>
    <n v="46"/>
    <s v="IN STOCK"/>
    <n v="4.2"/>
    <n v="4.2"/>
    <b v="1"/>
    <x v="6"/>
    <s v="Wrong Item"/>
  </r>
  <r>
    <s v="FB001066"/>
    <x v="1"/>
    <x v="5"/>
    <x v="3"/>
    <s v="M"/>
    <s v="L"/>
    <s v="Green"/>
    <n v="71.66"/>
    <n v="0.49700000000000005"/>
    <n v="49.7"/>
    <n v="35.615020000000001"/>
    <s v="high Discount"/>
    <n v="36.04"/>
    <s v="High Loss"/>
    <d v="2025-08-06T00:00:00"/>
    <n v="33"/>
    <s v="IN STOCK"/>
    <n v="0"/>
    <m/>
    <b v="1"/>
    <x v="1"/>
    <s v="Color Mismatch"/>
  </r>
  <r>
    <s v="FB001067"/>
    <x v="5"/>
    <x v="5"/>
    <x v="0"/>
    <s v="M"/>
    <s v="S"/>
    <s v="Black"/>
    <n v="107.58"/>
    <n v="0.55899999999999994"/>
    <n v="55.9"/>
    <n v="60.137219999999992"/>
    <s v="high Discount"/>
    <n v="47.44"/>
    <s v="High Loss"/>
    <d v="2025-02-15T00:00:00"/>
    <n v="19"/>
    <s v="IN STOCK"/>
    <n v="4.4000000000000004"/>
    <n v="4.4000000000000004"/>
    <b v="0"/>
    <x v="0"/>
    <m/>
  </r>
  <r>
    <s v="FB001068"/>
    <x v="3"/>
    <x v="0"/>
    <x v="0"/>
    <s v="OS"/>
    <s v="XL"/>
    <s v="Blue"/>
    <n v="137.16"/>
    <n v="0"/>
    <n v="0"/>
    <n v="0"/>
    <s v="No Discount"/>
    <n v="137.16"/>
    <s v="No Loss"/>
    <d v="2025-04-02T00:00:00"/>
    <n v="34"/>
    <s v="IN STOCK"/>
    <n v="4"/>
    <n v="4"/>
    <b v="0"/>
    <x v="0"/>
    <m/>
  </r>
  <r>
    <s v="FB001069"/>
    <x v="1"/>
    <x v="2"/>
    <x v="1"/>
    <s v="XXL"/>
    <s v="M"/>
    <s v="White"/>
    <n v="119.29"/>
    <n v="0"/>
    <n v="0"/>
    <n v="0"/>
    <s v="No Discount"/>
    <n v="119.29"/>
    <s v="No Loss"/>
    <d v="2025-08-06T00:00:00"/>
    <n v="3"/>
    <s v="LOW STOCK"/>
    <n v="0"/>
    <m/>
    <b v="0"/>
    <x v="0"/>
    <m/>
  </r>
  <r>
    <s v="FB001070"/>
    <x v="1"/>
    <x v="3"/>
    <x v="0"/>
    <s v="XL"/>
    <s v="M"/>
    <s v="Navy"/>
    <n v="104.09"/>
    <n v="0"/>
    <n v="0"/>
    <n v="0"/>
    <s v="No Discount"/>
    <n v="104.09"/>
    <s v="No Loss"/>
    <d v="2024-12-21T00:00:00"/>
    <n v="29"/>
    <s v="IN STOCK"/>
    <n v="0"/>
    <m/>
    <b v="0"/>
    <x v="0"/>
    <m/>
  </r>
  <r>
    <s v="FB001071"/>
    <x v="5"/>
    <x v="2"/>
    <x v="2"/>
    <s v="XS"/>
    <m/>
    <s v="Pink"/>
    <n v="73.069999999999993"/>
    <n v="0"/>
    <n v="0"/>
    <n v="0"/>
    <s v="No Discount"/>
    <n v="73.069999999999993"/>
    <s v="No Loss"/>
    <d v="2025-08-06T00:00:00"/>
    <n v="5"/>
    <s v="LOW STOCK"/>
    <n v="4.2"/>
    <n v="4.2"/>
    <b v="0"/>
    <x v="0"/>
    <m/>
  </r>
  <r>
    <s v="FB001072"/>
    <x v="4"/>
    <x v="0"/>
    <x v="2"/>
    <s v="XL"/>
    <s v="XXL"/>
    <s v="Green"/>
    <n v="76.94"/>
    <n v="7.5999999999999998E-2"/>
    <n v="7.6"/>
    <n v="5.8474399999999997"/>
    <s v="Low Discount"/>
    <n v="71.09"/>
    <s v="Low Loss"/>
    <d v="2025-08-06T00:00:00"/>
    <n v="20"/>
    <s v="IN STOCK"/>
    <n v="3.7"/>
    <n v="3.7"/>
    <b v="0"/>
    <x v="0"/>
    <m/>
  </r>
  <r>
    <s v="FB001073"/>
    <x v="4"/>
    <x v="7"/>
    <x v="1"/>
    <s v="OS"/>
    <s v="XL"/>
    <s v="Beige"/>
    <n v="119.92"/>
    <n v="0"/>
    <n v="0"/>
    <n v="0"/>
    <s v="No Discount"/>
    <n v="119.92"/>
    <s v="No Loss"/>
    <d v="2025-08-06T00:00:00"/>
    <n v="37"/>
    <s v="IN STOCK"/>
    <n v="5"/>
    <n v="5"/>
    <b v="0"/>
    <x v="0"/>
    <m/>
  </r>
  <r>
    <s v="FB001074"/>
    <x v="0"/>
    <x v="5"/>
    <x v="1"/>
    <s v="L"/>
    <s v="XS"/>
    <s v="White"/>
    <n v="116.49"/>
    <n v="0"/>
    <n v="0"/>
    <n v="0"/>
    <s v="No Discount"/>
    <n v="116.49"/>
    <s v="No Loss"/>
    <d v="2025-08-06T00:00:00"/>
    <n v="17"/>
    <s v="IN STOCK"/>
    <n v="3.3"/>
    <n v="3.3"/>
    <b v="1"/>
    <x v="3"/>
    <s v="Damaged"/>
  </r>
  <r>
    <s v="FB001075"/>
    <x v="3"/>
    <x v="6"/>
    <x v="2"/>
    <s v="XL"/>
    <s v="XL"/>
    <s v="Pink"/>
    <n v="179.59"/>
    <n v="0.14699999999999999"/>
    <n v="14.7"/>
    <n v="26.399729999999998"/>
    <s v="Low Discount"/>
    <n v="153.19"/>
    <s v="High Loss"/>
    <d v="2025-08-06T00:00:00"/>
    <n v="47"/>
    <s v="IN STOCK"/>
    <n v="2.9"/>
    <n v="2.9"/>
    <b v="0"/>
    <x v="0"/>
    <m/>
  </r>
  <r>
    <s v="FB001076"/>
    <x v="2"/>
    <x v="1"/>
    <x v="1"/>
    <s v="L"/>
    <m/>
    <s v="Black"/>
    <n v="33.799999999999997"/>
    <n v="0"/>
    <n v="0"/>
    <n v="0"/>
    <s v="No Discount"/>
    <n v="33.799999999999997"/>
    <s v="No Loss"/>
    <d v="2025-08-06T00:00:00"/>
    <n v="34"/>
    <s v="IN STOCK"/>
    <n v="4.8"/>
    <n v="4.8"/>
    <b v="0"/>
    <x v="0"/>
    <m/>
  </r>
  <r>
    <s v="FB001077"/>
    <x v="1"/>
    <x v="1"/>
    <x v="2"/>
    <s v="XXL"/>
    <s v="L"/>
    <s v="Beige"/>
    <n v="41.57"/>
    <n v="3.3000000000000002E-2"/>
    <n v="3.3"/>
    <n v="1.37181"/>
    <s v="Low Discount"/>
    <n v="40.200000000000003"/>
    <s v="Low Loss"/>
    <d v="2025-08-06T00:00:00"/>
    <n v="5"/>
    <s v="LOW STOCK"/>
    <n v="2.9"/>
    <n v="2.9"/>
    <b v="0"/>
    <x v="0"/>
    <m/>
  </r>
  <r>
    <s v="FB001078"/>
    <x v="3"/>
    <x v="7"/>
    <x v="0"/>
    <s v="XS"/>
    <s v="XL"/>
    <s v="Purple"/>
    <n v="139.1"/>
    <n v="0.47"/>
    <n v="47"/>
    <n v="65.376999999999995"/>
    <s v="high Discount"/>
    <n v="73.72"/>
    <s v="High Loss"/>
    <d v="2025-01-04T00:00:00"/>
    <n v="6"/>
    <s v="LOW STOCK"/>
    <n v="3.4"/>
    <n v="3.4"/>
    <b v="0"/>
    <x v="0"/>
    <m/>
  </r>
  <r>
    <s v="FB001079"/>
    <x v="5"/>
    <x v="3"/>
    <x v="2"/>
    <s v="L"/>
    <s v="L"/>
    <s v="Pink"/>
    <n v="102.04"/>
    <n v="0"/>
    <n v="0"/>
    <n v="0"/>
    <s v="No Discount"/>
    <n v="102.04"/>
    <s v="No Loss"/>
    <d v="2025-08-06T00:00:00"/>
    <n v="34"/>
    <s v="IN STOCK"/>
    <n v="3.4"/>
    <n v="3.4"/>
    <b v="0"/>
    <x v="0"/>
    <m/>
  </r>
  <r>
    <s v="FB001080"/>
    <x v="4"/>
    <x v="6"/>
    <x v="2"/>
    <s v="M"/>
    <s v="XXL"/>
    <s v="Navy"/>
    <n v="47.25"/>
    <n v="0.54200000000000004"/>
    <n v="54.2"/>
    <n v="25.609500000000001"/>
    <s v="high Discount"/>
    <n v="21.64"/>
    <s v="High Loss"/>
    <d v="2025-08-06T00:00:00"/>
    <n v="4"/>
    <s v="LOW STOCK"/>
    <n v="4.9000000000000004"/>
    <n v="4.9000000000000004"/>
    <b v="0"/>
    <x v="0"/>
    <m/>
  </r>
  <r>
    <s v="FB001081"/>
    <x v="5"/>
    <x v="1"/>
    <x v="3"/>
    <s v="M"/>
    <s v="XS"/>
    <s v="White"/>
    <n v="55.08"/>
    <n v="0"/>
    <n v="0"/>
    <n v="0"/>
    <s v="No Discount"/>
    <n v="55.08"/>
    <s v="No Loss"/>
    <d v="2025-08-06T00:00:00"/>
    <n v="48"/>
    <s v="IN STOCK"/>
    <n v="4.0999999999999996"/>
    <n v="4.0999999999999996"/>
    <b v="0"/>
    <x v="0"/>
    <m/>
  </r>
  <r>
    <s v="FB001082"/>
    <x v="0"/>
    <x v="7"/>
    <x v="1"/>
    <s v="S"/>
    <s v="L"/>
    <s v="Green"/>
    <n v="88.32"/>
    <n v="0.54799999999999993"/>
    <n v="54.8"/>
    <n v="48.399359999999987"/>
    <s v="high Discount"/>
    <n v="39.92"/>
    <s v="High Loss"/>
    <d v="2025-08-06T00:00:00"/>
    <n v="36"/>
    <s v="IN STOCK"/>
    <n v="3.1"/>
    <n v="3.1"/>
    <b v="0"/>
    <x v="0"/>
    <m/>
  </r>
  <r>
    <s v="FB001083"/>
    <x v="4"/>
    <x v="3"/>
    <x v="2"/>
    <s v="OS"/>
    <s v="M"/>
    <s v="Red"/>
    <n v="74.900000000000006"/>
    <n v="0.16800000000000001"/>
    <n v="16.8"/>
    <n v="12.583200000000001"/>
    <s v="Low Discount"/>
    <n v="62.32"/>
    <s v="Medium Loss"/>
    <d v="2025-08-06T00:00:00"/>
    <n v="13"/>
    <s v="IN STOCK"/>
    <n v="0"/>
    <m/>
    <b v="1"/>
    <x v="1"/>
    <s v="Color Mismatch"/>
  </r>
  <r>
    <s v="FB001084"/>
    <x v="4"/>
    <x v="3"/>
    <x v="1"/>
    <s v="M"/>
    <s v="M"/>
    <s v="White"/>
    <n v="69.88"/>
    <n v="0.57399999999999995"/>
    <n v="57.4"/>
    <n v="40.111119999999993"/>
    <s v="high Discount"/>
    <n v="29.77"/>
    <s v="High Loss"/>
    <d v="2025-08-06T00:00:00"/>
    <n v="30"/>
    <s v="IN STOCK"/>
    <n v="4.2"/>
    <n v="4.2"/>
    <b v="0"/>
    <x v="0"/>
    <m/>
  </r>
  <r>
    <s v="FB001085"/>
    <x v="3"/>
    <x v="1"/>
    <x v="2"/>
    <s v="XS"/>
    <s v="S"/>
    <s v="Gray"/>
    <n v="142.83000000000001"/>
    <n v="0"/>
    <n v="0"/>
    <n v="0"/>
    <s v="No Discount"/>
    <n v="142.83000000000001"/>
    <s v="No Loss"/>
    <d v="2025-08-06T00:00:00"/>
    <n v="25"/>
    <s v="IN STOCK"/>
    <n v="3.5"/>
    <n v="3.5"/>
    <b v="0"/>
    <x v="0"/>
    <m/>
  </r>
  <r>
    <s v="FB001086"/>
    <x v="3"/>
    <x v="0"/>
    <x v="2"/>
    <s v="XXL"/>
    <m/>
    <s v="Purple"/>
    <n v="140.16999999999999"/>
    <n v="0"/>
    <n v="0"/>
    <n v="0"/>
    <s v="No Discount"/>
    <n v="140.16999999999999"/>
    <s v="No Loss"/>
    <d v="2025-08-06T00:00:00"/>
    <n v="43"/>
    <s v="IN STOCK"/>
    <n v="3.1"/>
    <n v="3.1"/>
    <b v="0"/>
    <x v="0"/>
    <m/>
  </r>
  <r>
    <s v="FB001087"/>
    <x v="1"/>
    <x v="6"/>
    <x v="1"/>
    <s v="OS"/>
    <s v="M"/>
    <s v="Brown"/>
    <n v="106.11"/>
    <n v="0.33799999999999997"/>
    <n v="33.799999999999997"/>
    <n v="35.865179999999995"/>
    <s v="high Discount"/>
    <n v="70.239999999999995"/>
    <s v="High Loss"/>
    <d v="2025-08-06T00:00:00"/>
    <n v="15"/>
    <s v="IN STOCK"/>
    <n v="4.5"/>
    <n v="4.5"/>
    <b v="0"/>
    <x v="0"/>
    <m/>
  </r>
  <r>
    <s v="FB001088"/>
    <x v="5"/>
    <x v="4"/>
    <x v="3"/>
    <s v="OS"/>
    <s v="XS"/>
    <s v="Pink"/>
    <n v="53.23"/>
    <n v="0"/>
    <n v="0"/>
    <n v="0"/>
    <s v="No Discount"/>
    <n v="53.23"/>
    <s v="No Loss"/>
    <d v="2025-08-06T00:00:00"/>
    <n v="41"/>
    <s v="IN STOCK"/>
    <n v="2.8"/>
    <n v="2.8"/>
    <b v="1"/>
    <x v="1"/>
    <s v="Color Mismatch"/>
  </r>
  <r>
    <s v="FB001089"/>
    <x v="0"/>
    <x v="2"/>
    <x v="0"/>
    <s v="S"/>
    <s v="XXL"/>
    <s v="Black"/>
    <n v="92.25"/>
    <n v="0"/>
    <n v="0"/>
    <n v="0"/>
    <s v="No Discount"/>
    <n v="92.25"/>
    <s v="No Loss"/>
    <d v="2025-05-28T00:00:00"/>
    <n v="22"/>
    <s v="IN STOCK"/>
    <n v="3.3"/>
    <n v="3.3"/>
    <b v="1"/>
    <x v="6"/>
    <s v="Wrong Item"/>
  </r>
  <r>
    <s v="FB001090"/>
    <x v="2"/>
    <x v="5"/>
    <x v="3"/>
    <s v="XL"/>
    <m/>
    <s v="Brown"/>
    <n v="39.17"/>
    <n v="0"/>
    <n v="0"/>
    <n v="0"/>
    <s v="No Discount"/>
    <n v="39.17"/>
    <s v="No Loss"/>
    <d v="2025-08-06T00:00:00"/>
    <n v="4"/>
    <s v="LOW STOCK"/>
    <n v="3.5"/>
    <n v="3.5"/>
    <b v="1"/>
    <x v="1"/>
    <s v="Color Mismatch"/>
  </r>
  <r>
    <s v="FB001091"/>
    <x v="2"/>
    <x v="6"/>
    <x v="0"/>
    <s v="XL"/>
    <m/>
    <s v="White"/>
    <n v="72.83"/>
    <n v="0"/>
    <n v="0"/>
    <n v="0"/>
    <s v="No Discount"/>
    <n v="72.83"/>
    <s v="No Loss"/>
    <d v="2024-11-26T00:00:00"/>
    <n v="6"/>
    <s v="LOW STOCK"/>
    <n v="2"/>
    <n v="2"/>
    <b v="0"/>
    <x v="0"/>
    <m/>
  </r>
  <r>
    <s v="FB001092"/>
    <x v="4"/>
    <x v="7"/>
    <x v="1"/>
    <s v="XL"/>
    <s v="S"/>
    <s v="Brown"/>
    <n v="29.73"/>
    <n v="0.28699999999999998"/>
    <n v="28.7"/>
    <n v="8.5325100000000003"/>
    <s v="Medium Discount"/>
    <n v="21.2"/>
    <s v="Low Loss"/>
    <d v="2025-08-06T00:00:00"/>
    <n v="37"/>
    <s v="IN STOCK"/>
    <n v="2.5"/>
    <n v="2.5"/>
    <b v="0"/>
    <x v="0"/>
    <m/>
  </r>
  <r>
    <s v="FB001093"/>
    <x v="5"/>
    <x v="3"/>
    <x v="1"/>
    <s v="M"/>
    <s v="XL"/>
    <s v="Black"/>
    <n v="144.1"/>
    <n v="0"/>
    <n v="0"/>
    <n v="0"/>
    <s v="No Discount"/>
    <n v="144.1"/>
    <s v="No Loss"/>
    <d v="2025-08-06T00:00:00"/>
    <n v="36"/>
    <s v="IN STOCK"/>
    <n v="2.5"/>
    <n v="2.5"/>
    <b v="0"/>
    <x v="0"/>
    <m/>
  </r>
  <r>
    <s v="FB001094"/>
    <x v="5"/>
    <x v="4"/>
    <x v="3"/>
    <s v="XS"/>
    <s v="XL"/>
    <s v="Brown"/>
    <n v="109.23"/>
    <n v="0.10800000000000001"/>
    <n v="10.8"/>
    <n v="11.796840000000001"/>
    <s v="Low Discount"/>
    <n v="97.43"/>
    <s v="Medium Loss"/>
    <d v="2025-08-06T00:00:00"/>
    <n v="38"/>
    <s v="IN STOCK"/>
    <n v="3.3"/>
    <n v="3.3"/>
    <b v="0"/>
    <x v="0"/>
    <m/>
  </r>
  <r>
    <s v="FB001095"/>
    <x v="0"/>
    <x v="3"/>
    <x v="1"/>
    <s v="OS"/>
    <s v="XL"/>
    <s v="Pink"/>
    <n v="180.65"/>
    <n v="0.17499999999999999"/>
    <n v="17.5"/>
    <n v="31.61375"/>
    <s v="Low Discount"/>
    <n v="149.04"/>
    <s v="High Loss"/>
    <d v="2025-08-06T00:00:00"/>
    <n v="41"/>
    <s v="IN STOCK"/>
    <n v="1.4"/>
    <n v="1.4"/>
    <b v="0"/>
    <x v="0"/>
    <m/>
  </r>
  <r>
    <s v="FB001096"/>
    <x v="0"/>
    <x v="2"/>
    <x v="0"/>
    <s v="XS"/>
    <s v="M"/>
    <s v="Green"/>
    <n v="129.24"/>
    <n v="0.46200000000000002"/>
    <n v="46.2"/>
    <n v="59.708880000000008"/>
    <s v="high Discount"/>
    <n v="69.53"/>
    <s v="High Loss"/>
    <d v="2025-03-27T00:00:00"/>
    <n v="28"/>
    <s v="IN STOCK"/>
    <n v="3.2"/>
    <n v="3.2"/>
    <b v="0"/>
    <x v="0"/>
    <m/>
  </r>
  <r>
    <s v="FB001097"/>
    <x v="3"/>
    <x v="6"/>
    <x v="3"/>
    <s v="XL"/>
    <s v="XS"/>
    <s v="Blue"/>
    <n v="195.67"/>
    <n v="0.47100000000000003"/>
    <n v="47.1"/>
    <n v="92.160570000000007"/>
    <s v="high Discount"/>
    <n v="103.51"/>
    <s v="High Loss"/>
    <d v="2025-08-06T00:00:00"/>
    <n v="36"/>
    <s v="IN STOCK"/>
    <n v="4"/>
    <n v="4"/>
    <b v="0"/>
    <x v="0"/>
    <m/>
  </r>
  <r>
    <s v="FB001098"/>
    <x v="2"/>
    <x v="2"/>
    <x v="1"/>
    <s v="S"/>
    <m/>
    <s v="Navy"/>
    <n v="65.64"/>
    <n v="0.20699999999999999"/>
    <n v="20.7"/>
    <n v="13.587479999999999"/>
    <s v="Medium Discount"/>
    <n v="52.05"/>
    <s v="Medium Loss"/>
    <d v="2025-08-06T00:00:00"/>
    <n v="20"/>
    <s v="IN STOCK"/>
    <n v="2.6"/>
    <n v="2.6"/>
    <b v="0"/>
    <x v="0"/>
    <m/>
  </r>
  <r>
    <s v="FB001099"/>
    <x v="4"/>
    <x v="4"/>
    <x v="0"/>
    <s v="XL"/>
    <s v="XS"/>
    <s v="Purple"/>
    <n v="113.18"/>
    <n v="0"/>
    <n v="0"/>
    <n v="0"/>
    <s v="No Discount"/>
    <n v="113.18"/>
    <s v="No Loss"/>
    <d v="2025-04-02T00:00:00"/>
    <n v="3"/>
    <s v="LOW STOCK"/>
    <n v="4.9000000000000004"/>
    <n v="4.9000000000000004"/>
    <b v="0"/>
    <x v="0"/>
    <m/>
  </r>
  <r>
    <s v="FB001100"/>
    <x v="3"/>
    <x v="5"/>
    <x v="2"/>
    <s v="OS"/>
    <s v="XL"/>
    <s v="Beige"/>
    <n v="173.69"/>
    <n v="0"/>
    <n v="0"/>
    <n v="0"/>
    <s v="No Discount"/>
    <n v="173.69"/>
    <s v="No Loss"/>
    <d v="2025-08-06T00:00:00"/>
    <n v="25"/>
    <s v="IN STOCK"/>
    <n v="3.6"/>
    <n v="3.6"/>
    <b v="0"/>
    <x v="0"/>
    <m/>
  </r>
  <r>
    <s v="FB001101"/>
    <x v="0"/>
    <x v="0"/>
    <x v="2"/>
    <s v="OS"/>
    <s v="S"/>
    <s v="Gray"/>
    <n v="156.54"/>
    <n v="0"/>
    <n v="0"/>
    <n v="0"/>
    <s v="No Discount"/>
    <n v="156.54"/>
    <s v="No Loss"/>
    <d v="2025-08-06T00:00:00"/>
    <n v="23"/>
    <s v="IN STOCK"/>
    <n v="1.8"/>
    <n v="1.8"/>
    <b v="0"/>
    <x v="0"/>
    <m/>
  </r>
  <r>
    <s v="FB001102"/>
    <x v="5"/>
    <x v="4"/>
    <x v="0"/>
    <s v="XXL"/>
    <s v="XL"/>
    <s v="Brown"/>
    <n v="103.78"/>
    <n v="0.39"/>
    <n v="39"/>
    <n v="40.474200000000003"/>
    <s v="high Discount"/>
    <n v="63.31"/>
    <s v="High Loss"/>
    <d v="2024-10-12T00:00:00"/>
    <n v="5"/>
    <s v="LOW STOCK"/>
    <n v="0"/>
    <m/>
    <b v="0"/>
    <x v="0"/>
    <m/>
  </r>
  <r>
    <s v="FB001103"/>
    <x v="2"/>
    <x v="6"/>
    <x v="2"/>
    <s v="OS"/>
    <m/>
    <s v="Black"/>
    <n v="79.599999999999994"/>
    <n v="0"/>
    <n v="0"/>
    <n v="0"/>
    <s v="No Discount"/>
    <n v="79.599999999999994"/>
    <s v="No Loss"/>
    <d v="2025-08-06T00:00:00"/>
    <n v="22"/>
    <s v="IN STOCK"/>
    <n v="0"/>
    <m/>
    <b v="0"/>
    <x v="0"/>
    <m/>
  </r>
  <r>
    <s v="FB001104"/>
    <x v="2"/>
    <x v="5"/>
    <x v="2"/>
    <s v="XXL"/>
    <m/>
    <s v="Beige"/>
    <n v="34.18"/>
    <n v="0.18899999999999997"/>
    <n v="18.899999999999999"/>
    <n v="6.4600199999999992"/>
    <s v="Low Discount"/>
    <n v="27.72"/>
    <s v="Low Loss"/>
    <d v="2025-08-06T00:00:00"/>
    <n v="50"/>
    <s v="IN STOCK"/>
    <n v="3.6"/>
    <n v="3.6"/>
    <b v="0"/>
    <x v="0"/>
    <m/>
  </r>
  <r>
    <s v="FB001105"/>
    <x v="4"/>
    <x v="6"/>
    <x v="1"/>
    <s v="XL"/>
    <s v="XXL"/>
    <s v="Blue"/>
    <n v="58.44"/>
    <n v="0"/>
    <n v="0"/>
    <n v="0"/>
    <s v="No Discount"/>
    <n v="58.44"/>
    <s v="No Loss"/>
    <d v="2025-08-06T00:00:00"/>
    <n v="3"/>
    <s v="LOW STOCK"/>
    <n v="2.6"/>
    <n v="2.6"/>
    <b v="1"/>
    <x v="6"/>
    <s v="Wrong Item"/>
  </r>
  <r>
    <s v="FB001106"/>
    <x v="2"/>
    <x v="0"/>
    <x v="3"/>
    <s v="M"/>
    <m/>
    <s v="Navy"/>
    <n v="30.62"/>
    <n v="0"/>
    <n v="0"/>
    <n v="0"/>
    <s v="No Discount"/>
    <n v="30.62"/>
    <s v="No Loss"/>
    <d v="2025-08-06T00:00:00"/>
    <n v="31"/>
    <s v="IN STOCK"/>
    <n v="3"/>
    <n v="3"/>
    <b v="1"/>
    <x v="3"/>
    <s v="Damaged"/>
  </r>
  <r>
    <s v="FB001107"/>
    <x v="0"/>
    <x v="1"/>
    <x v="2"/>
    <s v="OS"/>
    <s v="XXL"/>
    <s v="Purple"/>
    <n v="213.94"/>
    <n v="0"/>
    <n v="0"/>
    <n v="0"/>
    <s v="No Discount"/>
    <n v="213.94"/>
    <s v="No Loss"/>
    <d v="2025-08-06T00:00:00"/>
    <n v="16"/>
    <s v="IN STOCK"/>
    <n v="4.7"/>
    <n v="4.7"/>
    <b v="0"/>
    <x v="0"/>
    <m/>
  </r>
  <r>
    <s v="FB001108"/>
    <x v="4"/>
    <x v="7"/>
    <x v="2"/>
    <s v="XXL"/>
    <s v="XL"/>
    <s v="Pink"/>
    <n v="29.31"/>
    <n v="0"/>
    <n v="0"/>
    <n v="0"/>
    <s v="No Discount"/>
    <n v="29.31"/>
    <s v="No Loss"/>
    <d v="2025-08-06T00:00:00"/>
    <n v="25"/>
    <s v="IN STOCK"/>
    <n v="4.5999999999999996"/>
    <n v="4.5999999999999996"/>
    <b v="1"/>
    <x v="5"/>
    <s v="Changed Mind"/>
  </r>
  <r>
    <s v="FB001109"/>
    <x v="1"/>
    <x v="7"/>
    <x v="0"/>
    <s v="OS"/>
    <s v="M"/>
    <s v="Red"/>
    <n v="49.12"/>
    <n v="0"/>
    <n v="0"/>
    <n v="0"/>
    <s v="No Discount"/>
    <n v="49.12"/>
    <s v="No Loss"/>
    <d v="2025-06-28T00:00:00"/>
    <n v="47"/>
    <s v="IN STOCK"/>
    <n v="0"/>
    <m/>
    <b v="0"/>
    <x v="0"/>
    <m/>
  </r>
  <r>
    <s v="FB001110"/>
    <x v="4"/>
    <x v="2"/>
    <x v="2"/>
    <s v="L"/>
    <m/>
    <s v="Purple"/>
    <n v="113.23"/>
    <n v="0"/>
    <n v="0"/>
    <n v="0"/>
    <s v="No Discount"/>
    <n v="113.23"/>
    <s v="No Loss"/>
    <d v="2025-08-06T00:00:00"/>
    <n v="13"/>
    <s v="IN STOCK"/>
    <n v="3.7"/>
    <n v="3.7"/>
    <b v="0"/>
    <x v="0"/>
    <m/>
  </r>
  <r>
    <s v="FB001111"/>
    <x v="0"/>
    <x v="2"/>
    <x v="0"/>
    <s v="L"/>
    <s v="XXL"/>
    <s v="Brown"/>
    <n v="103.65"/>
    <n v="0"/>
    <n v="0"/>
    <n v="0"/>
    <s v="No Discount"/>
    <n v="103.65"/>
    <s v="No Loss"/>
    <d v="2024-11-16T00:00:00"/>
    <n v="4"/>
    <s v="LOW STOCK"/>
    <n v="1"/>
    <n v="1"/>
    <b v="0"/>
    <x v="0"/>
    <m/>
  </r>
  <r>
    <s v="FB001112"/>
    <x v="5"/>
    <x v="5"/>
    <x v="2"/>
    <s v="S"/>
    <m/>
    <s v="Gray"/>
    <n v="71.84"/>
    <n v="0.49399999999999999"/>
    <n v="49.4"/>
    <n v="35.488959999999999"/>
    <s v="high Discount"/>
    <n v="36.35"/>
    <s v="High Loss"/>
    <d v="2025-08-06T00:00:00"/>
    <n v="25"/>
    <s v="IN STOCK"/>
    <n v="0"/>
    <m/>
    <b v="0"/>
    <x v="0"/>
    <m/>
  </r>
  <r>
    <s v="FB001113"/>
    <x v="3"/>
    <x v="0"/>
    <x v="1"/>
    <s v="XXL"/>
    <s v="L"/>
    <s v="Gray"/>
    <n v="128.31"/>
    <n v="0"/>
    <n v="0"/>
    <n v="0"/>
    <s v="No Discount"/>
    <n v="128.31"/>
    <s v="No Loss"/>
    <d v="2025-08-06T00:00:00"/>
    <n v="36"/>
    <s v="IN STOCK"/>
    <n v="4"/>
    <n v="4"/>
    <b v="1"/>
    <x v="5"/>
    <s v="Changed Mind"/>
  </r>
  <r>
    <s v="FB001114"/>
    <x v="3"/>
    <x v="7"/>
    <x v="1"/>
    <s v="XL"/>
    <s v="L"/>
    <s v="Blue"/>
    <n v="118.97"/>
    <n v="0"/>
    <n v="0"/>
    <n v="0"/>
    <s v="No Discount"/>
    <n v="118.97"/>
    <s v="No Loss"/>
    <d v="2025-08-06T00:00:00"/>
    <n v="45"/>
    <s v="IN STOCK"/>
    <n v="3.8"/>
    <n v="3.8"/>
    <b v="0"/>
    <x v="0"/>
    <m/>
  </r>
  <r>
    <s v="FB001115"/>
    <x v="4"/>
    <x v="0"/>
    <x v="1"/>
    <s v="XS"/>
    <s v="S"/>
    <s v="Red"/>
    <n v="31.98"/>
    <n v="0.16500000000000001"/>
    <n v="16.5"/>
    <n v="5.2766999999999999"/>
    <s v="Low Discount"/>
    <n v="26.7"/>
    <s v="Low Loss"/>
    <d v="2025-08-06T00:00:00"/>
    <n v="48"/>
    <s v="IN STOCK"/>
    <n v="1.8"/>
    <n v="1.8"/>
    <b v="0"/>
    <x v="0"/>
    <m/>
  </r>
  <r>
    <s v="FB001116"/>
    <x v="1"/>
    <x v="2"/>
    <x v="1"/>
    <s v="XL"/>
    <s v="XXL"/>
    <s v="Purple"/>
    <n v="115.89"/>
    <n v="0.26800000000000002"/>
    <n v="26.8"/>
    <n v="31.058520000000001"/>
    <s v="Medium Discount"/>
    <n v="84.83"/>
    <s v="High Loss"/>
    <d v="2025-08-06T00:00:00"/>
    <n v="26"/>
    <s v="IN STOCK"/>
    <n v="4.5999999999999996"/>
    <n v="4.5999999999999996"/>
    <b v="0"/>
    <x v="0"/>
    <m/>
  </r>
  <r>
    <s v="FB001117"/>
    <x v="5"/>
    <x v="5"/>
    <x v="2"/>
    <s v="XL"/>
    <s v="XL"/>
    <s v="Pink"/>
    <n v="140.06"/>
    <n v="0"/>
    <n v="0"/>
    <n v="0"/>
    <s v="No Discount"/>
    <n v="140.06"/>
    <s v="No Loss"/>
    <d v="2025-08-06T00:00:00"/>
    <n v="37"/>
    <s v="IN STOCK"/>
    <n v="2.2999999999999998"/>
    <n v="2.2999999999999998"/>
    <b v="0"/>
    <x v="0"/>
    <m/>
  </r>
  <r>
    <s v="FB001118"/>
    <x v="3"/>
    <x v="3"/>
    <x v="2"/>
    <s v="XL"/>
    <s v="XS"/>
    <s v="Pink"/>
    <n v="154.82"/>
    <n v="0"/>
    <n v="0"/>
    <n v="0"/>
    <s v="No Discount"/>
    <n v="154.82"/>
    <s v="No Loss"/>
    <d v="2025-08-06T00:00:00"/>
    <n v="10"/>
    <s v="LOW STOCK"/>
    <n v="4.0999999999999996"/>
    <n v="4.0999999999999996"/>
    <b v="0"/>
    <x v="0"/>
    <m/>
  </r>
  <r>
    <s v="FB001119"/>
    <x v="5"/>
    <x v="1"/>
    <x v="1"/>
    <s v="S"/>
    <s v="XL"/>
    <s v="Blue"/>
    <n v="114.21"/>
    <n v="0.20199999999999999"/>
    <n v="20.2"/>
    <n v="23.070419999999999"/>
    <s v="Medium Discount"/>
    <n v="91.14"/>
    <s v="High Loss"/>
    <d v="2025-08-06T00:00:00"/>
    <n v="5"/>
    <s v="LOW STOCK"/>
    <n v="2"/>
    <n v="2"/>
    <b v="1"/>
    <x v="6"/>
    <s v="Wrong Item"/>
  </r>
  <r>
    <s v="FB001120"/>
    <x v="3"/>
    <x v="0"/>
    <x v="1"/>
    <s v="XS"/>
    <s v="XL"/>
    <s v="Blue"/>
    <n v="114.84"/>
    <n v="0"/>
    <n v="0"/>
    <n v="0"/>
    <s v="No Discount"/>
    <n v="114.84"/>
    <s v="No Loss"/>
    <d v="2025-08-06T00:00:00"/>
    <n v="38"/>
    <s v="IN STOCK"/>
    <n v="2.6"/>
    <n v="2.6"/>
    <b v="1"/>
    <x v="1"/>
    <s v="Color Mismatch"/>
  </r>
  <r>
    <s v="FB001121"/>
    <x v="5"/>
    <x v="3"/>
    <x v="1"/>
    <s v="M"/>
    <s v="XL"/>
    <s v="Navy"/>
    <n v="131.32"/>
    <n v="6.8000000000000005E-2"/>
    <n v="6.8"/>
    <n v="8.9297599999999999"/>
    <s v="Low Discount"/>
    <n v="122.39"/>
    <s v="Low Loss"/>
    <d v="2025-08-06T00:00:00"/>
    <n v="18"/>
    <s v="IN STOCK"/>
    <n v="2"/>
    <n v="2"/>
    <b v="0"/>
    <x v="0"/>
    <m/>
  </r>
  <r>
    <s v="FB001122"/>
    <x v="1"/>
    <x v="3"/>
    <x v="2"/>
    <s v="L"/>
    <s v="S"/>
    <s v="Pink"/>
    <n v="91.41"/>
    <n v="0.32100000000000001"/>
    <n v="32.1"/>
    <n v="29.342610000000001"/>
    <s v="high Discount"/>
    <n v="62.07"/>
    <s v="High Loss"/>
    <d v="2025-08-06T00:00:00"/>
    <n v="49"/>
    <s v="IN STOCK"/>
    <n v="2.2999999999999998"/>
    <n v="2.2999999999999998"/>
    <b v="0"/>
    <x v="0"/>
    <m/>
  </r>
  <r>
    <s v="FB001123"/>
    <x v="0"/>
    <x v="6"/>
    <x v="2"/>
    <s v="XL"/>
    <s v="XS"/>
    <s v="Black"/>
    <n v="202.28"/>
    <n v="0"/>
    <n v="0"/>
    <n v="0"/>
    <s v="No Discount"/>
    <n v="202.28"/>
    <s v="No Loss"/>
    <d v="2025-08-06T00:00:00"/>
    <n v="4"/>
    <s v="LOW STOCK"/>
    <n v="0"/>
    <m/>
    <b v="0"/>
    <x v="0"/>
    <m/>
  </r>
  <r>
    <s v="FB001124"/>
    <x v="4"/>
    <x v="7"/>
    <x v="2"/>
    <s v="L"/>
    <s v="M"/>
    <s v="Red"/>
    <n v="119.63"/>
    <n v="0"/>
    <n v="0"/>
    <n v="0"/>
    <s v="No Discount"/>
    <n v="119.63"/>
    <s v="No Loss"/>
    <d v="2025-08-06T00:00:00"/>
    <n v="14"/>
    <s v="IN STOCK"/>
    <n v="2.1"/>
    <n v="2.1"/>
    <b v="0"/>
    <x v="0"/>
    <m/>
  </r>
  <r>
    <s v="FB001125"/>
    <x v="3"/>
    <x v="2"/>
    <x v="3"/>
    <s v="XS"/>
    <s v="L"/>
    <s v="Blue"/>
    <n v="167.89"/>
    <n v="0"/>
    <n v="0"/>
    <n v="0"/>
    <s v="No Discount"/>
    <n v="167.89"/>
    <s v="No Loss"/>
    <d v="2025-08-06T00:00:00"/>
    <n v="12"/>
    <s v="IN STOCK"/>
    <n v="1"/>
    <n v="1"/>
    <b v="0"/>
    <x v="0"/>
    <m/>
  </r>
  <r>
    <s v="FB001126"/>
    <x v="3"/>
    <x v="1"/>
    <x v="0"/>
    <s v="XXL"/>
    <s v="XL"/>
    <s v="Blue"/>
    <n v="100.39"/>
    <n v="0"/>
    <n v="0"/>
    <n v="0"/>
    <s v="No Discount"/>
    <n v="100.39"/>
    <s v="No Loss"/>
    <d v="2025-03-07T00:00:00"/>
    <n v="24"/>
    <s v="IN STOCK"/>
    <n v="3.2"/>
    <n v="3.2"/>
    <b v="1"/>
    <x v="4"/>
    <s v="Quality Issue"/>
  </r>
  <r>
    <s v="FB001127"/>
    <x v="5"/>
    <x v="6"/>
    <x v="3"/>
    <s v="M"/>
    <s v="L"/>
    <s v="Gray"/>
    <n v="162.41999999999999"/>
    <n v="0.40899999999999997"/>
    <n v="40.9"/>
    <n v="66.429779999999994"/>
    <s v="high Discount"/>
    <n v="95.99"/>
    <s v="High Loss"/>
    <d v="2025-08-06T00:00:00"/>
    <n v="32"/>
    <s v="IN STOCK"/>
    <n v="1"/>
    <n v="1"/>
    <b v="0"/>
    <x v="0"/>
    <m/>
  </r>
  <r>
    <s v="FB001128"/>
    <x v="3"/>
    <x v="6"/>
    <x v="0"/>
    <s v="OS"/>
    <s v="XS"/>
    <s v="Gray"/>
    <n v="65.069999999999993"/>
    <n v="5.0999999999999997E-2"/>
    <n v="5.0999999999999996"/>
    <n v="3.3185699999999994"/>
    <s v="Low Discount"/>
    <n v="61.75"/>
    <s v="Low Loss"/>
    <d v="2025-01-17T00:00:00"/>
    <n v="16"/>
    <s v="IN STOCK"/>
    <n v="4.3"/>
    <n v="4.3"/>
    <b v="0"/>
    <x v="0"/>
    <m/>
  </r>
  <r>
    <s v="FB001129"/>
    <x v="4"/>
    <x v="7"/>
    <x v="0"/>
    <s v="S"/>
    <s v="XXL"/>
    <s v="Red"/>
    <n v="78.099999999999994"/>
    <n v="0.48700000000000004"/>
    <n v="48.7"/>
    <n v="38.034700000000001"/>
    <s v="high Discount"/>
    <n v="40.07"/>
    <s v="High Loss"/>
    <d v="2025-05-06T00:00:00"/>
    <n v="0"/>
    <s v="NO STOCK"/>
    <n v="0"/>
    <m/>
    <b v="0"/>
    <x v="0"/>
    <m/>
  </r>
  <r>
    <s v="FB001130"/>
    <x v="0"/>
    <x v="0"/>
    <x v="0"/>
    <s v="L"/>
    <s v="M"/>
    <s v="Blue"/>
    <n v="115.73"/>
    <n v="0.59799999999999998"/>
    <n v="59.8"/>
    <n v="69.206540000000004"/>
    <s v="high Discount"/>
    <n v="46.52"/>
    <s v="High Loss"/>
    <d v="2024-09-28T00:00:00"/>
    <n v="10"/>
    <s v="LOW STOCK"/>
    <n v="4.2"/>
    <n v="4.2"/>
    <b v="0"/>
    <x v="0"/>
    <m/>
  </r>
  <r>
    <s v="FB001131"/>
    <x v="2"/>
    <x v="5"/>
    <x v="2"/>
    <s v="XL"/>
    <m/>
    <s v="Navy"/>
    <n v="21.57"/>
    <n v="0.11900000000000001"/>
    <n v="11.9"/>
    <n v="2.5668300000000004"/>
    <s v="Low Discount"/>
    <n v="19"/>
    <s v="Low Loss"/>
    <d v="2025-08-06T00:00:00"/>
    <n v="37"/>
    <s v="IN STOCK"/>
    <n v="3"/>
    <n v="3"/>
    <b v="1"/>
    <x v="5"/>
    <s v="Changed Mind"/>
  </r>
  <r>
    <s v="FB001132"/>
    <x v="5"/>
    <x v="2"/>
    <x v="2"/>
    <s v="S"/>
    <s v="S"/>
    <s v="Brown"/>
    <n v="75.849999999999994"/>
    <n v="0.503"/>
    <n v="50.3"/>
    <n v="38.152549999999998"/>
    <s v="high Discount"/>
    <n v="37.700000000000003"/>
    <s v="High Loss"/>
    <d v="2025-08-06T00:00:00"/>
    <n v="50"/>
    <s v="IN STOCK"/>
    <n v="4.7"/>
    <n v="4.7"/>
    <b v="1"/>
    <x v="4"/>
    <s v="Quality Issue"/>
  </r>
  <r>
    <s v="FB001133"/>
    <x v="0"/>
    <x v="1"/>
    <x v="3"/>
    <s v="XS"/>
    <s v="L"/>
    <s v="Green"/>
    <n v="170.91"/>
    <n v="0"/>
    <n v="0"/>
    <n v="0"/>
    <s v="No Discount"/>
    <n v="170.91"/>
    <s v="No Loss"/>
    <d v="2025-08-06T00:00:00"/>
    <n v="36"/>
    <s v="IN STOCK"/>
    <n v="1.6"/>
    <n v="1.6"/>
    <b v="1"/>
    <x v="4"/>
    <s v="Quality Issue"/>
  </r>
  <r>
    <s v="FB001134"/>
    <x v="3"/>
    <x v="4"/>
    <x v="2"/>
    <s v="S"/>
    <s v="XL"/>
    <s v="White"/>
    <n v="94.06"/>
    <n v="0.22399999999999998"/>
    <n v="22.4"/>
    <n v="21.069439999999997"/>
    <s v="Medium Discount"/>
    <n v="72.989999999999995"/>
    <s v="High Loss"/>
    <d v="2025-08-06T00:00:00"/>
    <n v="0"/>
    <s v="NO STOCK"/>
    <n v="0"/>
    <m/>
    <b v="0"/>
    <x v="0"/>
    <m/>
  </r>
  <r>
    <s v="FB001135"/>
    <x v="4"/>
    <x v="4"/>
    <x v="3"/>
    <s v="M"/>
    <s v="S"/>
    <s v="Blue"/>
    <n v="84.44"/>
    <n v="0"/>
    <n v="0"/>
    <n v="0"/>
    <s v="No Discount"/>
    <n v="84.44"/>
    <s v="No Loss"/>
    <d v="2025-08-06T00:00:00"/>
    <n v="2"/>
    <s v="LOW STOCK"/>
    <n v="1.1000000000000001"/>
    <n v="1.1000000000000001"/>
    <b v="0"/>
    <x v="0"/>
    <m/>
  </r>
  <r>
    <s v="FB001136"/>
    <x v="0"/>
    <x v="0"/>
    <x v="3"/>
    <s v="OS"/>
    <s v="XS"/>
    <s v="Pink"/>
    <n v="93.11"/>
    <n v="0"/>
    <n v="0"/>
    <n v="0"/>
    <s v="No Discount"/>
    <n v="93.11"/>
    <s v="No Loss"/>
    <d v="2025-08-06T00:00:00"/>
    <n v="43"/>
    <s v="IN STOCK"/>
    <n v="2.8"/>
    <n v="2.8"/>
    <b v="0"/>
    <x v="0"/>
    <m/>
  </r>
  <r>
    <s v="FB001137"/>
    <x v="1"/>
    <x v="0"/>
    <x v="1"/>
    <s v="M"/>
    <s v="S"/>
    <s v="Blue"/>
    <n v="84.85"/>
    <n v="8.8000000000000009E-2"/>
    <n v="8.8000000000000007"/>
    <n v="7.4668000000000001"/>
    <s v="Low Discount"/>
    <n v="77.38"/>
    <s v="Low Loss"/>
    <d v="2025-08-06T00:00:00"/>
    <n v="19"/>
    <s v="IN STOCK"/>
    <n v="4.0999999999999996"/>
    <n v="4.0999999999999996"/>
    <b v="1"/>
    <x v="5"/>
    <s v="Changed Mind"/>
  </r>
  <r>
    <s v="FB001138"/>
    <x v="3"/>
    <x v="1"/>
    <x v="0"/>
    <s v="L"/>
    <s v="M"/>
    <s v="Green"/>
    <n v="138.41"/>
    <n v="0"/>
    <n v="0"/>
    <n v="0"/>
    <s v="No Discount"/>
    <n v="138.41"/>
    <s v="No Loss"/>
    <d v="2024-11-17T00:00:00"/>
    <n v="40"/>
    <s v="IN STOCK"/>
    <n v="3.1"/>
    <n v="3.1"/>
    <b v="0"/>
    <x v="0"/>
    <m/>
  </r>
  <r>
    <s v="FB001139"/>
    <x v="2"/>
    <x v="0"/>
    <x v="2"/>
    <s v="OS"/>
    <m/>
    <s v="Pink"/>
    <n v="20.190000000000001"/>
    <n v="0.21600000000000003"/>
    <n v="21.6"/>
    <n v="4.3610400000000009"/>
    <s v="Medium Discount"/>
    <n v="15.83"/>
    <s v="Low Loss"/>
    <d v="2025-08-06T00:00:00"/>
    <n v="45"/>
    <s v="IN STOCK"/>
    <n v="4.4000000000000004"/>
    <n v="4.4000000000000004"/>
    <b v="1"/>
    <x v="5"/>
    <s v="Changed Mind"/>
  </r>
  <r>
    <s v="FB001140"/>
    <x v="5"/>
    <x v="2"/>
    <x v="2"/>
    <s v="XXL"/>
    <s v="M"/>
    <s v="Gray"/>
    <n v="124.17"/>
    <n v="0.376"/>
    <n v="37.6"/>
    <n v="46.687919999999998"/>
    <s v="high Discount"/>
    <n v="77.48"/>
    <s v="High Loss"/>
    <d v="2025-08-06T00:00:00"/>
    <n v="24"/>
    <s v="IN STOCK"/>
    <n v="2.2999999999999998"/>
    <n v="2.2999999999999998"/>
    <b v="0"/>
    <x v="0"/>
    <m/>
  </r>
  <r>
    <s v="FB001141"/>
    <x v="0"/>
    <x v="2"/>
    <x v="0"/>
    <s v="L"/>
    <s v="L"/>
    <s v="Red"/>
    <n v="133.91999999999999"/>
    <n v="0"/>
    <n v="0"/>
    <n v="0"/>
    <s v="No Discount"/>
    <n v="133.91999999999999"/>
    <s v="No Loss"/>
    <d v="2025-04-13T00:00:00"/>
    <n v="41"/>
    <s v="IN STOCK"/>
    <n v="2.8"/>
    <n v="2.8"/>
    <b v="0"/>
    <x v="0"/>
    <m/>
  </r>
  <r>
    <s v="FB001142"/>
    <x v="2"/>
    <x v="2"/>
    <x v="0"/>
    <s v="OS"/>
    <m/>
    <s v="Gray"/>
    <n v="77.78"/>
    <n v="0"/>
    <n v="0"/>
    <n v="0"/>
    <s v="No Discount"/>
    <n v="77.78"/>
    <s v="No Loss"/>
    <d v="2025-07-07T00:00:00"/>
    <n v="23"/>
    <s v="IN STOCK"/>
    <n v="2.5"/>
    <n v="2.5"/>
    <b v="1"/>
    <x v="2"/>
    <s v="Size Issue"/>
  </r>
  <r>
    <s v="FB001143"/>
    <x v="5"/>
    <x v="3"/>
    <x v="1"/>
    <s v="M"/>
    <s v="XXL"/>
    <s v="Brown"/>
    <n v="157.69"/>
    <n v="0.35899999999999999"/>
    <n v="35.9"/>
    <n v="56.610709999999997"/>
    <s v="high Discount"/>
    <n v="101.08"/>
    <s v="High Loss"/>
    <d v="2025-08-06T00:00:00"/>
    <n v="6"/>
    <s v="LOW STOCK"/>
    <n v="1"/>
    <n v="1"/>
    <b v="0"/>
    <x v="0"/>
    <m/>
  </r>
  <r>
    <s v="FB001144"/>
    <x v="1"/>
    <x v="0"/>
    <x v="1"/>
    <s v="M"/>
    <s v="L"/>
    <s v="Black"/>
    <n v="99.57"/>
    <n v="0"/>
    <n v="0"/>
    <n v="0"/>
    <s v="No Discount"/>
    <n v="99.57"/>
    <s v="No Loss"/>
    <d v="2025-08-06T00:00:00"/>
    <n v="17"/>
    <s v="IN STOCK"/>
    <n v="1"/>
    <n v="1"/>
    <b v="0"/>
    <x v="0"/>
    <m/>
  </r>
  <r>
    <s v="FB001145"/>
    <x v="2"/>
    <x v="0"/>
    <x v="3"/>
    <s v="XL"/>
    <m/>
    <s v="Brown"/>
    <n v="43.61"/>
    <n v="0.33299999999999996"/>
    <n v="33.299999999999997"/>
    <n v="14.522129999999999"/>
    <s v="high Discount"/>
    <n v="29.09"/>
    <s v="Medium Loss"/>
    <d v="2025-08-06T00:00:00"/>
    <n v="47"/>
    <s v="IN STOCK"/>
    <n v="2.5"/>
    <n v="2.5"/>
    <b v="0"/>
    <x v="0"/>
    <m/>
  </r>
  <r>
    <s v="FB001146"/>
    <x v="0"/>
    <x v="6"/>
    <x v="1"/>
    <s v="L"/>
    <s v="M"/>
    <s v="Brown"/>
    <n v="88.87"/>
    <n v="0"/>
    <n v="0"/>
    <n v="0"/>
    <s v="No Discount"/>
    <n v="88.87"/>
    <s v="No Loss"/>
    <d v="2025-08-06T00:00:00"/>
    <n v="27"/>
    <s v="IN STOCK"/>
    <n v="2.4"/>
    <n v="2.4"/>
    <b v="0"/>
    <x v="0"/>
    <m/>
  </r>
  <r>
    <s v="FB001147"/>
    <x v="4"/>
    <x v="7"/>
    <x v="2"/>
    <s v="XL"/>
    <s v="M"/>
    <s v="White"/>
    <n v="112.6"/>
    <n v="0.19800000000000001"/>
    <n v="19.8"/>
    <n v="22.294799999999999"/>
    <s v="Low Discount"/>
    <n v="90.31"/>
    <s v="High Loss"/>
    <d v="2025-08-06T00:00:00"/>
    <n v="2"/>
    <s v="LOW STOCK"/>
    <n v="1"/>
    <n v="1"/>
    <b v="0"/>
    <x v="0"/>
    <m/>
  </r>
  <r>
    <s v="FB001148"/>
    <x v="1"/>
    <x v="1"/>
    <x v="2"/>
    <s v="S"/>
    <s v="XL"/>
    <s v="Green"/>
    <n v="33.35"/>
    <n v="0"/>
    <n v="0"/>
    <n v="0"/>
    <s v="No Discount"/>
    <n v="33.35"/>
    <s v="No Loss"/>
    <d v="2025-08-06T00:00:00"/>
    <n v="29"/>
    <s v="IN STOCK"/>
    <n v="1.2"/>
    <n v="1.2"/>
    <b v="0"/>
    <x v="0"/>
    <m/>
  </r>
  <r>
    <s v="FB001149"/>
    <x v="4"/>
    <x v="7"/>
    <x v="2"/>
    <s v="XS"/>
    <s v="L"/>
    <s v="Navy"/>
    <n v="115.82"/>
    <n v="2.8999999999999998E-2"/>
    <n v="2.9"/>
    <n v="3.3587799999999994"/>
    <s v="Low Discount"/>
    <n v="112.46"/>
    <s v="Low Loss"/>
    <d v="2025-08-06T00:00:00"/>
    <n v="46"/>
    <s v="IN STOCK"/>
    <n v="0"/>
    <m/>
    <b v="0"/>
    <x v="0"/>
    <m/>
  </r>
  <r>
    <s v="FB001150"/>
    <x v="1"/>
    <x v="2"/>
    <x v="2"/>
    <s v="S"/>
    <s v="XL"/>
    <s v="White"/>
    <n v="107.79"/>
    <n v="3.1E-2"/>
    <n v="3.1"/>
    <n v="3.3414900000000003"/>
    <s v="Low Discount"/>
    <n v="104.45"/>
    <s v="Low Loss"/>
    <d v="2025-08-06T00:00:00"/>
    <n v="6"/>
    <s v="LOW STOCK"/>
    <n v="2.8"/>
    <n v="2.8"/>
    <b v="0"/>
    <x v="0"/>
    <m/>
  </r>
  <r>
    <s v="FB001151"/>
    <x v="1"/>
    <x v="4"/>
    <x v="3"/>
    <s v="M"/>
    <s v="S"/>
    <s v="White"/>
    <n v="53.87"/>
    <n v="0"/>
    <n v="0"/>
    <n v="0"/>
    <s v="No Discount"/>
    <n v="53.87"/>
    <s v="No Loss"/>
    <d v="2025-08-06T00:00:00"/>
    <n v="50"/>
    <s v="IN STOCK"/>
    <n v="4.2"/>
    <n v="4.2"/>
    <b v="1"/>
    <x v="3"/>
    <s v="Damaged"/>
  </r>
  <r>
    <s v="FB001152"/>
    <x v="1"/>
    <x v="6"/>
    <x v="0"/>
    <s v="XS"/>
    <s v="XS"/>
    <s v="Green"/>
    <n v="72.5"/>
    <n v="0.40799999999999997"/>
    <n v="40.799999999999997"/>
    <n v="29.58"/>
    <s v="high Discount"/>
    <n v="42.92"/>
    <s v="High Loss"/>
    <d v="2024-12-30T00:00:00"/>
    <n v="23"/>
    <s v="IN STOCK"/>
    <n v="4.4000000000000004"/>
    <n v="4.4000000000000004"/>
    <b v="0"/>
    <x v="0"/>
    <m/>
  </r>
  <r>
    <s v="FB001153"/>
    <x v="3"/>
    <x v="6"/>
    <x v="0"/>
    <s v="XS"/>
    <s v="S"/>
    <s v="Gray"/>
    <n v="152.32"/>
    <n v="0"/>
    <n v="0"/>
    <n v="0"/>
    <s v="No Discount"/>
    <n v="152.32"/>
    <s v="No Loss"/>
    <d v="2025-06-09T00:00:00"/>
    <n v="15"/>
    <s v="IN STOCK"/>
    <n v="0"/>
    <m/>
    <b v="0"/>
    <x v="0"/>
    <m/>
  </r>
  <r>
    <s v="FB001154"/>
    <x v="5"/>
    <x v="4"/>
    <x v="1"/>
    <s v="XS"/>
    <s v="M"/>
    <s v="Red"/>
    <n v="67.63"/>
    <n v="0"/>
    <n v="0"/>
    <n v="0"/>
    <s v="No Discount"/>
    <n v="67.63"/>
    <s v="No Loss"/>
    <d v="2025-08-06T00:00:00"/>
    <n v="9"/>
    <s v="LOW STOCK"/>
    <n v="4.7"/>
    <n v="4.7"/>
    <b v="0"/>
    <x v="0"/>
    <m/>
  </r>
  <r>
    <s v="FB001155"/>
    <x v="0"/>
    <x v="1"/>
    <x v="3"/>
    <s v="OS"/>
    <s v="XS"/>
    <s v="Purple"/>
    <n v="221.94"/>
    <n v="0"/>
    <n v="0"/>
    <n v="0"/>
    <s v="No Discount"/>
    <n v="221.94"/>
    <s v="No Loss"/>
    <d v="2025-08-06T00:00:00"/>
    <n v="35"/>
    <s v="IN STOCK"/>
    <n v="1.5"/>
    <n v="1.5"/>
    <b v="0"/>
    <x v="0"/>
    <m/>
  </r>
  <r>
    <s v="FB001156"/>
    <x v="4"/>
    <x v="0"/>
    <x v="2"/>
    <s v="OS"/>
    <s v="XS"/>
    <s v="Pink"/>
    <n v="118.77"/>
    <n v="8.4000000000000005E-2"/>
    <n v="8.4"/>
    <n v="9.97668"/>
    <s v="Low Discount"/>
    <n v="108.79"/>
    <s v="Low Loss"/>
    <d v="2025-08-06T00:00:00"/>
    <n v="30"/>
    <s v="IN STOCK"/>
    <n v="4.5999999999999996"/>
    <n v="4.5999999999999996"/>
    <b v="1"/>
    <x v="6"/>
    <s v="Wrong Item"/>
  </r>
  <r>
    <s v="FB001157"/>
    <x v="1"/>
    <x v="7"/>
    <x v="2"/>
    <s v="S"/>
    <s v="XS"/>
    <s v="Green"/>
    <n v="100.17"/>
    <n v="0"/>
    <n v="0"/>
    <n v="0"/>
    <s v="No Discount"/>
    <n v="100.17"/>
    <s v="No Loss"/>
    <d v="2025-08-06T00:00:00"/>
    <n v="18"/>
    <s v="IN STOCK"/>
    <n v="1.2"/>
    <n v="1.2"/>
    <b v="0"/>
    <x v="0"/>
    <m/>
  </r>
  <r>
    <s v="FB001158"/>
    <x v="2"/>
    <x v="2"/>
    <x v="3"/>
    <s v="OS"/>
    <m/>
    <s v="White"/>
    <n v="18.45"/>
    <n v="0"/>
    <n v="0"/>
    <n v="0"/>
    <s v="No Discount"/>
    <n v="18.45"/>
    <s v="No Loss"/>
    <d v="2025-08-06T00:00:00"/>
    <n v="39"/>
    <s v="IN STOCK"/>
    <n v="2.2000000000000002"/>
    <n v="2.2000000000000002"/>
    <b v="0"/>
    <x v="0"/>
    <m/>
  </r>
  <r>
    <s v="FB001159"/>
    <x v="2"/>
    <x v="6"/>
    <x v="3"/>
    <s v="XL"/>
    <m/>
    <s v="Purple"/>
    <n v="45.56"/>
    <n v="0.13500000000000001"/>
    <n v="13.5"/>
    <n v="6.1506000000000007"/>
    <s v="Low Discount"/>
    <n v="39.409999999999997"/>
    <s v="Low Loss"/>
    <d v="2025-08-06T00:00:00"/>
    <n v="40"/>
    <s v="IN STOCK"/>
    <n v="3.2"/>
    <n v="3.2"/>
    <b v="0"/>
    <x v="0"/>
    <m/>
  </r>
  <r>
    <s v="FB001160"/>
    <x v="1"/>
    <x v="1"/>
    <x v="0"/>
    <s v="XS"/>
    <s v="S"/>
    <s v="Purple"/>
    <n v="62.21"/>
    <n v="0"/>
    <n v="0"/>
    <n v="0"/>
    <s v="No Discount"/>
    <n v="62.21"/>
    <s v="No Loss"/>
    <d v="2025-07-23T00:00:00"/>
    <n v="38"/>
    <s v="IN STOCK"/>
    <n v="2.6"/>
    <n v="2.6"/>
    <b v="0"/>
    <x v="0"/>
    <m/>
  </r>
  <r>
    <s v="FB001161"/>
    <x v="2"/>
    <x v="7"/>
    <x v="1"/>
    <s v="OS"/>
    <m/>
    <s v="Blue"/>
    <n v="37.020000000000003"/>
    <n v="0"/>
    <n v="0"/>
    <n v="0"/>
    <s v="No Discount"/>
    <n v="37.020000000000003"/>
    <s v="No Loss"/>
    <d v="2025-08-06T00:00:00"/>
    <n v="12"/>
    <s v="IN STOCK"/>
    <n v="4.3"/>
    <n v="4.3"/>
    <b v="0"/>
    <x v="0"/>
    <m/>
  </r>
  <r>
    <s v="FB001162"/>
    <x v="5"/>
    <x v="0"/>
    <x v="3"/>
    <s v="L"/>
    <s v="XL"/>
    <s v="Beige"/>
    <n v="51.86"/>
    <n v="0.39"/>
    <n v="39"/>
    <n v="20.2254"/>
    <s v="high Discount"/>
    <n v="31.63"/>
    <s v="High Loss"/>
    <d v="2025-08-06T00:00:00"/>
    <n v="40"/>
    <s v="IN STOCK"/>
    <n v="2.4"/>
    <n v="2.4"/>
    <b v="0"/>
    <x v="0"/>
    <m/>
  </r>
  <r>
    <s v="FB001163"/>
    <x v="5"/>
    <x v="0"/>
    <x v="0"/>
    <s v="XS"/>
    <s v="XS"/>
    <s v="Purple"/>
    <n v="76.239999999999995"/>
    <n v="0"/>
    <n v="0"/>
    <n v="0"/>
    <s v="No Discount"/>
    <n v="76.239999999999995"/>
    <s v="No Loss"/>
    <d v="2025-01-07T00:00:00"/>
    <n v="14"/>
    <s v="IN STOCK"/>
    <n v="2.8"/>
    <n v="2.8"/>
    <b v="0"/>
    <x v="0"/>
    <m/>
  </r>
  <r>
    <s v="FB001164"/>
    <x v="2"/>
    <x v="0"/>
    <x v="2"/>
    <s v="XXL"/>
    <m/>
    <s v="Gray"/>
    <n v="74.17"/>
    <n v="0"/>
    <n v="0"/>
    <n v="0"/>
    <s v="No Discount"/>
    <n v="74.17"/>
    <s v="No Loss"/>
    <d v="2025-08-06T00:00:00"/>
    <n v="24"/>
    <s v="IN STOCK"/>
    <n v="1.7"/>
    <n v="1.7"/>
    <b v="0"/>
    <x v="0"/>
    <m/>
  </r>
  <r>
    <s v="FB001165"/>
    <x v="4"/>
    <x v="7"/>
    <x v="0"/>
    <s v="OS"/>
    <s v="L"/>
    <s v="Beige"/>
    <n v="75.989999999999995"/>
    <n v="0"/>
    <n v="0"/>
    <n v="0"/>
    <s v="No Discount"/>
    <n v="75.989999999999995"/>
    <s v="No Loss"/>
    <d v="2025-02-18T00:00:00"/>
    <n v="19"/>
    <s v="IN STOCK"/>
    <n v="1.7"/>
    <n v="1.7"/>
    <b v="1"/>
    <x v="2"/>
    <s v="Size Issue"/>
  </r>
  <r>
    <s v="FB001166"/>
    <x v="4"/>
    <x v="4"/>
    <x v="1"/>
    <s v="XXL"/>
    <s v="XS"/>
    <s v="Navy"/>
    <n v="62.33"/>
    <n v="0.49399999999999999"/>
    <n v="49.4"/>
    <n v="30.79102"/>
    <s v="high Discount"/>
    <n v="31.54"/>
    <s v="High Loss"/>
    <d v="2025-08-06T00:00:00"/>
    <n v="46"/>
    <s v="IN STOCK"/>
    <n v="3.5"/>
    <n v="3.5"/>
    <b v="0"/>
    <x v="0"/>
    <m/>
  </r>
  <r>
    <s v="FB001167"/>
    <x v="4"/>
    <x v="3"/>
    <x v="1"/>
    <s v="OS"/>
    <s v="XXL"/>
    <s v="Red"/>
    <n v="93.59"/>
    <n v="0"/>
    <n v="0"/>
    <n v="0"/>
    <s v="No Discount"/>
    <n v="93.59"/>
    <s v="No Loss"/>
    <d v="2025-08-06T00:00:00"/>
    <n v="38"/>
    <s v="IN STOCK"/>
    <n v="1.9"/>
    <n v="1.9"/>
    <b v="0"/>
    <x v="0"/>
    <m/>
  </r>
  <r>
    <s v="FB001168"/>
    <x v="1"/>
    <x v="7"/>
    <x v="2"/>
    <s v="XL"/>
    <m/>
    <s v="Blue"/>
    <n v="72.83"/>
    <n v="0.35700000000000004"/>
    <n v="35.700000000000003"/>
    <n v="26.000310000000002"/>
    <s v="high Discount"/>
    <n v="46.83"/>
    <s v="High Loss"/>
    <d v="2025-08-06T00:00:00"/>
    <n v="11"/>
    <s v="IN STOCK"/>
    <n v="3.1"/>
    <n v="3.1"/>
    <b v="0"/>
    <x v="0"/>
    <m/>
  </r>
  <r>
    <s v="FB001169"/>
    <x v="0"/>
    <x v="1"/>
    <x v="1"/>
    <s v="XS"/>
    <s v="XXL"/>
    <s v="Gray"/>
    <n v="134.59"/>
    <n v="0.33600000000000002"/>
    <n v="33.6"/>
    <n v="45.222240000000006"/>
    <s v="high Discount"/>
    <n v="89.37"/>
    <s v="High Loss"/>
    <d v="2025-08-06T00:00:00"/>
    <n v="42"/>
    <s v="IN STOCK"/>
    <n v="2.9"/>
    <n v="2.9"/>
    <b v="0"/>
    <x v="0"/>
    <m/>
  </r>
  <r>
    <s v="FB001170"/>
    <x v="4"/>
    <x v="0"/>
    <x v="0"/>
    <s v="M"/>
    <m/>
    <s v="Beige"/>
    <n v="71.599999999999994"/>
    <n v="0.41899999999999998"/>
    <n v="41.9"/>
    <n v="30.000399999999996"/>
    <s v="high Discount"/>
    <n v="41.6"/>
    <s v="High Loss"/>
    <d v="2025-04-12T00:00:00"/>
    <n v="16"/>
    <s v="IN STOCK"/>
    <n v="2.8"/>
    <n v="2.8"/>
    <b v="0"/>
    <x v="0"/>
    <m/>
  </r>
  <r>
    <s v="FB001171"/>
    <x v="3"/>
    <x v="5"/>
    <x v="3"/>
    <s v="XL"/>
    <s v="XL"/>
    <s v="Red"/>
    <n v="62.35"/>
    <n v="0.53500000000000003"/>
    <n v="53.5"/>
    <n v="33.357250000000001"/>
    <s v="high Discount"/>
    <n v="28.99"/>
    <s v="High Loss"/>
    <d v="2025-08-06T00:00:00"/>
    <n v="1"/>
    <s v="LOW STOCK"/>
    <n v="4.0999999999999996"/>
    <n v="4.0999999999999996"/>
    <b v="0"/>
    <x v="0"/>
    <m/>
  </r>
  <r>
    <s v="FB001172"/>
    <x v="0"/>
    <x v="5"/>
    <x v="0"/>
    <s v="L"/>
    <s v="XS"/>
    <s v="Navy"/>
    <n v="80.55"/>
    <n v="0.43700000000000006"/>
    <n v="43.7"/>
    <n v="35.20035"/>
    <s v="high Discount"/>
    <n v="45.35"/>
    <s v="High Loss"/>
    <d v="2024-10-21T00:00:00"/>
    <n v="41"/>
    <s v="IN STOCK"/>
    <n v="4.8"/>
    <n v="4.8"/>
    <b v="1"/>
    <x v="5"/>
    <s v="Changed Mind"/>
  </r>
  <r>
    <s v="FB001173"/>
    <x v="3"/>
    <x v="2"/>
    <x v="1"/>
    <s v="S"/>
    <s v="M"/>
    <s v="Beige"/>
    <n v="171.48"/>
    <n v="0"/>
    <n v="0"/>
    <n v="0"/>
    <s v="No Discount"/>
    <n v="171.48"/>
    <s v="No Loss"/>
    <d v="2025-08-06T00:00:00"/>
    <n v="15"/>
    <s v="IN STOCK"/>
    <n v="2.4"/>
    <n v="2.4"/>
    <b v="0"/>
    <x v="0"/>
    <m/>
  </r>
  <r>
    <s v="FB001174"/>
    <x v="1"/>
    <x v="5"/>
    <x v="0"/>
    <s v="XL"/>
    <s v="XL"/>
    <s v="Navy"/>
    <n v="30.81"/>
    <n v="0.157"/>
    <n v="15.7"/>
    <n v="4.8371699999999995"/>
    <s v="Low Discount"/>
    <n v="25.97"/>
    <s v="Low Loss"/>
    <d v="2024-09-19T00:00:00"/>
    <n v="4"/>
    <s v="LOW STOCK"/>
    <n v="0"/>
    <m/>
    <b v="0"/>
    <x v="0"/>
    <m/>
  </r>
  <r>
    <s v="FB001175"/>
    <x v="5"/>
    <x v="4"/>
    <x v="3"/>
    <s v="XL"/>
    <s v="L"/>
    <s v="Blue"/>
    <n v="97.14"/>
    <n v="0"/>
    <n v="0"/>
    <n v="0"/>
    <s v="No Discount"/>
    <n v="97.14"/>
    <s v="No Loss"/>
    <d v="2025-08-06T00:00:00"/>
    <n v="20"/>
    <s v="IN STOCK"/>
    <n v="4.0999999999999996"/>
    <n v="4.0999999999999996"/>
    <b v="0"/>
    <x v="0"/>
    <m/>
  </r>
  <r>
    <s v="FB001176"/>
    <x v="3"/>
    <x v="7"/>
    <x v="2"/>
    <s v="S"/>
    <s v="S"/>
    <s v="White"/>
    <n v="128.27000000000001"/>
    <n v="0"/>
    <n v="0"/>
    <n v="0"/>
    <s v="No Discount"/>
    <n v="128.27000000000001"/>
    <s v="No Loss"/>
    <d v="2025-08-06T00:00:00"/>
    <n v="28"/>
    <s v="IN STOCK"/>
    <n v="0"/>
    <m/>
    <b v="0"/>
    <x v="0"/>
    <m/>
  </r>
  <r>
    <s v="FB001177"/>
    <x v="5"/>
    <x v="0"/>
    <x v="1"/>
    <s v="XL"/>
    <s v="XL"/>
    <s v="Green"/>
    <n v="174.86"/>
    <n v="0"/>
    <n v="0"/>
    <n v="0"/>
    <s v="No Discount"/>
    <n v="174.86"/>
    <s v="No Loss"/>
    <d v="2025-08-06T00:00:00"/>
    <n v="43"/>
    <s v="IN STOCK"/>
    <n v="4.5999999999999996"/>
    <n v="4.5999999999999996"/>
    <b v="0"/>
    <x v="0"/>
    <m/>
  </r>
  <r>
    <s v="FB001178"/>
    <x v="5"/>
    <x v="2"/>
    <x v="1"/>
    <s v="XS"/>
    <s v="XL"/>
    <s v="White"/>
    <n v="100.03"/>
    <n v="0"/>
    <n v="0"/>
    <n v="0"/>
    <s v="No Discount"/>
    <n v="100.03"/>
    <s v="No Loss"/>
    <d v="2025-08-06T00:00:00"/>
    <n v="36"/>
    <s v="IN STOCK"/>
    <n v="1.9"/>
    <n v="1.9"/>
    <b v="1"/>
    <x v="4"/>
    <s v="Quality Issue"/>
  </r>
  <r>
    <s v="FB001179"/>
    <x v="5"/>
    <x v="0"/>
    <x v="1"/>
    <s v="OS"/>
    <s v="S"/>
    <s v="Purple"/>
    <n v="49.89"/>
    <n v="0"/>
    <n v="0"/>
    <n v="0"/>
    <s v="No Discount"/>
    <n v="49.89"/>
    <s v="No Loss"/>
    <d v="2025-08-06T00:00:00"/>
    <n v="0"/>
    <s v="NO STOCK"/>
    <n v="3.5"/>
    <n v="3.5"/>
    <b v="1"/>
    <x v="6"/>
    <s v="Wrong Item"/>
  </r>
  <r>
    <s v="FB001180"/>
    <x v="3"/>
    <x v="4"/>
    <x v="2"/>
    <s v="XS"/>
    <s v="XL"/>
    <s v="Brown"/>
    <n v="170.43"/>
    <n v="0"/>
    <n v="0"/>
    <n v="0"/>
    <s v="No Discount"/>
    <n v="170.43"/>
    <s v="No Loss"/>
    <d v="2025-08-06T00:00:00"/>
    <n v="22"/>
    <s v="IN STOCK"/>
    <n v="0"/>
    <m/>
    <b v="0"/>
    <x v="0"/>
    <m/>
  </r>
  <r>
    <s v="FB001181"/>
    <x v="0"/>
    <x v="6"/>
    <x v="3"/>
    <s v="XS"/>
    <s v="XS"/>
    <s v="Navy"/>
    <n v="186.78"/>
    <n v="0"/>
    <n v="0"/>
    <n v="0"/>
    <s v="No Discount"/>
    <n v="186.78"/>
    <s v="No Loss"/>
    <d v="2025-08-06T00:00:00"/>
    <n v="22"/>
    <s v="IN STOCK"/>
    <n v="2.9"/>
    <n v="2.9"/>
    <b v="0"/>
    <x v="0"/>
    <m/>
  </r>
  <r>
    <s v="FB001182"/>
    <x v="2"/>
    <x v="7"/>
    <x v="2"/>
    <s v="XS"/>
    <m/>
    <s v="Navy"/>
    <n v="63.98"/>
    <n v="0"/>
    <n v="0"/>
    <n v="0"/>
    <s v="No Discount"/>
    <n v="63.98"/>
    <s v="No Loss"/>
    <d v="2025-08-06T00:00:00"/>
    <n v="36"/>
    <s v="IN STOCK"/>
    <n v="1.7"/>
    <n v="1.7"/>
    <b v="0"/>
    <x v="0"/>
    <m/>
  </r>
  <r>
    <s v="FB001183"/>
    <x v="0"/>
    <x v="7"/>
    <x v="2"/>
    <s v="OS"/>
    <s v="XS"/>
    <s v="Navy"/>
    <n v="225.64"/>
    <n v="0"/>
    <n v="0"/>
    <n v="0"/>
    <s v="No Discount"/>
    <n v="225.64"/>
    <s v="No Loss"/>
    <d v="2025-08-06T00:00:00"/>
    <n v="31"/>
    <s v="IN STOCK"/>
    <n v="1.3"/>
    <n v="1.3"/>
    <b v="0"/>
    <x v="0"/>
    <m/>
  </r>
  <r>
    <s v="FB001184"/>
    <x v="1"/>
    <x v="3"/>
    <x v="2"/>
    <s v="L"/>
    <s v="XS"/>
    <s v="White"/>
    <n v="115.29"/>
    <n v="0.13900000000000001"/>
    <n v="13.9"/>
    <n v="16.025310000000001"/>
    <s v="Low Discount"/>
    <n v="99.26"/>
    <s v="Medium Loss"/>
    <d v="2025-08-06T00:00:00"/>
    <n v="37"/>
    <s v="IN STOCK"/>
    <n v="0"/>
    <m/>
    <b v="0"/>
    <x v="0"/>
    <m/>
  </r>
  <r>
    <s v="FB001185"/>
    <x v="4"/>
    <x v="3"/>
    <x v="2"/>
    <s v="OS"/>
    <s v="XS"/>
    <s v="White"/>
    <n v="92.59"/>
    <n v="0"/>
    <n v="0"/>
    <n v="0"/>
    <s v="No Discount"/>
    <n v="92.59"/>
    <s v="No Loss"/>
    <d v="2025-08-06T00:00:00"/>
    <n v="39"/>
    <s v="IN STOCK"/>
    <n v="2.2999999999999998"/>
    <n v="2.2999999999999998"/>
    <b v="0"/>
    <x v="0"/>
    <m/>
  </r>
  <r>
    <s v="FB001186"/>
    <x v="2"/>
    <x v="1"/>
    <x v="0"/>
    <s v="OS"/>
    <m/>
    <s v="Beige"/>
    <n v="67.650000000000006"/>
    <n v="0.26200000000000001"/>
    <n v="26.2"/>
    <n v="17.724300000000003"/>
    <s v="Medium Discount"/>
    <n v="49.93"/>
    <s v="Medium Loss"/>
    <d v="2025-05-28T00:00:00"/>
    <n v="23"/>
    <s v="IN STOCK"/>
    <n v="1.7"/>
    <n v="1.7"/>
    <b v="0"/>
    <x v="0"/>
    <m/>
  </r>
  <r>
    <s v="FB001187"/>
    <x v="0"/>
    <x v="5"/>
    <x v="0"/>
    <s v="S"/>
    <s v="L"/>
    <s v="White"/>
    <n v="128.91999999999999"/>
    <n v="0"/>
    <n v="0"/>
    <n v="0"/>
    <s v="No Discount"/>
    <n v="128.91999999999999"/>
    <s v="No Loss"/>
    <d v="2025-07-10T00:00:00"/>
    <n v="40"/>
    <s v="IN STOCK"/>
    <n v="1.5"/>
    <n v="1.5"/>
    <b v="0"/>
    <x v="0"/>
    <m/>
  </r>
  <r>
    <s v="FB001188"/>
    <x v="2"/>
    <x v="2"/>
    <x v="2"/>
    <s v="XXL"/>
    <m/>
    <s v="Red"/>
    <n v="16.510000000000002"/>
    <n v="0.16800000000000001"/>
    <n v="16.8"/>
    <n v="2.7736800000000006"/>
    <s v="Low Discount"/>
    <n v="13.74"/>
    <s v="Low Loss"/>
    <d v="2025-08-06T00:00:00"/>
    <n v="47"/>
    <s v="IN STOCK"/>
    <n v="1.2"/>
    <n v="1.2"/>
    <b v="0"/>
    <x v="0"/>
    <m/>
  </r>
  <r>
    <s v="FB001189"/>
    <x v="3"/>
    <x v="2"/>
    <x v="1"/>
    <s v="XS"/>
    <m/>
    <s v="Gray"/>
    <n v="173.66"/>
    <n v="0.42700000000000005"/>
    <n v="42.7"/>
    <n v="74.152820000000006"/>
    <s v="high Discount"/>
    <n v="99.51"/>
    <s v="High Loss"/>
    <d v="2025-08-06T00:00:00"/>
    <n v="1"/>
    <s v="LOW STOCK"/>
    <n v="3.1"/>
    <n v="3.1"/>
    <b v="0"/>
    <x v="0"/>
    <m/>
  </r>
  <r>
    <s v="FB001190"/>
    <x v="1"/>
    <x v="4"/>
    <x v="0"/>
    <s v="XXL"/>
    <s v="S"/>
    <s v="Black"/>
    <n v="71.489999999999995"/>
    <n v="0.20899999999999999"/>
    <n v="20.9"/>
    <n v="14.941409999999998"/>
    <s v="Medium Discount"/>
    <n v="56.55"/>
    <s v="Medium Loss"/>
    <d v="2025-01-12T00:00:00"/>
    <n v="33"/>
    <s v="IN STOCK"/>
    <n v="1.3"/>
    <n v="1.3"/>
    <b v="0"/>
    <x v="0"/>
    <m/>
  </r>
  <r>
    <s v="FB001191"/>
    <x v="0"/>
    <x v="1"/>
    <x v="2"/>
    <s v="L"/>
    <s v="XXL"/>
    <s v="Gray"/>
    <n v="230.81"/>
    <n v="0.24299999999999999"/>
    <n v="24.3"/>
    <n v="56.086829999999999"/>
    <s v="Medium Discount"/>
    <n v="174.72"/>
    <s v="High Loss"/>
    <d v="2025-08-06T00:00:00"/>
    <n v="26"/>
    <s v="IN STOCK"/>
    <n v="0"/>
    <m/>
    <b v="1"/>
    <x v="2"/>
    <s v="Size Issue"/>
  </r>
  <r>
    <s v="FB001192"/>
    <x v="3"/>
    <x v="4"/>
    <x v="0"/>
    <s v="XL"/>
    <s v="XS"/>
    <s v="Green"/>
    <n v="101"/>
    <n v="0.58599999999999997"/>
    <n v="58.6"/>
    <n v="59.186"/>
    <s v="high Discount"/>
    <n v="41.81"/>
    <s v="High Loss"/>
    <d v="2025-07-04T00:00:00"/>
    <n v="44"/>
    <s v="IN STOCK"/>
    <n v="1.2"/>
    <n v="1.2"/>
    <b v="0"/>
    <x v="0"/>
    <m/>
  </r>
  <r>
    <s v="FB001193"/>
    <x v="0"/>
    <x v="3"/>
    <x v="1"/>
    <s v="L"/>
    <s v="XXL"/>
    <s v="Brown"/>
    <n v="116.37"/>
    <n v="0.52600000000000002"/>
    <n v="52.6"/>
    <n v="61.210620000000006"/>
    <s v="high Discount"/>
    <n v="55.16"/>
    <s v="High Loss"/>
    <d v="2025-08-06T00:00:00"/>
    <n v="43"/>
    <s v="IN STOCK"/>
    <n v="2.4"/>
    <n v="2.4"/>
    <b v="0"/>
    <x v="0"/>
    <m/>
  </r>
  <r>
    <s v="FB001194"/>
    <x v="3"/>
    <x v="4"/>
    <x v="0"/>
    <s v="OS"/>
    <s v="L"/>
    <s v="Beige"/>
    <n v="150.28"/>
    <n v="8.3000000000000004E-2"/>
    <n v="8.3000000000000007"/>
    <n v="12.473240000000001"/>
    <s v="Low Discount"/>
    <n v="137.81"/>
    <s v="Medium Loss"/>
    <d v="2025-01-22T00:00:00"/>
    <n v="48"/>
    <s v="IN STOCK"/>
    <n v="2.9"/>
    <n v="2.9"/>
    <b v="0"/>
    <x v="0"/>
    <m/>
  </r>
  <r>
    <s v="FB001195"/>
    <x v="0"/>
    <x v="0"/>
    <x v="1"/>
    <s v="S"/>
    <s v="XL"/>
    <s v="Gray"/>
    <n v="107.81"/>
    <n v="0"/>
    <n v="0"/>
    <n v="0"/>
    <s v="No Discount"/>
    <n v="107.81"/>
    <s v="No Loss"/>
    <d v="2025-08-06T00:00:00"/>
    <n v="15"/>
    <s v="IN STOCK"/>
    <n v="2.7"/>
    <n v="2.7"/>
    <b v="0"/>
    <x v="0"/>
    <m/>
  </r>
  <r>
    <s v="FB001196"/>
    <x v="5"/>
    <x v="0"/>
    <x v="0"/>
    <s v="M"/>
    <s v="L"/>
    <s v="Navy"/>
    <n v="61.24"/>
    <n v="0"/>
    <n v="0"/>
    <n v="0"/>
    <s v="No Discount"/>
    <n v="61.24"/>
    <s v="No Loss"/>
    <d v="2025-04-05T00:00:00"/>
    <n v="3"/>
    <s v="LOW STOCK"/>
    <n v="0"/>
    <m/>
    <b v="0"/>
    <x v="0"/>
    <m/>
  </r>
  <r>
    <s v="FB001197"/>
    <x v="2"/>
    <x v="0"/>
    <x v="1"/>
    <s v="XXL"/>
    <m/>
    <s v="Green"/>
    <n v="34.04"/>
    <n v="0"/>
    <n v="0"/>
    <n v="0"/>
    <s v="No Discount"/>
    <n v="34.04"/>
    <s v="No Loss"/>
    <d v="2025-08-06T00:00:00"/>
    <n v="3"/>
    <s v="LOW STOCK"/>
    <n v="1.9"/>
    <n v="1.9"/>
    <b v="0"/>
    <x v="0"/>
    <m/>
  </r>
  <r>
    <s v="FB001198"/>
    <x v="5"/>
    <x v="6"/>
    <x v="3"/>
    <s v="M"/>
    <s v="S"/>
    <s v="Brown"/>
    <n v="168.16"/>
    <n v="0.45899999999999996"/>
    <n v="45.9"/>
    <n v="77.185439999999986"/>
    <s v="high Discount"/>
    <n v="90.97"/>
    <s v="High Loss"/>
    <d v="2025-08-06T00:00:00"/>
    <n v="44"/>
    <s v="IN STOCK"/>
    <n v="1.5"/>
    <n v="1.5"/>
    <b v="0"/>
    <x v="0"/>
    <m/>
  </r>
  <r>
    <s v="FB001199"/>
    <x v="1"/>
    <x v="5"/>
    <x v="2"/>
    <s v="OS"/>
    <s v="M"/>
    <s v="Red"/>
    <n v="74.069999999999993"/>
    <n v="0"/>
    <n v="0"/>
    <n v="0"/>
    <s v="No Discount"/>
    <n v="74.069999999999993"/>
    <s v="No Loss"/>
    <d v="2025-08-06T00:00:00"/>
    <n v="47"/>
    <s v="IN STOCK"/>
    <n v="1.4"/>
    <n v="1.4"/>
    <b v="0"/>
    <x v="0"/>
    <m/>
  </r>
  <r>
    <s v="FB001200"/>
    <x v="1"/>
    <x v="7"/>
    <x v="1"/>
    <s v="XL"/>
    <s v="XXL"/>
    <s v="Brown"/>
    <n v="84.75"/>
    <n v="0"/>
    <n v="0"/>
    <n v="0"/>
    <s v="No Discount"/>
    <n v="84.75"/>
    <s v="No Loss"/>
    <d v="2025-08-06T00:00:00"/>
    <n v="7"/>
    <s v="LOW STOCK"/>
    <n v="2.5"/>
    <n v="2.5"/>
    <b v="0"/>
    <x v="0"/>
    <m/>
  </r>
  <r>
    <s v="FB001201"/>
    <x v="3"/>
    <x v="3"/>
    <x v="3"/>
    <s v="XS"/>
    <s v="M"/>
    <s v="Red"/>
    <n v="187.47"/>
    <n v="9.6000000000000002E-2"/>
    <n v="9.6"/>
    <n v="17.997119999999999"/>
    <s v="Low Discount"/>
    <n v="169.47"/>
    <s v="Medium Loss"/>
    <d v="2025-08-06T00:00:00"/>
    <n v="28"/>
    <s v="IN STOCK"/>
    <n v="4"/>
    <n v="4"/>
    <b v="0"/>
    <x v="0"/>
    <m/>
  </r>
  <r>
    <s v="FB001202"/>
    <x v="2"/>
    <x v="1"/>
    <x v="0"/>
    <s v="XS"/>
    <m/>
    <s v="Green"/>
    <n v="45.81"/>
    <n v="0.14099999999999999"/>
    <n v="14.1"/>
    <n v="6.4592099999999997"/>
    <s v="Low Discount"/>
    <n v="39.35"/>
    <s v="Low Loss"/>
    <d v="2025-04-14T00:00:00"/>
    <n v="29"/>
    <s v="IN STOCK"/>
    <n v="0"/>
    <m/>
    <b v="0"/>
    <x v="0"/>
    <m/>
  </r>
  <r>
    <s v="FB001203"/>
    <x v="0"/>
    <x v="2"/>
    <x v="2"/>
    <s v="XS"/>
    <s v="XL"/>
    <s v="Brown"/>
    <n v="87.09"/>
    <n v="0"/>
    <n v="0"/>
    <n v="0"/>
    <s v="No Discount"/>
    <n v="87.09"/>
    <s v="No Loss"/>
    <d v="2025-08-06T00:00:00"/>
    <n v="8"/>
    <s v="LOW STOCK"/>
    <n v="2.8"/>
    <n v="2.8"/>
    <b v="0"/>
    <x v="0"/>
    <m/>
  </r>
  <r>
    <s v="FB001204"/>
    <x v="0"/>
    <x v="4"/>
    <x v="3"/>
    <s v="OS"/>
    <s v="XS"/>
    <s v="Brown"/>
    <n v="232.5"/>
    <n v="0.56799999999999995"/>
    <n v="56.8"/>
    <n v="132.06"/>
    <s v="high Discount"/>
    <n v="100.44"/>
    <s v="High Loss"/>
    <d v="2025-08-06T00:00:00"/>
    <n v="23"/>
    <s v="IN STOCK"/>
    <n v="2.9"/>
    <n v="2.9"/>
    <b v="1"/>
    <x v="2"/>
    <s v="Size Issue"/>
  </r>
  <r>
    <s v="FB001205"/>
    <x v="3"/>
    <x v="5"/>
    <x v="0"/>
    <s v="OS"/>
    <s v="XS"/>
    <s v="Purple"/>
    <n v="184.87"/>
    <n v="0"/>
    <n v="0"/>
    <n v="0"/>
    <s v="No Discount"/>
    <n v="184.87"/>
    <s v="No Loss"/>
    <d v="2024-09-28T00:00:00"/>
    <n v="32"/>
    <s v="IN STOCK"/>
    <n v="1.8"/>
    <n v="1.8"/>
    <b v="0"/>
    <x v="0"/>
    <m/>
  </r>
  <r>
    <s v="FB001206"/>
    <x v="1"/>
    <x v="6"/>
    <x v="2"/>
    <s v="OS"/>
    <s v="XS"/>
    <s v="Gray"/>
    <n v="31.36"/>
    <n v="0"/>
    <n v="0"/>
    <n v="0"/>
    <s v="No Discount"/>
    <n v="31.36"/>
    <s v="No Loss"/>
    <d v="2025-08-06T00:00:00"/>
    <n v="50"/>
    <s v="IN STOCK"/>
    <n v="3.4"/>
    <n v="3.4"/>
    <b v="0"/>
    <x v="0"/>
    <m/>
  </r>
  <r>
    <s v="FB001207"/>
    <x v="2"/>
    <x v="4"/>
    <x v="1"/>
    <s v="M"/>
    <m/>
    <s v="Navy"/>
    <n v="62.26"/>
    <n v="0.24600000000000002"/>
    <n v="24.6"/>
    <n v="15.31596"/>
    <s v="Medium Discount"/>
    <n v="46.94"/>
    <s v="Medium Loss"/>
    <d v="2025-08-06T00:00:00"/>
    <n v="33"/>
    <s v="IN STOCK"/>
    <n v="3.5"/>
    <n v="3.5"/>
    <b v="0"/>
    <x v="0"/>
    <m/>
  </r>
  <r>
    <s v="FB001208"/>
    <x v="2"/>
    <x v="3"/>
    <x v="3"/>
    <s v="L"/>
    <m/>
    <s v="Navy"/>
    <n v="64.819999999999993"/>
    <n v="0.42200000000000004"/>
    <n v="42.2"/>
    <n v="27.354040000000001"/>
    <s v="high Discount"/>
    <n v="37.47"/>
    <s v="High Loss"/>
    <d v="2025-08-06T00:00:00"/>
    <n v="26"/>
    <s v="IN STOCK"/>
    <n v="1.3"/>
    <n v="1.3"/>
    <b v="0"/>
    <x v="0"/>
    <m/>
  </r>
  <r>
    <s v="FB001209"/>
    <x v="2"/>
    <x v="0"/>
    <x v="0"/>
    <s v="XXL"/>
    <m/>
    <s v="Blue"/>
    <n v="15.92"/>
    <n v="0"/>
    <n v="0"/>
    <n v="0"/>
    <s v="No Discount"/>
    <n v="15.92"/>
    <s v="No Loss"/>
    <d v="2024-09-06T00:00:00"/>
    <n v="7"/>
    <s v="LOW STOCK"/>
    <n v="4.0999999999999996"/>
    <n v="4.0999999999999996"/>
    <b v="0"/>
    <x v="0"/>
    <m/>
  </r>
  <r>
    <s v="FB001210"/>
    <x v="0"/>
    <x v="4"/>
    <x v="0"/>
    <s v="OS"/>
    <s v="M"/>
    <s v="Purple"/>
    <n v="180.83"/>
    <n v="0"/>
    <n v="0"/>
    <n v="0"/>
    <s v="No Discount"/>
    <n v="180.83"/>
    <s v="No Loss"/>
    <d v="2024-09-02T00:00:00"/>
    <n v="20"/>
    <s v="IN STOCK"/>
    <n v="2"/>
    <n v="2"/>
    <b v="0"/>
    <x v="0"/>
    <m/>
  </r>
  <r>
    <s v="FB001211"/>
    <x v="3"/>
    <x v="7"/>
    <x v="3"/>
    <s v="XS"/>
    <s v="L"/>
    <s v="Brown"/>
    <n v="73.81"/>
    <n v="0"/>
    <n v="0"/>
    <n v="0"/>
    <s v="No Discount"/>
    <n v="73.81"/>
    <s v="No Loss"/>
    <d v="2025-08-06T00:00:00"/>
    <n v="44"/>
    <s v="IN STOCK"/>
    <n v="1.3"/>
    <n v="1.3"/>
    <b v="0"/>
    <x v="0"/>
    <m/>
  </r>
  <r>
    <s v="FB001212"/>
    <x v="3"/>
    <x v="5"/>
    <x v="3"/>
    <s v="S"/>
    <s v="XXL"/>
    <s v="Beige"/>
    <n v="127.52"/>
    <n v="0"/>
    <n v="0"/>
    <n v="0"/>
    <s v="No Discount"/>
    <n v="127.52"/>
    <s v="No Loss"/>
    <d v="2025-08-06T00:00:00"/>
    <n v="0"/>
    <s v="NO STOCK"/>
    <n v="3.4"/>
    <n v="3.4"/>
    <b v="0"/>
    <x v="0"/>
    <m/>
  </r>
  <r>
    <s v="FB001213"/>
    <x v="4"/>
    <x v="4"/>
    <x v="2"/>
    <s v="OS"/>
    <m/>
    <s v="Brown"/>
    <n v="52.08"/>
    <n v="0"/>
    <n v="0"/>
    <n v="0"/>
    <s v="No Discount"/>
    <n v="52.08"/>
    <s v="No Loss"/>
    <d v="2025-08-06T00:00:00"/>
    <n v="12"/>
    <s v="IN STOCK"/>
    <n v="0"/>
    <m/>
    <b v="0"/>
    <x v="0"/>
    <m/>
  </r>
  <r>
    <s v="FB001214"/>
    <x v="4"/>
    <x v="7"/>
    <x v="1"/>
    <s v="OS"/>
    <s v="XS"/>
    <s v="Red"/>
    <n v="32.83"/>
    <n v="0.23"/>
    <n v="23"/>
    <n v="7.5508999999999995"/>
    <s v="Medium Discount"/>
    <n v="25.28"/>
    <s v="Low Loss"/>
    <d v="2025-08-06T00:00:00"/>
    <n v="24"/>
    <s v="IN STOCK"/>
    <n v="1.1000000000000001"/>
    <n v="1.1000000000000001"/>
    <b v="0"/>
    <x v="0"/>
    <m/>
  </r>
  <r>
    <s v="FB001215"/>
    <x v="1"/>
    <x v="2"/>
    <x v="1"/>
    <s v="XL"/>
    <s v="S"/>
    <s v="Purple"/>
    <n v="108.92"/>
    <n v="0"/>
    <n v="0"/>
    <n v="0"/>
    <s v="No Discount"/>
    <n v="108.92"/>
    <s v="No Loss"/>
    <d v="2025-08-06T00:00:00"/>
    <n v="6"/>
    <s v="LOW STOCK"/>
    <n v="1.8"/>
    <n v="1.8"/>
    <b v="0"/>
    <x v="0"/>
    <m/>
  </r>
  <r>
    <s v="FB001216"/>
    <x v="3"/>
    <x v="7"/>
    <x v="1"/>
    <s v="OS"/>
    <m/>
    <s v="Navy"/>
    <n v="85.83"/>
    <n v="0.47499999999999998"/>
    <n v="47.5"/>
    <n v="40.76925"/>
    <s v="high Discount"/>
    <n v="45.06"/>
    <s v="High Loss"/>
    <d v="2025-08-06T00:00:00"/>
    <n v="8"/>
    <s v="LOW STOCK"/>
    <n v="1.1000000000000001"/>
    <n v="1.1000000000000001"/>
    <b v="0"/>
    <x v="0"/>
    <m/>
  </r>
  <r>
    <s v="FB001217"/>
    <x v="2"/>
    <x v="0"/>
    <x v="0"/>
    <s v="OS"/>
    <m/>
    <s v="Blue"/>
    <n v="62.02"/>
    <n v="0"/>
    <n v="0"/>
    <n v="0"/>
    <s v="No Discount"/>
    <n v="62.02"/>
    <s v="No Loss"/>
    <d v="2025-04-25T00:00:00"/>
    <n v="3"/>
    <s v="LOW STOCK"/>
    <n v="3.7"/>
    <n v="3.7"/>
    <b v="0"/>
    <x v="0"/>
    <m/>
  </r>
  <r>
    <s v="FB001218"/>
    <x v="3"/>
    <x v="4"/>
    <x v="3"/>
    <s v="XXL"/>
    <s v="XL"/>
    <s v="Black"/>
    <n v="127.31"/>
    <n v="5.4000000000000006E-2"/>
    <n v="5.4"/>
    <n v="6.874740000000001"/>
    <s v="Low Discount"/>
    <n v="120.44"/>
    <s v="Low Loss"/>
    <d v="2025-08-06T00:00:00"/>
    <n v="34"/>
    <s v="IN STOCK"/>
    <n v="2.5"/>
    <n v="2.5"/>
    <b v="0"/>
    <x v="0"/>
    <m/>
  </r>
  <r>
    <s v="FB001219"/>
    <x v="1"/>
    <x v="5"/>
    <x v="2"/>
    <s v="M"/>
    <m/>
    <s v="Red"/>
    <n v="35.74"/>
    <n v="0"/>
    <n v="0"/>
    <n v="0"/>
    <s v="No Discount"/>
    <n v="35.74"/>
    <s v="No Loss"/>
    <d v="2025-08-06T00:00:00"/>
    <n v="33"/>
    <s v="IN STOCK"/>
    <n v="0"/>
    <m/>
    <b v="1"/>
    <x v="1"/>
    <s v="Color Mismatch"/>
  </r>
  <r>
    <s v="FB001220"/>
    <x v="2"/>
    <x v="4"/>
    <x v="3"/>
    <s v="XXL"/>
    <m/>
    <s v="Gray"/>
    <n v="69.62"/>
    <n v="0.27899999999999997"/>
    <n v="27.9"/>
    <n v="19.42398"/>
    <s v="Medium Discount"/>
    <n v="50.2"/>
    <s v="Medium Loss"/>
    <d v="2025-08-06T00:00:00"/>
    <n v="5"/>
    <s v="LOW STOCK"/>
    <n v="1.1000000000000001"/>
    <n v="1.1000000000000001"/>
    <b v="0"/>
    <x v="0"/>
    <m/>
  </r>
  <r>
    <s v="FB001221"/>
    <x v="1"/>
    <x v="0"/>
    <x v="1"/>
    <s v="OS"/>
    <s v="XXL"/>
    <s v="Black"/>
    <n v="92.01"/>
    <n v="0.28800000000000003"/>
    <n v="28.8"/>
    <n v="26.498880000000003"/>
    <s v="Medium Discount"/>
    <n v="65.510000000000005"/>
    <s v="High Loss"/>
    <d v="2025-08-06T00:00:00"/>
    <n v="37"/>
    <s v="IN STOCK"/>
    <n v="1.9"/>
    <n v="1.9"/>
    <b v="0"/>
    <x v="0"/>
    <m/>
  </r>
  <r>
    <s v="FB001222"/>
    <x v="3"/>
    <x v="3"/>
    <x v="2"/>
    <s v="M"/>
    <s v="M"/>
    <s v="Black"/>
    <n v="110.1"/>
    <n v="0"/>
    <n v="0"/>
    <n v="0"/>
    <s v="No Discount"/>
    <n v="110.1"/>
    <s v="No Loss"/>
    <d v="2025-08-06T00:00:00"/>
    <n v="13"/>
    <s v="IN STOCK"/>
    <n v="3.6"/>
    <n v="3.6"/>
    <b v="1"/>
    <x v="5"/>
    <s v="Changed Mind"/>
  </r>
  <r>
    <s v="FB001223"/>
    <x v="4"/>
    <x v="0"/>
    <x v="2"/>
    <s v="XL"/>
    <s v="XXL"/>
    <s v="Red"/>
    <n v="109.05"/>
    <n v="0"/>
    <n v="0"/>
    <n v="0"/>
    <s v="No Discount"/>
    <n v="109.05"/>
    <s v="No Loss"/>
    <d v="2025-08-06T00:00:00"/>
    <n v="13"/>
    <s v="IN STOCK"/>
    <n v="3.7"/>
    <n v="3.7"/>
    <b v="0"/>
    <x v="0"/>
    <m/>
  </r>
  <r>
    <s v="FB001224"/>
    <x v="2"/>
    <x v="7"/>
    <x v="1"/>
    <s v="OS"/>
    <m/>
    <s v="Beige"/>
    <n v="67.459999999999994"/>
    <n v="0"/>
    <n v="0"/>
    <n v="0"/>
    <s v="No Discount"/>
    <n v="67.459999999999994"/>
    <s v="No Loss"/>
    <d v="2025-08-06T00:00:00"/>
    <n v="28"/>
    <s v="IN STOCK"/>
    <n v="1.4"/>
    <n v="1.4"/>
    <b v="0"/>
    <x v="0"/>
    <m/>
  </r>
  <r>
    <s v="FB001225"/>
    <x v="3"/>
    <x v="5"/>
    <x v="1"/>
    <s v="XS"/>
    <s v="M"/>
    <s v="White"/>
    <n v="110.11"/>
    <n v="0.10199999999999999"/>
    <n v="10.199999999999999"/>
    <n v="11.231219999999999"/>
    <s v="Low Discount"/>
    <n v="98.88"/>
    <s v="Medium Loss"/>
    <d v="2025-08-06T00:00:00"/>
    <n v="47"/>
    <s v="IN STOCK"/>
    <n v="0"/>
    <m/>
    <b v="0"/>
    <x v="0"/>
    <m/>
  </r>
  <r>
    <s v="FB001226"/>
    <x v="3"/>
    <x v="2"/>
    <x v="3"/>
    <s v="M"/>
    <s v="XL"/>
    <s v="White"/>
    <n v="162.5"/>
    <n v="0"/>
    <n v="0"/>
    <n v="0"/>
    <s v="No Discount"/>
    <n v="162.5"/>
    <s v="No Loss"/>
    <d v="2025-08-06T00:00:00"/>
    <n v="45"/>
    <s v="IN STOCK"/>
    <n v="0"/>
    <m/>
    <b v="0"/>
    <x v="0"/>
    <m/>
  </r>
  <r>
    <s v="FB001227"/>
    <x v="2"/>
    <x v="1"/>
    <x v="3"/>
    <s v="S"/>
    <m/>
    <s v="Black"/>
    <n v="23.8"/>
    <n v="8.3000000000000004E-2"/>
    <n v="8.3000000000000007"/>
    <n v="1.9754000000000003"/>
    <s v="Low Discount"/>
    <n v="21.82"/>
    <s v="Low Loss"/>
    <d v="2025-08-06T00:00:00"/>
    <n v="0"/>
    <s v="NO STOCK"/>
    <n v="3.5"/>
    <n v="3.5"/>
    <b v="0"/>
    <x v="0"/>
    <m/>
  </r>
  <r>
    <s v="FB001228"/>
    <x v="4"/>
    <x v="2"/>
    <x v="2"/>
    <s v="OS"/>
    <s v="XS"/>
    <s v="Brown"/>
    <n v="115.89"/>
    <n v="0"/>
    <n v="0"/>
    <n v="0"/>
    <s v="No Discount"/>
    <n v="115.89"/>
    <s v="No Loss"/>
    <d v="2025-08-06T00:00:00"/>
    <n v="34"/>
    <s v="IN STOCK"/>
    <n v="2.9"/>
    <n v="2.9"/>
    <b v="0"/>
    <x v="0"/>
    <m/>
  </r>
  <r>
    <s v="FB001229"/>
    <x v="0"/>
    <x v="4"/>
    <x v="0"/>
    <s v="OS"/>
    <s v="M"/>
    <s v="Red"/>
    <n v="139.19999999999999"/>
    <n v="0.42499999999999999"/>
    <n v="42.5"/>
    <n v="59.16"/>
    <s v="high Discount"/>
    <n v="80.040000000000006"/>
    <s v="High Loss"/>
    <d v="2024-10-02T00:00:00"/>
    <n v="27"/>
    <s v="IN STOCK"/>
    <n v="2.9"/>
    <n v="2.9"/>
    <b v="0"/>
    <x v="0"/>
    <m/>
  </r>
  <r>
    <s v="FB001230"/>
    <x v="5"/>
    <x v="7"/>
    <x v="2"/>
    <s v="XL"/>
    <s v="S"/>
    <s v="Navy"/>
    <n v="120.42"/>
    <n v="0.36700000000000005"/>
    <n v="36.700000000000003"/>
    <n v="44.194140000000004"/>
    <s v="high Discount"/>
    <n v="76.23"/>
    <s v="High Loss"/>
    <d v="2025-08-06T00:00:00"/>
    <n v="46"/>
    <s v="IN STOCK"/>
    <n v="2.4"/>
    <n v="2.4"/>
    <b v="0"/>
    <x v="0"/>
    <m/>
  </r>
  <r>
    <s v="FB001231"/>
    <x v="2"/>
    <x v="2"/>
    <x v="2"/>
    <s v="S"/>
    <m/>
    <s v="Beige"/>
    <n v="72.81"/>
    <n v="0"/>
    <n v="0"/>
    <n v="0"/>
    <s v="No Discount"/>
    <n v="72.81"/>
    <s v="No Loss"/>
    <d v="2025-08-06T00:00:00"/>
    <n v="4"/>
    <s v="LOW STOCK"/>
    <n v="4.3"/>
    <n v="4.3"/>
    <b v="0"/>
    <x v="0"/>
    <m/>
  </r>
  <r>
    <s v="FB001232"/>
    <x v="2"/>
    <x v="0"/>
    <x v="0"/>
    <s v="OS"/>
    <m/>
    <s v="Brown"/>
    <n v="29.75"/>
    <n v="0"/>
    <n v="0"/>
    <n v="0"/>
    <s v="No Discount"/>
    <n v="29.75"/>
    <s v="No Loss"/>
    <d v="2025-02-07T00:00:00"/>
    <n v="37"/>
    <s v="IN STOCK"/>
    <n v="3.9"/>
    <n v="3.9"/>
    <b v="0"/>
    <x v="0"/>
    <m/>
  </r>
  <r>
    <s v="FB001233"/>
    <x v="1"/>
    <x v="6"/>
    <x v="3"/>
    <s v="L"/>
    <s v="XL"/>
    <s v="Black"/>
    <n v="33.630000000000003"/>
    <n v="0"/>
    <n v="0"/>
    <n v="0"/>
    <s v="No Discount"/>
    <n v="33.630000000000003"/>
    <s v="No Loss"/>
    <d v="2025-08-06T00:00:00"/>
    <n v="13"/>
    <s v="IN STOCK"/>
    <n v="4.7"/>
    <n v="4.7"/>
    <b v="0"/>
    <x v="0"/>
    <m/>
  </r>
  <r>
    <s v="FB001234"/>
    <x v="0"/>
    <x v="2"/>
    <x v="2"/>
    <s v="M"/>
    <s v="S"/>
    <s v="Brown"/>
    <n v="101.93"/>
    <n v="0"/>
    <n v="0"/>
    <n v="0"/>
    <s v="No Discount"/>
    <n v="101.93"/>
    <s v="No Loss"/>
    <d v="2025-08-06T00:00:00"/>
    <n v="31"/>
    <s v="IN STOCK"/>
    <n v="0"/>
    <m/>
    <b v="0"/>
    <x v="0"/>
    <m/>
  </r>
  <r>
    <s v="FB001235"/>
    <x v="2"/>
    <x v="3"/>
    <x v="1"/>
    <s v="XS"/>
    <m/>
    <s v="White"/>
    <n v="41.43"/>
    <n v="0"/>
    <n v="0"/>
    <n v="0"/>
    <s v="No Discount"/>
    <n v="41.43"/>
    <s v="No Loss"/>
    <d v="2025-08-06T00:00:00"/>
    <n v="10"/>
    <s v="LOW STOCK"/>
    <n v="0"/>
    <m/>
    <b v="0"/>
    <x v="0"/>
    <m/>
  </r>
  <r>
    <s v="FB001236"/>
    <x v="0"/>
    <x v="5"/>
    <x v="0"/>
    <s v="S"/>
    <s v="L"/>
    <s v="Green"/>
    <n v="126.14"/>
    <n v="0"/>
    <n v="0"/>
    <n v="0"/>
    <s v="No Discount"/>
    <n v="126.14"/>
    <s v="No Loss"/>
    <d v="2025-05-18T00:00:00"/>
    <n v="24"/>
    <s v="IN STOCK"/>
    <n v="3.6"/>
    <n v="3.6"/>
    <b v="0"/>
    <x v="0"/>
    <m/>
  </r>
  <r>
    <s v="FB001237"/>
    <x v="4"/>
    <x v="0"/>
    <x v="0"/>
    <s v="L"/>
    <s v="M"/>
    <s v="Purple"/>
    <n v="96.76"/>
    <n v="0"/>
    <n v="0"/>
    <n v="0"/>
    <s v="No Discount"/>
    <n v="96.76"/>
    <s v="No Loss"/>
    <d v="2025-02-26T00:00:00"/>
    <n v="6"/>
    <s v="LOW STOCK"/>
    <n v="0"/>
    <m/>
    <b v="0"/>
    <x v="0"/>
    <m/>
  </r>
  <r>
    <s v="FB001238"/>
    <x v="1"/>
    <x v="3"/>
    <x v="1"/>
    <s v="M"/>
    <s v="XS"/>
    <s v="Navy"/>
    <n v="114.32"/>
    <n v="0"/>
    <n v="0"/>
    <n v="0"/>
    <s v="No Discount"/>
    <n v="114.32"/>
    <s v="No Loss"/>
    <d v="2025-08-06T00:00:00"/>
    <n v="27"/>
    <s v="IN STOCK"/>
    <n v="5"/>
    <n v="5"/>
    <b v="0"/>
    <x v="0"/>
    <m/>
  </r>
  <r>
    <s v="FB001239"/>
    <x v="3"/>
    <x v="4"/>
    <x v="0"/>
    <s v="OS"/>
    <s v="S"/>
    <s v="Purple"/>
    <n v="102.46"/>
    <n v="0"/>
    <n v="0"/>
    <n v="0"/>
    <s v="No Discount"/>
    <n v="102.46"/>
    <s v="No Loss"/>
    <d v="2024-12-17T00:00:00"/>
    <n v="20"/>
    <s v="IN STOCK"/>
    <n v="3.7"/>
    <n v="3.7"/>
    <b v="1"/>
    <x v="4"/>
    <s v="Quality Issue"/>
  </r>
  <r>
    <s v="FB001240"/>
    <x v="4"/>
    <x v="1"/>
    <x v="3"/>
    <s v="S"/>
    <s v="L"/>
    <s v="Pink"/>
    <n v="95.7"/>
    <n v="0.15"/>
    <n v="15"/>
    <n v="14.355"/>
    <s v="Low Discount"/>
    <n v="81.34"/>
    <s v="Medium Loss"/>
    <d v="2025-08-06T00:00:00"/>
    <n v="9"/>
    <s v="LOW STOCK"/>
    <n v="4.9000000000000004"/>
    <n v="4.9000000000000004"/>
    <b v="0"/>
    <x v="0"/>
    <m/>
  </r>
  <r>
    <s v="FB001241"/>
    <x v="4"/>
    <x v="4"/>
    <x v="1"/>
    <s v="XL"/>
    <s v="M"/>
    <s v="Blue"/>
    <n v="55.49"/>
    <n v="0"/>
    <n v="0"/>
    <n v="0"/>
    <s v="No Discount"/>
    <n v="55.49"/>
    <s v="No Loss"/>
    <d v="2025-08-06T00:00:00"/>
    <n v="25"/>
    <s v="IN STOCK"/>
    <n v="4.5999999999999996"/>
    <n v="4.5999999999999996"/>
    <b v="0"/>
    <x v="0"/>
    <m/>
  </r>
  <r>
    <s v="FB001242"/>
    <x v="2"/>
    <x v="5"/>
    <x v="1"/>
    <s v="OS"/>
    <m/>
    <s v="White"/>
    <n v="30.58"/>
    <n v="9.8000000000000004E-2"/>
    <n v="9.8000000000000007"/>
    <n v="2.9968399999999997"/>
    <s v="Low Discount"/>
    <n v="27.58"/>
    <s v="Low Loss"/>
    <d v="2025-08-06T00:00:00"/>
    <n v="34"/>
    <s v="IN STOCK"/>
    <n v="3.4"/>
    <n v="3.4"/>
    <b v="0"/>
    <x v="0"/>
    <m/>
  </r>
  <r>
    <s v="FB001243"/>
    <x v="4"/>
    <x v="3"/>
    <x v="2"/>
    <s v="XXL"/>
    <s v="S"/>
    <s v="Red"/>
    <n v="116.58"/>
    <n v="0"/>
    <n v="0"/>
    <n v="0"/>
    <s v="No Discount"/>
    <n v="116.58"/>
    <s v="No Loss"/>
    <d v="2025-08-06T00:00:00"/>
    <n v="47"/>
    <s v="IN STOCK"/>
    <n v="1.2"/>
    <n v="1.2"/>
    <b v="0"/>
    <x v="0"/>
    <m/>
  </r>
  <r>
    <s v="FB001244"/>
    <x v="5"/>
    <x v="0"/>
    <x v="1"/>
    <s v="XXL"/>
    <s v="XL"/>
    <s v="Navy"/>
    <n v="79.180000000000007"/>
    <n v="0.21100000000000002"/>
    <n v="21.1"/>
    <n v="16.706980000000001"/>
    <s v="Medium Discount"/>
    <n v="62.47"/>
    <s v="Medium Loss"/>
    <d v="2025-08-06T00:00:00"/>
    <n v="36"/>
    <s v="IN STOCK"/>
    <n v="1.5"/>
    <n v="1.5"/>
    <b v="1"/>
    <x v="5"/>
    <s v="Changed Mind"/>
  </r>
  <r>
    <s v="FB001245"/>
    <x v="5"/>
    <x v="7"/>
    <x v="3"/>
    <s v="XL"/>
    <m/>
    <s v="Navy"/>
    <n v="88.71"/>
    <n v="0"/>
    <n v="0"/>
    <n v="0"/>
    <s v="No Discount"/>
    <n v="88.71"/>
    <s v="No Loss"/>
    <d v="2025-08-06T00:00:00"/>
    <n v="3"/>
    <s v="LOW STOCK"/>
    <n v="3.5"/>
    <n v="3.5"/>
    <b v="0"/>
    <x v="0"/>
    <m/>
  </r>
  <r>
    <s v="FB001246"/>
    <x v="5"/>
    <x v="2"/>
    <x v="0"/>
    <s v="XXL"/>
    <s v="XXL"/>
    <s v="Purple"/>
    <n v="150.58000000000001"/>
    <n v="0"/>
    <n v="0"/>
    <n v="0"/>
    <s v="No Discount"/>
    <n v="150.58000000000001"/>
    <s v="No Loss"/>
    <d v="2024-12-19T00:00:00"/>
    <n v="38"/>
    <s v="IN STOCK"/>
    <n v="2.1"/>
    <n v="2.1"/>
    <b v="0"/>
    <x v="0"/>
    <m/>
  </r>
  <r>
    <s v="FB001247"/>
    <x v="5"/>
    <x v="1"/>
    <x v="3"/>
    <s v="M"/>
    <s v="XXL"/>
    <s v="White"/>
    <n v="179.9"/>
    <n v="9.3000000000000013E-2"/>
    <n v="9.3000000000000007"/>
    <n v="16.730700000000002"/>
    <s v="Low Discount"/>
    <n v="163.16999999999999"/>
    <s v="Medium Loss"/>
    <d v="2025-08-06T00:00:00"/>
    <n v="34"/>
    <s v="IN STOCK"/>
    <n v="2.1"/>
    <n v="2.1"/>
    <b v="0"/>
    <x v="0"/>
    <m/>
  </r>
  <r>
    <s v="FB001248"/>
    <x v="0"/>
    <x v="7"/>
    <x v="0"/>
    <s v="M"/>
    <s v="XL"/>
    <s v="Red"/>
    <n v="135.30000000000001"/>
    <n v="0"/>
    <n v="0"/>
    <n v="0"/>
    <s v="No Discount"/>
    <n v="135.30000000000001"/>
    <s v="No Loss"/>
    <d v="2025-02-16T00:00:00"/>
    <n v="19"/>
    <s v="IN STOCK"/>
    <n v="4.5999999999999996"/>
    <n v="4.5999999999999996"/>
    <b v="0"/>
    <x v="0"/>
    <m/>
  </r>
  <r>
    <s v="FB001249"/>
    <x v="3"/>
    <x v="1"/>
    <x v="2"/>
    <s v="OS"/>
    <s v="XXL"/>
    <s v="Black"/>
    <n v="146.43"/>
    <n v="0"/>
    <n v="0"/>
    <n v="0"/>
    <s v="No Discount"/>
    <n v="146.43"/>
    <s v="No Loss"/>
    <d v="2025-08-06T00:00:00"/>
    <n v="7"/>
    <s v="LOW STOCK"/>
    <n v="2.5"/>
    <n v="2.5"/>
    <b v="0"/>
    <x v="0"/>
    <m/>
  </r>
  <r>
    <s v="FB001250"/>
    <x v="0"/>
    <x v="7"/>
    <x v="1"/>
    <s v="XXL"/>
    <s v="M"/>
    <s v="Green"/>
    <n v="160.27000000000001"/>
    <n v="0"/>
    <n v="0"/>
    <n v="0"/>
    <s v="No Discount"/>
    <n v="160.27000000000001"/>
    <s v="No Loss"/>
    <d v="2025-08-06T00:00:00"/>
    <n v="11"/>
    <s v="IN STOCK"/>
    <n v="2"/>
    <n v="2"/>
    <b v="0"/>
    <x v="0"/>
    <m/>
  </r>
  <r>
    <s v="FB001251"/>
    <x v="3"/>
    <x v="3"/>
    <x v="1"/>
    <s v="XXL"/>
    <s v="M"/>
    <s v="Gray"/>
    <n v="169.87"/>
    <n v="8.8000000000000009E-2"/>
    <n v="8.8000000000000007"/>
    <n v="14.948560000000002"/>
    <s v="Low Discount"/>
    <n v="154.91999999999999"/>
    <s v="Medium Loss"/>
    <d v="2025-08-06T00:00:00"/>
    <n v="36"/>
    <s v="IN STOCK"/>
    <n v="2.1"/>
    <n v="2.1"/>
    <b v="0"/>
    <x v="0"/>
    <m/>
  </r>
  <r>
    <s v="FB001252"/>
    <x v="3"/>
    <x v="5"/>
    <x v="3"/>
    <s v="XS"/>
    <m/>
    <s v="Gray"/>
    <n v="137.33000000000001"/>
    <n v="0"/>
    <n v="0"/>
    <n v="0"/>
    <s v="No Discount"/>
    <n v="137.33000000000001"/>
    <s v="No Loss"/>
    <d v="2025-08-06T00:00:00"/>
    <n v="35"/>
    <s v="IN STOCK"/>
    <n v="4.5999999999999996"/>
    <n v="4.5999999999999996"/>
    <b v="0"/>
    <x v="0"/>
    <m/>
  </r>
  <r>
    <s v="FB001253"/>
    <x v="4"/>
    <x v="7"/>
    <x v="3"/>
    <s v="OS"/>
    <s v="XXL"/>
    <s v="Red"/>
    <n v="38.18"/>
    <n v="0"/>
    <n v="0"/>
    <n v="0"/>
    <s v="No Discount"/>
    <n v="38.18"/>
    <s v="No Loss"/>
    <d v="2025-08-06T00:00:00"/>
    <n v="38"/>
    <s v="IN STOCK"/>
    <n v="0"/>
    <m/>
    <b v="0"/>
    <x v="0"/>
    <m/>
  </r>
  <r>
    <s v="FB001254"/>
    <x v="1"/>
    <x v="0"/>
    <x v="3"/>
    <s v="L"/>
    <s v="XXL"/>
    <s v="Blue"/>
    <n v="40.619999999999997"/>
    <n v="0.20100000000000001"/>
    <n v="20.100000000000001"/>
    <n v="8.1646199999999993"/>
    <s v="Medium Discount"/>
    <n v="32.46"/>
    <s v="Low Loss"/>
    <d v="2025-08-06T00:00:00"/>
    <n v="7"/>
    <s v="LOW STOCK"/>
    <n v="0"/>
    <m/>
    <b v="0"/>
    <x v="0"/>
    <m/>
  </r>
  <r>
    <s v="FB001255"/>
    <x v="4"/>
    <x v="4"/>
    <x v="1"/>
    <s v="S"/>
    <s v="XS"/>
    <s v="Black"/>
    <n v="56.4"/>
    <n v="0.23300000000000001"/>
    <n v="23.3"/>
    <n v="13.1412"/>
    <s v="Medium Discount"/>
    <n v="43.26"/>
    <s v="Medium Loss"/>
    <d v="2025-08-06T00:00:00"/>
    <n v="35"/>
    <s v="IN STOCK"/>
    <n v="0"/>
    <m/>
    <b v="0"/>
    <x v="0"/>
    <m/>
  </r>
  <r>
    <s v="FB001256"/>
    <x v="2"/>
    <x v="7"/>
    <x v="3"/>
    <s v="XXL"/>
    <m/>
    <s v="Green"/>
    <n v="19.559999999999999"/>
    <n v="0"/>
    <n v="0"/>
    <n v="0"/>
    <s v="No Discount"/>
    <n v="19.559999999999999"/>
    <s v="No Loss"/>
    <d v="2025-08-06T00:00:00"/>
    <n v="13"/>
    <s v="IN STOCK"/>
    <n v="3.1"/>
    <n v="3.1"/>
    <b v="0"/>
    <x v="0"/>
    <m/>
  </r>
  <r>
    <s v="FB001257"/>
    <x v="3"/>
    <x v="4"/>
    <x v="1"/>
    <s v="XL"/>
    <s v="L"/>
    <s v="White"/>
    <n v="155.66"/>
    <n v="0"/>
    <n v="0"/>
    <n v="0"/>
    <s v="No Discount"/>
    <n v="155.66"/>
    <s v="No Loss"/>
    <d v="2025-08-06T00:00:00"/>
    <n v="3"/>
    <s v="LOW STOCK"/>
    <n v="4"/>
    <n v="4"/>
    <b v="0"/>
    <x v="0"/>
    <m/>
  </r>
  <r>
    <s v="FB001258"/>
    <x v="1"/>
    <x v="0"/>
    <x v="3"/>
    <s v="OS"/>
    <s v="S"/>
    <s v="Purple"/>
    <n v="106.2"/>
    <n v="0"/>
    <n v="0"/>
    <n v="0"/>
    <s v="No Discount"/>
    <n v="106.2"/>
    <s v="No Loss"/>
    <d v="2025-08-06T00:00:00"/>
    <n v="10"/>
    <s v="LOW STOCK"/>
    <n v="1.1000000000000001"/>
    <n v="1.1000000000000001"/>
    <b v="0"/>
    <x v="0"/>
    <m/>
  </r>
  <r>
    <s v="FB001259"/>
    <x v="0"/>
    <x v="5"/>
    <x v="2"/>
    <s v="XS"/>
    <s v="XXL"/>
    <s v="Navy"/>
    <n v="158.31"/>
    <n v="0"/>
    <n v="0"/>
    <n v="0"/>
    <s v="No Discount"/>
    <n v="158.31"/>
    <s v="No Loss"/>
    <d v="2025-08-06T00:00:00"/>
    <n v="7"/>
    <s v="LOW STOCK"/>
    <n v="5"/>
    <n v="5"/>
    <b v="0"/>
    <x v="0"/>
    <m/>
  </r>
  <r>
    <s v="FB001260"/>
    <x v="5"/>
    <x v="3"/>
    <x v="0"/>
    <s v="M"/>
    <s v="XL"/>
    <s v="Pink"/>
    <n v="102.3"/>
    <n v="0.42200000000000004"/>
    <n v="42.2"/>
    <n v="43.1706"/>
    <s v="high Discount"/>
    <n v="59.13"/>
    <s v="High Loss"/>
    <d v="2025-05-30T00:00:00"/>
    <n v="43"/>
    <s v="IN STOCK"/>
    <n v="1.3"/>
    <n v="1.3"/>
    <b v="0"/>
    <x v="0"/>
    <m/>
  </r>
  <r>
    <s v="FB001261"/>
    <x v="2"/>
    <x v="6"/>
    <x v="2"/>
    <s v="OS"/>
    <m/>
    <s v="Navy"/>
    <n v="53.46"/>
    <n v="0.57999999999999996"/>
    <n v="58"/>
    <n v="31.006799999999998"/>
    <s v="high Discount"/>
    <n v="22.45"/>
    <s v="High Loss"/>
    <d v="2025-08-06T00:00:00"/>
    <n v="6"/>
    <s v="LOW STOCK"/>
    <n v="4.2"/>
    <n v="4.2"/>
    <b v="0"/>
    <x v="0"/>
    <m/>
  </r>
  <r>
    <s v="FB001262"/>
    <x v="5"/>
    <x v="1"/>
    <x v="3"/>
    <s v="XXL"/>
    <s v="XS"/>
    <s v="Blue"/>
    <n v="101.78"/>
    <n v="0.22899999999999998"/>
    <n v="22.9"/>
    <n v="23.30762"/>
    <s v="Medium Discount"/>
    <n v="78.47"/>
    <s v="High Loss"/>
    <d v="2025-08-06T00:00:00"/>
    <n v="5"/>
    <s v="LOW STOCK"/>
    <n v="1.2"/>
    <n v="1.2"/>
    <b v="1"/>
    <x v="3"/>
    <s v="Damaged"/>
  </r>
  <r>
    <s v="FB001263"/>
    <x v="0"/>
    <x v="2"/>
    <x v="3"/>
    <s v="L"/>
    <s v="M"/>
    <s v="Gray"/>
    <n v="112.28"/>
    <n v="0"/>
    <n v="0"/>
    <n v="0"/>
    <s v="No Discount"/>
    <n v="112.28"/>
    <s v="No Loss"/>
    <d v="2025-08-06T00:00:00"/>
    <n v="41"/>
    <s v="IN STOCK"/>
    <n v="4.0999999999999996"/>
    <n v="4.0999999999999996"/>
    <b v="0"/>
    <x v="0"/>
    <m/>
  </r>
  <r>
    <s v="FB001264"/>
    <x v="2"/>
    <x v="2"/>
    <x v="1"/>
    <s v="L"/>
    <m/>
    <s v="Pink"/>
    <n v="47.51"/>
    <n v="0"/>
    <n v="0"/>
    <n v="0"/>
    <s v="No Discount"/>
    <n v="47.51"/>
    <s v="No Loss"/>
    <d v="2025-08-06T00:00:00"/>
    <n v="39"/>
    <s v="IN STOCK"/>
    <n v="4.4000000000000004"/>
    <n v="4.4000000000000004"/>
    <b v="0"/>
    <x v="0"/>
    <m/>
  </r>
  <r>
    <s v="FB001265"/>
    <x v="1"/>
    <x v="1"/>
    <x v="1"/>
    <s v="L"/>
    <s v="XXL"/>
    <s v="Beige"/>
    <n v="80.39"/>
    <n v="0"/>
    <n v="0"/>
    <n v="0"/>
    <s v="No Discount"/>
    <n v="80.39"/>
    <s v="No Loss"/>
    <d v="2025-08-06T00:00:00"/>
    <n v="24"/>
    <s v="IN STOCK"/>
    <n v="0"/>
    <m/>
    <b v="0"/>
    <x v="0"/>
    <m/>
  </r>
  <r>
    <s v="FB001266"/>
    <x v="4"/>
    <x v="3"/>
    <x v="1"/>
    <s v="L"/>
    <s v="L"/>
    <s v="Red"/>
    <n v="64.75"/>
    <n v="0.26400000000000001"/>
    <n v="26.4"/>
    <n v="17.094000000000001"/>
    <s v="Medium Discount"/>
    <n v="47.66"/>
    <s v="Medium Loss"/>
    <d v="2025-08-06T00:00:00"/>
    <n v="7"/>
    <s v="LOW STOCK"/>
    <n v="2.9"/>
    <n v="2.9"/>
    <b v="1"/>
    <x v="6"/>
    <s v="Wrong Item"/>
  </r>
  <r>
    <s v="FB001267"/>
    <x v="0"/>
    <x v="0"/>
    <x v="1"/>
    <s v="S"/>
    <s v="L"/>
    <s v="Red"/>
    <n v="129.86000000000001"/>
    <n v="0"/>
    <n v="0"/>
    <n v="0"/>
    <s v="No Discount"/>
    <n v="129.86000000000001"/>
    <s v="No Loss"/>
    <d v="2025-08-06T00:00:00"/>
    <n v="41"/>
    <s v="IN STOCK"/>
    <n v="1.7"/>
    <n v="1.7"/>
    <b v="0"/>
    <x v="0"/>
    <m/>
  </r>
  <r>
    <s v="FB001268"/>
    <x v="4"/>
    <x v="2"/>
    <x v="0"/>
    <s v="S"/>
    <s v="L"/>
    <s v="Green"/>
    <n v="32.74"/>
    <n v="0"/>
    <n v="0"/>
    <n v="0"/>
    <s v="No Discount"/>
    <n v="32.74"/>
    <s v="No Loss"/>
    <d v="2024-08-12T00:00:00"/>
    <n v="23"/>
    <s v="IN STOCK"/>
    <n v="4"/>
    <n v="4"/>
    <b v="1"/>
    <x v="3"/>
    <s v="Damaged"/>
  </r>
  <r>
    <s v="FB001269"/>
    <x v="4"/>
    <x v="1"/>
    <x v="0"/>
    <s v="OS"/>
    <s v="L"/>
    <s v="Blue"/>
    <n v="79.27"/>
    <n v="0"/>
    <n v="0"/>
    <n v="0"/>
    <s v="No Discount"/>
    <n v="79.27"/>
    <s v="No Loss"/>
    <d v="2025-05-11T00:00:00"/>
    <n v="13"/>
    <s v="IN STOCK"/>
    <n v="3.5"/>
    <n v="3.5"/>
    <b v="0"/>
    <x v="0"/>
    <m/>
  </r>
  <r>
    <s v="FB001270"/>
    <x v="1"/>
    <x v="7"/>
    <x v="0"/>
    <s v="L"/>
    <s v="S"/>
    <s v="Beige"/>
    <n v="119.38"/>
    <n v="0"/>
    <n v="0"/>
    <n v="0"/>
    <s v="No Discount"/>
    <n v="119.38"/>
    <s v="No Loss"/>
    <d v="2025-02-20T00:00:00"/>
    <n v="18"/>
    <s v="IN STOCK"/>
    <n v="4.4000000000000004"/>
    <n v="4.4000000000000004"/>
    <b v="0"/>
    <x v="0"/>
    <m/>
  </r>
  <r>
    <s v="FB001271"/>
    <x v="5"/>
    <x v="4"/>
    <x v="1"/>
    <s v="XS"/>
    <s v="S"/>
    <s v="White"/>
    <n v="66.17"/>
    <n v="0"/>
    <n v="0"/>
    <n v="0"/>
    <s v="No Discount"/>
    <n v="66.17"/>
    <s v="No Loss"/>
    <d v="2025-08-06T00:00:00"/>
    <n v="1"/>
    <s v="LOW STOCK"/>
    <n v="0"/>
    <m/>
    <b v="0"/>
    <x v="0"/>
    <m/>
  </r>
  <r>
    <s v="FB001272"/>
    <x v="2"/>
    <x v="4"/>
    <x v="2"/>
    <s v="S"/>
    <m/>
    <s v="Purple"/>
    <n v="68.3"/>
    <n v="0.08"/>
    <n v="8"/>
    <n v="5.4639999999999995"/>
    <s v="Low Discount"/>
    <n v="62.84"/>
    <s v="Low Loss"/>
    <d v="2025-08-06T00:00:00"/>
    <n v="18"/>
    <s v="IN STOCK"/>
    <n v="3.1"/>
    <n v="3.1"/>
    <b v="0"/>
    <x v="0"/>
    <m/>
  </r>
  <r>
    <s v="FB001273"/>
    <x v="0"/>
    <x v="3"/>
    <x v="2"/>
    <s v="XS"/>
    <s v="L"/>
    <s v="Purple"/>
    <n v="209.66"/>
    <n v="0"/>
    <n v="0"/>
    <n v="0"/>
    <s v="No Discount"/>
    <n v="209.66"/>
    <s v="No Loss"/>
    <d v="2025-08-06T00:00:00"/>
    <n v="30"/>
    <s v="IN STOCK"/>
    <n v="2.1"/>
    <n v="2.1"/>
    <b v="0"/>
    <x v="0"/>
    <m/>
  </r>
  <r>
    <s v="FB001274"/>
    <x v="3"/>
    <x v="1"/>
    <x v="3"/>
    <s v="XS"/>
    <s v="XS"/>
    <s v="Blue"/>
    <n v="154.82"/>
    <n v="0"/>
    <n v="0"/>
    <n v="0"/>
    <s v="No Discount"/>
    <n v="154.82"/>
    <s v="No Loss"/>
    <d v="2025-08-06T00:00:00"/>
    <n v="31"/>
    <s v="IN STOCK"/>
    <n v="0"/>
    <m/>
    <b v="0"/>
    <x v="0"/>
    <m/>
  </r>
  <r>
    <s v="FB001275"/>
    <x v="4"/>
    <x v="4"/>
    <x v="1"/>
    <s v="M"/>
    <s v="S"/>
    <s v="Gray"/>
    <n v="37.53"/>
    <n v="0"/>
    <n v="0"/>
    <n v="0"/>
    <s v="No Discount"/>
    <n v="37.53"/>
    <s v="No Loss"/>
    <d v="2025-08-06T00:00:00"/>
    <n v="8"/>
    <s v="LOW STOCK"/>
    <n v="3"/>
    <n v="3"/>
    <b v="1"/>
    <x v="5"/>
    <s v="Changed Mind"/>
  </r>
  <r>
    <s v="FB001276"/>
    <x v="3"/>
    <x v="0"/>
    <x v="3"/>
    <s v="XL"/>
    <s v="XS"/>
    <s v="Black"/>
    <n v="140.28"/>
    <n v="0"/>
    <n v="0"/>
    <n v="0"/>
    <s v="No Discount"/>
    <n v="140.28"/>
    <s v="No Loss"/>
    <d v="2025-08-06T00:00:00"/>
    <n v="10"/>
    <s v="LOW STOCK"/>
    <n v="1.9"/>
    <n v="1.9"/>
    <b v="0"/>
    <x v="0"/>
    <m/>
  </r>
  <r>
    <s v="FB001277"/>
    <x v="3"/>
    <x v="1"/>
    <x v="3"/>
    <s v="S"/>
    <s v="XS"/>
    <s v="White"/>
    <n v="171.07"/>
    <n v="0"/>
    <n v="0"/>
    <n v="0"/>
    <s v="No Discount"/>
    <n v="171.07"/>
    <s v="No Loss"/>
    <d v="2025-08-06T00:00:00"/>
    <n v="25"/>
    <s v="IN STOCK"/>
    <n v="3"/>
    <n v="3"/>
    <b v="0"/>
    <x v="0"/>
    <m/>
  </r>
  <r>
    <s v="FB001278"/>
    <x v="1"/>
    <x v="0"/>
    <x v="3"/>
    <s v="XS"/>
    <s v="M"/>
    <s v="Purple"/>
    <n v="77.87"/>
    <n v="0"/>
    <n v="0"/>
    <n v="0"/>
    <s v="No Discount"/>
    <n v="77.87"/>
    <s v="No Loss"/>
    <d v="2025-08-06T00:00:00"/>
    <n v="4"/>
    <s v="LOW STOCK"/>
    <n v="2.7"/>
    <n v="2.7"/>
    <b v="0"/>
    <x v="0"/>
    <m/>
  </r>
  <r>
    <s v="FB001279"/>
    <x v="1"/>
    <x v="4"/>
    <x v="0"/>
    <s v="XXL"/>
    <s v="XL"/>
    <s v="Navy"/>
    <n v="80.540000000000006"/>
    <n v="0"/>
    <n v="0"/>
    <n v="0"/>
    <s v="No Discount"/>
    <n v="80.540000000000006"/>
    <s v="No Loss"/>
    <d v="2024-12-10T00:00:00"/>
    <n v="50"/>
    <s v="IN STOCK"/>
    <n v="2.1"/>
    <n v="2.1"/>
    <b v="0"/>
    <x v="0"/>
    <m/>
  </r>
  <r>
    <s v="FB001280"/>
    <x v="4"/>
    <x v="1"/>
    <x v="3"/>
    <s v="XL"/>
    <s v="S"/>
    <s v="White"/>
    <n v="48.68"/>
    <n v="0.41700000000000004"/>
    <n v="41.7"/>
    <n v="20.299560000000003"/>
    <s v="high Discount"/>
    <n v="28.38"/>
    <s v="High Loss"/>
    <d v="2025-08-06T00:00:00"/>
    <n v="20"/>
    <s v="IN STOCK"/>
    <n v="1.3"/>
    <n v="1.3"/>
    <b v="1"/>
    <x v="3"/>
    <s v="Damaged"/>
  </r>
  <r>
    <s v="FB001281"/>
    <x v="3"/>
    <x v="5"/>
    <x v="1"/>
    <s v="L"/>
    <s v="XS"/>
    <s v="Purple"/>
    <n v="137.83000000000001"/>
    <n v="0"/>
    <n v="0"/>
    <n v="0"/>
    <s v="No Discount"/>
    <n v="137.83000000000001"/>
    <s v="No Loss"/>
    <d v="2025-08-06T00:00:00"/>
    <n v="32"/>
    <s v="IN STOCK"/>
    <n v="3.4"/>
    <n v="3.4"/>
    <b v="1"/>
    <x v="5"/>
    <s v="Changed Mind"/>
  </r>
  <r>
    <s v="FB001282"/>
    <x v="4"/>
    <x v="0"/>
    <x v="2"/>
    <s v="XXL"/>
    <s v="XXL"/>
    <s v="Brown"/>
    <n v="96.88"/>
    <n v="0.44799999999999995"/>
    <n v="44.8"/>
    <n v="43.402239999999992"/>
    <s v="high Discount"/>
    <n v="53.48"/>
    <s v="High Loss"/>
    <d v="2025-08-06T00:00:00"/>
    <n v="15"/>
    <s v="IN STOCK"/>
    <n v="1.3"/>
    <n v="1.3"/>
    <b v="0"/>
    <x v="0"/>
    <m/>
  </r>
  <r>
    <s v="FB001283"/>
    <x v="1"/>
    <x v="4"/>
    <x v="0"/>
    <s v="XS"/>
    <s v="XL"/>
    <s v="Blue"/>
    <n v="46.44"/>
    <n v="0.36799999999999999"/>
    <n v="36.799999999999997"/>
    <n v="17.089919999999999"/>
    <s v="high Discount"/>
    <n v="29.35"/>
    <s v="Medium Loss"/>
    <d v="2025-03-11T00:00:00"/>
    <n v="19"/>
    <s v="IN STOCK"/>
    <n v="1.9"/>
    <n v="1.9"/>
    <b v="0"/>
    <x v="0"/>
    <m/>
  </r>
  <r>
    <s v="FB001284"/>
    <x v="4"/>
    <x v="6"/>
    <x v="1"/>
    <s v="OS"/>
    <s v="L"/>
    <s v="Brown"/>
    <n v="86.4"/>
    <n v="0"/>
    <n v="0"/>
    <n v="0"/>
    <s v="No Discount"/>
    <n v="86.4"/>
    <s v="No Loss"/>
    <d v="2025-08-06T00:00:00"/>
    <n v="26"/>
    <s v="IN STOCK"/>
    <n v="3.7"/>
    <n v="3.7"/>
    <b v="0"/>
    <x v="0"/>
    <m/>
  </r>
  <r>
    <s v="FB001285"/>
    <x v="4"/>
    <x v="3"/>
    <x v="2"/>
    <s v="OS"/>
    <s v="XXL"/>
    <s v="Green"/>
    <n v="113.83"/>
    <n v="0.51600000000000001"/>
    <n v="51.6"/>
    <n v="58.736280000000001"/>
    <s v="high Discount"/>
    <n v="55.09"/>
    <s v="High Loss"/>
    <d v="2025-08-06T00:00:00"/>
    <n v="12"/>
    <s v="IN STOCK"/>
    <n v="2.9"/>
    <n v="2.9"/>
    <b v="0"/>
    <x v="0"/>
    <m/>
  </r>
  <r>
    <s v="FB001286"/>
    <x v="4"/>
    <x v="0"/>
    <x v="3"/>
    <s v="OS"/>
    <s v="XS"/>
    <s v="Purple"/>
    <n v="64.680000000000007"/>
    <n v="0.42899999999999999"/>
    <n v="42.9"/>
    <n v="27.747720000000001"/>
    <s v="high Discount"/>
    <n v="36.93"/>
    <s v="High Loss"/>
    <d v="2025-08-06T00:00:00"/>
    <n v="36"/>
    <s v="IN STOCK"/>
    <n v="0"/>
    <m/>
    <b v="0"/>
    <x v="0"/>
    <m/>
  </r>
  <r>
    <s v="FB001287"/>
    <x v="3"/>
    <x v="7"/>
    <x v="2"/>
    <s v="XS"/>
    <m/>
    <s v="Beige"/>
    <n v="123.23"/>
    <n v="0"/>
    <n v="0"/>
    <n v="0"/>
    <s v="No Discount"/>
    <n v="123.23"/>
    <s v="No Loss"/>
    <d v="2025-08-06T00:00:00"/>
    <n v="40"/>
    <s v="IN STOCK"/>
    <n v="4.3"/>
    <n v="4.3"/>
    <b v="0"/>
    <x v="0"/>
    <m/>
  </r>
  <r>
    <s v="FB001288"/>
    <x v="2"/>
    <x v="5"/>
    <x v="1"/>
    <s v="XS"/>
    <m/>
    <s v="Red"/>
    <n v="69.69"/>
    <n v="0"/>
    <n v="0"/>
    <n v="0"/>
    <s v="No Discount"/>
    <n v="69.69"/>
    <s v="No Loss"/>
    <d v="2025-08-06T00:00:00"/>
    <n v="35"/>
    <s v="IN STOCK"/>
    <n v="3"/>
    <n v="3"/>
    <b v="0"/>
    <x v="0"/>
    <m/>
  </r>
  <r>
    <s v="FB001289"/>
    <x v="2"/>
    <x v="2"/>
    <x v="1"/>
    <s v="L"/>
    <m/>
    <s v="Green"/>
    <n v="46.15"/>
    <n v="0.24399999999999999"/>
    <n v="24.4"/>
    <n v="11.2606"/>
    <s v="Medium Discount"/>
    <n v="34.89"/>
    <s v="Medium Loss"/>
    <d v="2025-08-06T00:00:00"/>
    <n v="31"/>
    <s v="IN STOCK"/>
    <n v="4.4000000000000004"/>
    <n v="4.4000000000000004"/>
    <b v="1"/>
    <x v="2"/>
    <s v="Size Issue"/>
  </r>
  <r>
    <s v="FB001290"/>
    <x v="0"/>
    <x v="4"/>
    <x v="3"/>
    <s v="L"/>
    <s v="XS"/>
    <s v="Navy"/>
    <n v="229.8"/>
    <n v="0"/>
    <n v="0"/>
    <n v="0"/>
    <s v="No Discount"/>
    <n v="229.8"/>
    <s v="No Loss"/>
    <d v="2025-08-06T00:00:00"/>
    <n v="46"/>
    <s v="IN STOCK"/>
    <n v="3.6"/>
    <n v="3.6"/>
    <b v="0"/>
    <x v="0"/>
    <m/>
  </r>
  <r>
    <s v="FB001291"/>
    <x v="0"/>
    <x v="1"/>
    <x v="2"/>
    <s v="OS"/>
    <s v="XS"/>
    <s v="Purple"/>
    <n v="179.44"/>
    <n v="0.19600000000000001"/>
    <n v="19.600000000000001"/>
    <n v="35.17024"/>
    <s v="Low Discount"/>
    <n v="144.27000000000001"/>
    <s v="High Loss"/>
    <d v="2025-08-06T00:00:00"/>
    <n v="42"/>
    <s v="IN STOCK"/>
    <n v="3"/>
    <n v="3"/>
    <b v="0"/>
    <x v="0"/>
    <m/>
  </r>
  <r>
    <s v="FB001292"/>
    <x v="3"/>
    <x v="2"/>
    <x v="2"/>
    <s v="XXL"/>
    <s v="L"/>
    <s v="Green"/>
    <n v="80.959999999999994"/>
    <n v="0.56299999999999994"/>
    <n v="56.3"/>
    <n v="45.580479999999994"/>
    <s v="high Discount"/>
    <n v="35.380000000000003"/>
    <s v="High Loss"/>
    <d v="2025-08-06T00:00:00"/>
    <n v="41"/>
    <s v="IN STOCK"/>
    <n v="2.2000000000000002"/>
    <n v="2.2000000000000002"/>
    <b v="1"/>
    <x v="5"/>
    <s v="Changed Mind"/>
  </r>
  <r>
    <s v="FB001293"/>
    <x v="4"/>
    <x v="1"/>
    <x v="2"/>
    <s v="S"/>
    <s v="L"/>
    <s v="Green"/>
    <n v="62.3"/>
    <n v="0.192"/>
    <n v="19.2"/>
    <n v="11.961599999999999"/>
    <s v="Low Discount"/>
    <n v="50.34"/>
    <s v="Medium Loss"/>
    <d v="2025-08-06T00:00:00"/>
    <n v="9"/>
    <s v="LOW STOCK"/>
    <n v="2.5"/>
    <n v="2.5"/>
    <b v="0"/>
    <x v="0"/>
    <m/>
  </r>
  <r>
    <s v="FB001294"/>
    <x v="2"/>
    <x v="1"/>
    <x v="2"/>
    <s v="XS"/>
    <m/>
    <s v="Beige"/>
    <n v="58.83"/>
    <n v="0.125"/>
    <n v="12.5"/>
    <n v="7.3537499999999998"/>
    <s v="Low Discount"/>
    <n v="51.48"/>
    <s v="Low Loss"/>
    <d v="2025-08-06T00:00:00"/>
    <n v="3"/>
    <s v="LOW STOCK"/>
    <n v="1.5"/>
    <n v="1.5"/>
    <b v="0"/>
    <x v="0"/>
    <m/>
  </r>
  <r>
    <s v="FB001295"/>
    <x v="1"/>
    <x v="4"/>
    <x v="3"/>
    <s v="XL"/>
    <s v="XXL"/>
    <s v="Navy"/>
    <n v="119.04"/>
    <n v="1.7000000000000001E-2"/>
    <n v="1.7"/>
    <n v="2.0236800000000001"/>
    <s v="Low Discount"/>
    <n v="117.02"/>
    <s v="Low Loss"/>
    <d v="2025-08-06T00:00:00"/>
    <n v="34"/>
    <s v="IN STOCK"/>
    <n v="4.0999999999999996"/>
    <n v="4.0999999999999996"/>
    <b v="0"/>
    <x v="0"/>
    <m/>
  </r>
  <r>
    <s v="FB001296"/>
    <x v="0"/>
    <x v="0"/>
    <x v="3"/>
    <s v="OS"/>
    <s v="S"/>
    <s v="Navy"/>
    <n v="80.540000000000006"/>
    <n v="0"/>
    <n v="0"/>
    <n v="0"/>
    <s v="No Discount"/>
    <n v="80.540000000000006"/>
    <s v="No Loss"/>
    <d v="2025-08-06T00:00:00"/>
    <n v="3"/>
    <s v="LOW STOCK"/>
    <n v="1.8"/>
    <n v="1.8"/>
    <b v="1"/>
    <x v="2"/>
    <s v="Size Issue"/>
  </r>
  <r>
    <s v="FB001297"/>
    <x v="4"/>
    <x v="2"/>
    <x v="1"/>
    <s v="OS"/>
    <s v="XS"/>
    <s v="Black"/>
    <n v="47.32"/>
    <n v="0.25700000000000001"/>
    <n v="25.7"/>
    <n v="12.161240000000001"/>
    <s v="Medium Discount"/>
    <n v="35.159999999999997"/>
    <s v="Medium Loss"/>
    <d v="2025-08-06T00:00:00"/>
    <n v="2"/>
    <s v="LOW STOCK"/>
    <n v="3.2"/>
    <n v="3.2"/>
    <b v="0"/>
    <x v="0"/>
    <m/>
  </r>
  <r>
    <s v="FB001298"/>
    <x v="3"/>
    <x v="6"/>
    <x v="1"/>
    <s v="OS"/>
    <s v="XL"/>
    <s v="Pink"/>
    <n v="104.57"/>
    <n v="0.27399999999999997"/>
    <n v="27.4"/>
    <n v="28.652179999999994"/>
    <s v="Medium Discount"/>
    <n v="75.92"/>
    <s v="High Loss"/>
    <d v="2025-08-06T00:00:00"/>
    <n v="7"/>
    <s v="LOW STOCK"/>
    <n v="1"/>
    <n v="1"/>
    <b v="1"/>
    <x v="4"/>
    <s v="Quality Issue"/>
  </r>
  <r>
    <s v="FB001299"/>
    <x v="2"/>
    <x v="0"/>
    <x v="1"/>
    <s v="OS"/>
    <m/>
    <s v="Blue"/>
    <n v="38.369999999999997"/>
    <n v="0.23300000000000001"/>
    <n v="23.3"/>
    <n v="8.9402100000000004"/>
    <s v="Medium Discount"/>
    <n v="29.43"/>
    <s v="Low Loss"/>
    <d v="2025-08-06T00:00:00"/>
    <n v="22"/>
    <s v="IN STOCK"/>
    <n v="1.4"/>
    <n v="1.4"/>
    <b v="0"/>
    <x v="0"/>
    <m/>
  </r>
  <r>
    <s v="FB001300"/>
    <x v="0"/>
    <x v="4"/>
    <x v="1"/>
    <s v="XXL"/>
    <m/>
    <s v="Red"/>
    <n v="86.3"/>
    <n v="0"/>
    <n v="0"/>
    <n v="0"/>
    <s v="No Discount"/>
    <n v="86.3"/>
    <s v="No Loss"/>
    <d v="2025-08-06T00:00:00"/>
    <n v="33"/>
    <s v="IN STOCK"/>
    <n v="3.9"/>
    <n v="3.9"/>
    <b v="0"/>
    <x v="0"/>
    <m/>
  </r>
  <r>
    <s v="FB001301"/>
    <x v="2"/>
    <x v="3"/>
    <x v="1"/>
    <s v="XXL"/>
    <m/>
    <s v="Purple"/>
    <n v="64.89"/>
    <n v="4.2000000000000003E-2"/>
    <n v="4.2"/>
    <n v="2.7253800000000004"/>
    <s v="Low Discount"/>
    <n v="62.16"/>
    <s v="Low Loss"/>
    <d v="2025-08-06T00:00:00"/>
    <n v="40"/>
    <s v="IN STOCK"/>
    <n v="1.4"/>
    <n v="1.4"/>
    <b v="0"/>
    <x v="0"/>
    <m/>
  </r>
  <r>
    <s v="FB001302"/>
    <x v="2"/>
    <x v="3"/>
    <x v="2"/>
    <s v="M"/>
    <m/>
    <s v="Navy"/>
    <n v="53.64"/>
    <n v="0"/>
    <n v="0"/>
    <n v="0"/>
    <s v="No Discount"/>
    <n v="53.64"/>
    <s v="No Loss"/>
    <d v="2025-08-06T00:00:00"/>
    <n v="18"/>
    <s v="IN STOCK"/>
    <n v="2.2999999999999998"/>
    <n v="2.2999999999999998"/>
    <b v="0"/>
    <x v="0"/>
    <m/>
  </r>
  <r>
    <s v="FB001303"/>
    <x v="5"/>
    <x v="3"/>
    <x v="3"/>
    <s v="L"/>
    <s v="XXL"/>
    <s v="Pink"/>
    <n v="113.81"/>
    <n v="9.1999999999999998E-2"/>
    <n v="9.1999999999999993"/>
    <n v="10.47052"/>
    <s v="Low Discount"/>
    <n v="103.34"/>
    <s v="Medium Loss"/>
    <d v="2025-08-06T00:00:00"/>
    <n v="11"/>
    <s v="IN STOCK"/>
    <n v="2.4"/>
    <n v="2.4"/>
    <b v="0"/>
    <x v="0"/>
    <m/>
  </r>
  <r>
    <s v="FB001304"/>
    <x v="1"/>
    <x v="5"/>
    <x v="3"/>
    <s v="OS"/>
    <s v="XXL"/>
    <s v="Beige"/>
    <n v="40.119999999999997"/>
    <n v="0.27699999999999997"/>
    <n v="27.7"/>
    <n v="11.113239999999998"/>
    <s v="Medium Discount"/>
    <n v="29.01"/>
    <s v="Medium Loss"/>
    <d v="2025-08-06T00:00:00"/>
    <n v="29"/>
    <s v="IN STOCK"/>
    <n v="1.7"/>
    <n v="1.7"/>
    <b v="1"/>
    <x v="2"/>
    <s v="Size Issue"/>
  </r>
  <r>
    <s v="FB001305"/>
    <x v="1"/>
    <x v="6"/>
    <x v="1"/>
    <s v="OS"/>
    <s v="M"/>
    <s v="Black"/>
    <n v="49.64"/>
    <n v="0.309"/>
    <n v="30.9"/>
    <n v="15.338760000000001"/>
    <s v="high Discount"/>
    <n v="34.299999999999997"/>
    <s v="Medium Loss"/>
    <d v="2025-08-06T00:00:00"/>
    <n v="21"/>
    <s v="IN STOCK"/>
    <n v="2"/>
    <n v="2"/>
    <b v="0"/>
    <x v="0"/>
    <m/>
  </r>
  <r>
    <s v="FB001306"/>
    <x v="4"/>
    <x v="7"/>
    <x v="3"/>
    <s v="XL"/>
    <s v="L"/>
    <s v="Brown"/>
    <n v="117.64"/>
    <n v="0.54200000000000004"/>
    <n v="54.2"/>
    <n v="63.760880000000007"/>
    <s v="high Discount"/>
    <n v="53.88"/>
    <s v="High Loss"/>
    <d v="2025-08-06T00:00:00"/>
    <n v="25"/>
    <s v="IN STOCK"/>
    <n v="4.5999999999999996"/>
    <n v="4.5999999999999996"/>
    <b v="1"/>
    <x v="6"/>
    <s v="Wrong Item"/>
  </r>
  <r>
    <s v="FB001307"/>
    <x v="2"/>
    <x v="3"/>
    <x v="3"/>
    <s v="OS"/>
    <m/>
    <s v="Red"/>
    <n v="69.78"/>
    <n v="3.7000000000000005E-2"/>
    <n v="3.7"/>
    <n v="2.5818600000000003"/>
    <s v="Low Discount"/>
    <n v="67.2"/>
    <s v="Low Loss"/>
    <d v="2025-08-06T00:00:00"/>
    <n v="14"/>
    <s v="IN STOCK"/>
    <n v="3.2"/>
    <n v="3.2"/>
    <b v="0"/>
    <x v="0"/>
    <m/>
  </r>
  <r>
    <s v="FB001308"/>
    <x v="2"/>
    <x v="7"/>
    <x v="0"/>
    <s v="XS"/>
    <m/>
    <s v="White"/>
    <n v="29.91"/>
    <n v="0.184"/>
    <n v="18.399999999999999"/>
    <n v="5.5034400000000003"/>
    <s v="Low Discount"/>
    <n v="24.41"/>
    <s v="Low Loss"/>
    <d v="2025-03-03T00:00:00"/>
    <n v="10"/>
    <s v="LOW STOCK"/>
    <n v="4.9000000000000004"/>
    <n v="4.9000000000000004"/>
    <b v="0"/>
    <x v="0"/>
    <m/>
  </r>
  <r>
    <s v="FB001309"/>
    <x v="3"/>
    <x v="4"/>
    <x v="2"/>
    <s v="S"/>
    <s v="XL"/>
    <s v="Black"/>
    <n v="187.11"/>
    <n v="0.433"/>
    <n v="43.3"/>
    <n v="81.018630000000002"/>
    <s v="high Discount"/>
    <n v="106.09"/>
    <s v="High Loss"/>
    <d v="2025-08-06T00:00:00"/>
    <n v="26"/>
    <s v="IN STOCK"/>
    <n v="3"/>
    <n v="3"/>
    <b v="0"/>
    <x v="0"/>
    <m/>
  </r>
  <r>
    <s v="FB001310"/>
    <x v="2"/>
    <x v="5"/>
    <x v="3"/>
    <s v="XXL"/>
    <m/>
    <s v="Beige"/>
    <n v="40.04"/>
    <n v="0.158"/>
    <n v="15.8"/>
    <n v="6.3263199999999999"/>
    <s v="Low Discount"/>
    <n v="33.71"/>
    <s v="Low Loss"/>
    <d v="2025-08-06T00:00:00"/>
    <n v="31"/>
    <s v="IN STOCK"/>
    <n v="1.8"/>
    <n v="1.8"/>
    <b v="0"/>
    <x v="0"/>
    <m/>
  </r>
  <r>
    <s v="FB001311"/>
    <x v="5"/>
    <x v="3"/>
    <x v="0"/>
    <s v="XL"/>
    <s v="XS"/>
    <s v="Beige"/>
    <n v="113.44"/>
    <n v="0.23399999999999999"/>
    <n v="23.4"/>
    <n v="26.544959999999996"/>
    <s v="Medium Discount"/>
    <n v="86.9"/>
    <s v="High Loss"/>
    <d v="2025-03-07T00:00:00"/>
    <n v="1"/>
    <s v="LOW STOCK"/>
    <n v="0"/>
    <m/>
    <b v="0"/>
    <x v="0"/>
    <m/>
  </r>
  <r>
    <s v="FB001312"/>
    <x v="4"/>
    <x v="0"/>
    <x v="0"/>
    <s v="XXL"/>
    <s v="S"/>
    <s v="Gray"/>
    <n v="119.84"/>
    <n v="0"/>
    <n v="0"/>
    <n v="0"/>
    <s v="No Discount"/>
    <n v="119.84"/>
    <s v="No Loss"/>
    <d v="2024-09-27T00:00:00"/>
    <n v="47"/>
    <s v="IN STOCK"/>
    <n v="1.4"/>
    <n v="1.4"/>
    <b v="0"/>
    <x v="0"/>
    <m/>
  </r>
  <r>
    <s v="FB001313"/>
    <x v="3"/>
    <x v="1"/>
    <x v="2"/>
    <s v="M"/>
    <s v="XXL"/>
    <s v="Brown"/>
    <n v="167.27"/>
    <n v="0"/>
    <n v="0"/>
    <n v="0"/>
    <s v="No Discount"/>
    <n v="167.27"/>
    <s v="No Loss"/>
    <d v="2025-08-06T00:00:00"/>
    <n v="9"/>
    <s v="LOW STOCK"/>
    <n v="4"/>
    <n v="4"/>
    <b v="0"/>
    <x v="0"/>
    <m/>
  </r>
  <r>
    <s v="FB001314"/>
    <x v="5"/>
    <x v="2"/>
    <x v="0"/>
    <s v="XS"/>
    <s v="XL"/>
    <s v="Blue"/>
    <n v="148"/>
    <n v="1.1000000000000001E-2"/>
    <n v="1.1000000000000001"/>
    <n v="1.6280000000000001"/>
    <s v="Low Discount"/>
    <n v="146.37"/>
    <s v="Low Loss"/>
    <d v="2025-02-23T00:00:00"/>
    <n v="43"/>
    <s v="IN STOCK"/>
    <n v="2"/>
    <n v="2"/>
    <b v="0"/>
    <x v="0"/>
    <m/>
  </r>
  <r>
    <s v="FB001315"/>
    <x v="4"/>
    <x v="4"/>
    <x v="1"/>
    <s v="L"/>
    <s v="XXL"/>
    <s v="Red"/>
    <n v="65.34"/>
    <n v="0.498"/>
    <n v="49.8"/>
    <n v="32.539320000000004"/>
    <s v="high Discount"/>
    <n v="32.799999999999997"/>
    <s v="High Loss"/>
    <d v="2025-08-06T00:00:00"/>
    <n v="9"/>
    <s v="LOW STOCK"/>
    <n v="0"/>
    <m/>
    <b v="0"/>
    <x v="0"/>
    <m/>
  </r>
  <r>
    <s v="FB001316"/>
    <x v="3"/>
    <x v="2"/>
    <x v="0"/>
    <s v="XXL"/>
    <s v="M"/>
    <s v="Green"/>
    <n v="84.57"/>
    <n v="5.4000000000000006E-2"/>
    <n v="5.4"/>
    <n v="4.5667800000000005"/>
    <s v="Low Discount"/>
    <n v="80"/>
    <s v="Low Loss"/>
    <d v="2025-07-17T00:00:00"/>
    <n v="33"/>
    <s v="IN STOCK"/>
    <n v="0"/>
    <m/>
    <b v="0"/>
    <x v="0"/>
    <m/>
  </r>
  <r>
    <s v="FB001317"/>
    <x v="4"/>
    <x v="6"/>
    <x v="3"/>
    <s v="L"/>
    <s v="XS"/>
    <s v="Gray"/>
    <n v="52.6"/>
    <n v="0"/>
    <n v="0"/>
    <n v="0"/>
    <s v="No Discount"/>
    <n v="52.6"/>
    <s v="No Loss"/>
    <d v="2025-08-06T00:00:00"/>
    <n v="35"/>
    <s v="IN STOCK"/>
    <n v="1.2"/>
    <n v="1.2"/>
    <b v="1"/>
    <x v="1"/>
    <s v="Color Mismatch"/>
  </r>
  <r>
    <s v="FB001318"/>
    <x v="3"/>
    <x v="1"/>
    <x v="3"/>
    <s v="OS"/>
    <s v="L"/>
    <s v="Green"/>
    <n v="106.37"/>
    <n v="0"/>
    <n v="0"/>
    <n v="0"/>
    <s v="No Discount"/>
    <n v="106.37"/>
    <s v="No Loss"/>
    <d v="2025-08-06T00:00:00"/>
    <n v="30"/>
    <s v="IN STOCK"/>
    <n v="1.1000000000000001"/>
    <n v="1.1000000000000001"/>
    <b v="0"/>
    <x v="0"/>
    <m/>
  </r>
  <r>
    <s v="FB001319"/>
    <x v="1"/>
    <x v="6"/>
    <x v="3"/>
    <s v="S"/>
    <s v="XXL"/>
    <s v="Black"/>
    <n v="96.77"/>
    <n v="0.40399999999999997"/>
    <n v="40.4"/>
    <n v="39.095079999999996"/>
    <s v="high Discount"/>
    <n v="57.67"/>
    <s v="High Loss"/>
    <d v="2025-08-06T00:00:00"/>
    <n v="31"/>
    <s v="IN STOCK"/>
    <n v="4.5"/>
    <n v="4.5"/>
    <b v="0"/>
    <x v="0"/>
    <m/>
  </r>
  <r>
    <s v="FB001320"/>
    <x v="0"/>
    <x v="2"/>
    <x v="0"/>
    <s v="S"/>
    <s v="L"/>
    <s v="Brown"/>
    <n v="99.02"/>
    <n v="0"/>
    <n v="0"/>
    <n v="0"/>
    <s v="No Discount"/>
    <n v="99.02"/>
    <s v="No Loss"/>
    <d v="2024-10-16T00:00:00"/>
    <n v="21"/>
    <s v="IN STOCK"/>
    <n v="1.2"/>
    <n v="1.2"/>
    <b v="0"/>
    <x v="0"/>
    <m/>
  </r>
  <r>
    <s v="FB001321"/>
    <x v="2"/>
    <x v="0"/>
    <x v="0"/>
    <s v="XS"/>
    <m/>
    <s v="Purple"/>
    <n v="68.89"/>
    <n v="0.36899999999999999"/>
    <n v="36.9"/>
    <n v="25.42041"/>
    <s v="high Discount"/>
    <n v="43.47"/>
    <s v="High Loss"/>
    <d v="2024-12-05T00:00:00"/>
    <n v="9"/>
    <s v="LOW STOCK"/>
    <n v="1.8"/>
    <n v="1.8"/>
    <b v="0"/>
    <x v="0"/>
    <m/>
  </r>
  <r>
    <s v="FB001322"/>
    <x v="5"/>
    <x v="4"/>
    <x v="0"/>
    <s v="M"/>
    <s v="S"/>
    <s v="Pink"/>
    <n v="63.91"/>
    <n v="3.5000000000000003E-2"/>
    <n v="3.5"/>
    <n v="2.23685"/>
    <s v="Low Discount"/>
    <n v="61.67"/>
    <s v="Low Loss"/>
    <d v="2025-05-19T00:00:00"/>
    <n v="14"/>
    <s v="IN STOCK"/>
    <n v="2.1"/>
    <n v="2.1"/>
    <b v="0"/>
    <x v="0"/>
    <m/>
  </r>
  <r>
    <s v="FB001323"/>
    <x v="3"/>
    <x v="3"/>
    <x v="2"/>
    <s v="OS"/>
    <s v="S"/>
    <s v="Navy"/>
    <n v="116.38"/>
    <n v="0.114"/>
    <n v="11.4"/>
    <n v="13.26732"/>
    <s v="Low Discount"/>
    <n v="103.11"/>
    <s v="Medium Loss"/>
    <d v="2025-08-06T00:00:00"/>
    <n v="15"/>
    <s v="IN STOCK"/>
    <n v="0"/>
    <m/>
    <b v="0"/>
    <x v="0"/>
    <m/>
  </r>
  <r>
    <s v="FB001324"/>
    <x v="4"/>
    <x v="1"/>
    <x v="2"/>
    <s v="S"/>
    <s v="XS"/>
    <s v="Green"/>
    <n v="71.739999999999995"/>
    <n v="0"/>
    <n v="0"/>
    <n v="0"/>
    <s v="No Discount"/>
    <n v="71.739999999999995"/>
    <s v="No Loss"/>
    <d v="2025-08-06T00:00:00"/>
    <n v="16"/>
    <s v="IN STOCK"/>
    <n v="0"/>
    <m/>
    <b v="0"/>
    <x v="0"/>
    <m/>
  </r>
  <r>
    <s v="FB001325"/>
    <x v="4"/>
    <x v="7"/>
    <x v="1"/>
    <s v="XS"/>
    <s v="M"/>
    <s v="Beige"/>
    <n v="91.11"/>
    <n v="0"/>
    <n v="0"/>
    <n v="0"/>
    <s v="No Discount"/>
    <n v="91.11"/>
    <s v="No Loss"/>
    <d v="2025-08-06T00:00:00"/>
    <n v="38"/>
    <s v="IN STOCK"/>
    <n v="3.3"/>
    <n v="3.3"/>
    <b v="0"/>
    <x v="0"/>
    <m/>
  </r>
  <r>
    <s v="FB001326"/>
    <x v="2"/>
    <x v="0"/>
    <x v="3"/>
    <s v="XS"/>
    <m/>
    <s v="White"/>
    <n v="46.07"/>
    <n v="0"/>
    <n v="0"/>
    <n v="0"/>
    <s v="No Discount"/>
    <n v="46.07"/>
    <s v="No Loss"/>
    <d v="2025-08-06T00:00:00"/>
    <n v="25"/>
    <s v="IN STOCK"/>
    <n v="2.5"/>
    <n v="2.5"/>
    <b v="0"/>
    <x v="0"/>
    <m/>
  </r>
  <r>
    <s v="FB001327"/>
    <x v="5"/>
    <x v="3"/>
    <x v="2"/>
    <s v="XS"/>
    <s v="S"/>
    <s v="Green"/>
    <n v="156.27000000000001"/>
    <n v="0"/>
    <n v="0"/>
    <n v="0"/>
    <s v="No Discount"/>
    <n v="156.27000000000001"/>
    <s v="No Loss"/>
    <d v="2025-08-06T00:00:00"/>
    <n v="43"/>
    <s v="IN STOCK"/>
    <n v="0"/>
    <m/>
    <b v="0"/>
    <x v="0"/>
    <m/>
  </r>
  <r>
    <s v="FB001328"/>
    <x v="1"/>
    <x v="3"/>
    <x v="2"/>
    <s v="S"/>
    <s v="XS"/>
    <s v="Pink"/>
    <n v="56.35"/>
    <n v="0"/>
    <n v="0"/>
    <n v="0"/>
    <s v="No Discount"/>
    <n v="56.35"/>
    <s v="No Loss"/>
    <d v="2025-08-06T00:00:00"/>
    <n v="31"/>
    <s v="IN STOCK"/>
    <n v="1.5"/>
    <n v="1.5"/>
    <b v="0"/>
    <x v="0"/>
    <m/>
  </r>
  <r>
    <s v="FB001329"/>
    <x v="4"/>
    <x v="0"/>
    <x v="1"/>
    <s v="L"/>
    <s v="XS"/>
    <s v="Purple"/>
    <n v="118.21"/>
    <n v="0.23100000000000001"/>
    <n v="23.1"/>
    <n v="27.306509999999999"/>
    <s v="Medium Discount"/>
    <n v="90.9"/>
    <s v="High Loss"/>
    <d v="2025-08-06T00:00:00"/>
    <n v="15"/>
    <s v="IN STOCK"/>
    <n v="5"/>
    <n v="5"/>
    <b v="0"/>
    <x v="0"/>
    <m/>
  </r>
  <r>
    <s v="FB001330"/>
    <x v="1"/>
    <x v="6"/>
    <x v="2"/>
    <s v="OS"/>
    <s v="XS"/>
    <s v="Beige"/>
    <n v="25.86"/>
    <n v="0"/>
    <n v="0"/>
    <n v="0"/>
    <s v="No Discount"/>
    <n v="25.86"/>
    <s v="No Loss"/>
    <d v="2025-08-06T00:00:00"/>
    <n v="46"/>
    <s v="IN STOCK"/>
    <n v="1.5"/>
    <n v="1.5"/>
    <b v="0"/>
    <x v="0"/>
    <m/>
  </r>
  <r>
    <s v="FB001331"/>
    <x v="1"/>
    <x v="4"/>
    <x v="2"/>
    <s v="XL"/>
    <s v="S"/>
    <s v="Green"/>
    <n v="91.67"/>
    <n v="0.23699999999999999"/>
    <n v="23.7"/>
    <n v="21.72579"/>
    <s v="Medium Discount"/>
    <n v="69.94"/>
    <s v="High Loss"/>
    <d v="2025-08-06T00:00:00"/>
    <n v="3"/>
    <s v="LOW STOCK"/>
    <n v="3.7"/>
    <n v="3.7"/>
    <b v="0"/>
    <x v="0"/>
    <m/>
  </r>
  <r>
    <s v="FB001332"/>
    <x v="4"/>
    <x v="1"/>
    <x v="2"/>
    <s v="L"/>
    <s v="L"/>
    <s v="Blue"/>
    <n v="25.29"/>
    <n v="7.9000000000000001E-2"/>
    <n v="7.9"/>
    <n v="1.9979099999999999"/>
    <s v="Low Discount"/>
    <n v="23.29"/>
    <s v="Low Loss"/>
    <d v="2025-08-06T00:00:00"/>
    <n v="39"/>
    <s v="IN STOCK"/>
    <n v="1.7"/>
    <n v="1.7"/>
    <b v="0"/>
    <x v="0"/>
    <m/>
  </r>
  <r>
    <s v="FB001333"/>
    <x v="2"/>
    <x v="4"/>
    <x v="1"/>
    <s v="OS"/>
    <m/>
    <s v="Navy"/>
    <n v="51.61"/>
    <n v="0.32200000000000001"/>
    <n v="32.200000000000003"/>
    <n v="16.61842"/>
    <s v="high Discount"/>
    <n v="34.99"/>
    <s v="Medium Loss"/>
    <d v="2025-08-06T00:00:00"/>
    <n v="34"/>
    <s v="IN STOCK"/>
    <n v="4.8"/>
    <n v="4.8"/>
    <b v="0"/>
    <x v="0"/>
    <m/>
  </r>
  <r>
    <s v="FB001334"/>
    <x v="0"/>
    <x v="2"/>
    <x v="3"/>
    <s v="XS"/>
    <s v="XL"/>
    <s v="Black"/>
    <n v="143.61000000000001"/>
    <n v="0.24600000000000002"/>
    <n v="24.6"/>
    <n v="35.328060000000008"/>
    <s v="Medium Discount"/>
    <n v="108.28"/>
    <s v="High Loss"/>
    <d v="2025-08-06T00:00:00"/>
    <n v="50"/>
    <s v="IN STOCK"/>
    <n v="4.0999999999999996"/>
    <n v="4.0999999999999996"/>
    <b v="0"/>
    <x v="0"/>
    <m/>
  </r>
  <r>
    <s v="FB001335"/>
    <x v="4"/>
    <x v="6"/>
    <x v="3"/>
    <s v="XXL"/>
    <s v="L"/>
    <s v="Red"/>
    <n v="45.48"/>
    <n v="0"/>
    <n v="0"/>
    <n v="0"/>
    <s v="No Discount"/>
    <n v="45.48"/>
    <s v="No Loss"/>
    <d v="2025-08-06T00:00:00"/>
    <n v="29"/>
    <s v="IN STOCK"/>
    <n v="2.2999999999999998"/>
    <n v="2.2999999999999998"/>
    <b v="0"/>
    <x v="0"/>
    <m/>
  </r>
  <r>
    <s v="FB001336"/>
    <x v="3"/>
    <x v="0"/>
    <x v="3"/>
    <s v="OS"/>
    <m/>
    <s v="White"/>
    <n v="177.79"/>
    <n v="0.107"/>
    <n v="10.7"/>
    <n v="19.023529999999997"/>
    <s v="Low Discount"/>
    <n v="158.77000000000001"/>
    <s v="Medium Loss"/>
    <d v="2025-08-06T00:00:00"/>
    <n v="37"/>
    <s v="IN STOCK"/>
    <n v="0"/>
    <m/>
    <b v="0"/>
    <x v="0"/>
    <m/>
  </r>
  <r>
    <s v="FB001337"/>
    <x v="0"/>
    <x v="6"/>
    <x v="2"/>
    <s v="XXL"/>
    <s v="XS"/>
    <s v="Purple"/>
    <n v="145.1"/>
    <n v="0.34200000000000003"/>
    <n v="34.200000000000003"/>
    <n v="49.624200000000002"/>
    <s v="high Discount"/>
    <n v="95.48"/>
    <s v="High Loss"/>
    <d v="2025-08-06T00:00:00"/>
    <n v="14"/>
    <s v="IN STOCK"/>
    <n v="0"/>
    <m/>
    <b v="0"/>
    <x v="0"/>
    <m/>
  </r>
  <r>
    <s v="FB001338"/>
    <x v="3"/>
    <x v="5"/>
    <x v="3"/>
    <s v="XS"/>
    <s v="XXL"/>
    <s v="Navy"/>
    <n v="190.78"/>
    <n v="0"/>
    <n v="0"/>
    <n v="0"/>
    <s v="No Discount"/>
    <n v="190.78"/>
    <s v="No Loss"/>
    <d v="2025-08-06T00:00:00"/>
    <n v="39"/>
    <s v="IN STOCK"/>
    <n v="3.7"/>
    <n v="3.7"/>
    <b v="0"/>
    <x v="0"/>
    <m/>
  </r>
  <r>
    <s v="FB001339"/>
    <x v="2"/>
    <x v="7"/>
    <x v="2"/>
    <s v="XS"/>
    <m/>
    <s v="Blue"/>
    <n v="44.73"/>
    <n v="0"/>
    <n v="0"/>
    <n v="0"/>
    <s v="No Discount"/>
    <n v="44.73"/>
    <s v="No Loss"/>
    <d v="2025-08-06T00:00:00"/>
    <n v="25"/>
    <s v="IN STOCK"/>
    <n v="1.1000000000000001"/>
    <n v="1.1000000000000001"/>
    <b v="0"/>
    <x v="0"/>
    <m/>
  </r>
  <r>
    <s v="FB001340"/>
    <x v="3"/>
    <x v="2"/>
    <x v="1"/>
    <s v="OS"/>
    <s v="XXL"/>
    <s v="White"/>
    <n v="65.48"/>
    <n v="0"/>
    <n v="0"/>
    <n v="0"/>
    <s v="No Discount"/>
    <n v="65.48"/>
    <s v="No Loss"/>
    <d v="2025-08-06T00:00:00"/>
    <n v="7"/>
    <s v="LOW STOCK"/>
    <n v="4.5999999999999996"/>
    <n v="4.5999999999999996"/>
    <b v="0"/>
    <x v="0"/>
    <m/>
  </r>
  <r>
    <s v="FB001341"/>
    <x v="3"/>
    <x v="6"/>
    <x v="0"/>
    <s v="XS"/>
    <s v="XS"/>
    <s v="Purple"/>
    <n v="86.1"/>
    <n v="0"/>
    <n v="0"/>
    <n v="0"/>
    <s v="No Discount"/>
    <n v="86.1"/>
    <s v="No Loss"/>
    <d v="2024-12-27T00:00:00"/>
    <n v="4"/>
    <s v="LOW STOCK"/>
    <n v="2.4"/>
    <n v="2.4"/>
    <b v="0"/>
    <x v="0"/>
    <m/>
  </r>
  <r>
    <s v="FB001342"/>
    <x v="4"/>
    <x v="1"/>
    <x v="1"/>
    <s v="XL"/>
    <s v="XS"/>
    <s v="Green"/>
    <n v="100.14"/>
    <n v="0"/>
    <n v="0"/>
    <n v="0"/>
    <s v="No Discount"/>
    <n v="100.14"/>
    <s v="No Loss"/>
    <d v="2025-08-06T00:00:00"/>
    <n v="48"/>
    <s v="IN STOCK"/>
    <n v="4.2"/>
    <n v="4.2"/>
    <b v="0"/>
    <x v="0"/>
    <m/>
  </r>
  <r>
    <s v="FB001343"/>
    <x v="0"/>
    <x v="2"/>
    <x v="1"/>
    <s v="L"/>
    <m/>
    <s v="Red"/>
    <n v="203.4"/>
    <n v="0"/>
    <n v="0"/>
    <n v="0"/>
    <s v="No Discount"/>
    <n v="203.4"/>
    <s v="No Loss"/>
    <d v="2025-08-06T00:00:00"/>
    <n v="18"/>
    <s v="IN STOCK"/>
    <n v="1.8"/>
    <n v="1.8"/>
    <b v="0"/>
    <x v="0"/>
    <m/>
  </r>
  <r>
    <s v="FB001344"/>
    <x v="1"/>
    <x v="6"/>
    <x v="1"/>
    <s v="XS"/>
    <s v="XS"/>
    <s v="White"/>
    <n v="95.22"/>
    <n v="0.24399999999999999"/>
    <n v="24.4"/>
    <n v="23.23368"/>
    <s v="Medium Discount"/>
    <n v="71.989999999999995"/>
    <s v="High Loss"/>
    <d v="2025-08-06T00:00:00"/>
    <n v="26"/>
    <s v="IN STOCK"/>
    <n v="2.2999999999999998"/>
    <n v="2.2999999999999998"/>
    <b v="0"/>
    <x v="0"/>
    <m/>
  </r>
  <r>
    <s v="FB001345"/>
    <x v="5"/>
    <x v="4"/>
    <x v="2"/>
    <s v="XS"/>
    <s v="XL"/>
    <s v="Red"/>
    <n v="173.88"/>
    <n v="0.316"/>
    <n v="31.6"/>
    <n v="54.946080000000002"/>
    <s v="high Discount"/>
    <n v="118.93"/>
    <s v="High Loss"/>
    <d v="2025-08-06T00:00:00"/>
    <n v="5"/>
    <s v="LOW STOCK"/>
    <n v="3.2"/>
    <n v="3.2"/>
    <b v="0"/>
    <x v="0"/>
    <m/>
  </r>
  <r>
    <s v="FB001346"/>
    <x v="5"/>
    <x v="4"/>
    <x v="1"/>
    <s v="XL"/>
    <s v="L"/>
    <s v="Beige"/>
    <n v="160.05000000000001"/>
    <n v="0"/>
    <n v="0"/>
    <n v="0"/>
    <s v="No Discount"/>
    <n v="160.05000000000001"/>
    <s v="No Loss"/>
    <d v="2025-08-06T00:00:00"/>
    <n v="23"/>
    <s v="IN STOCK"/>
    <n v="4"/>
    <n v="4"/>
    <b v="0"/>
    <x v="0"/>
    <m/>
  </r>
  <r>
    <s v="FB001347"/>
    <x v="1"/>
    <x v="7"/>
    <x v="1"/>
    <s v="XXL"/>
    <s v="XS"/>
    <s v="Blue"/>
    <n v="59.53"/>
    <n v="0"/>
    <n v="0"/>
    <n v="0"/>
    <s v="No Discount"/>
    <n v="59.53"/>
    <s v="No Loss"/>
    <d v="2025-08-06T00:00:00"/>
    <n v="28"/>
    <s v="IN STOCK"/>
    <n v="1.5"/>
    <n v="1.5"/>
    <b v="0"/>
    <x v="0"/>
    <m/>
  </r>
  <r>
    <s v="FB001348"/>
    <x v="5"/>
    <x v="3"/>
    <x v="2"/>
    <s v="M"/>
    <s v="XS"/>
    <s v="Blue"/>
    <n v="155.32"/>
    <n v="0"/>
    <n v="0"/>
    <n v="0"/>
    <s v="No Discount"/>
    <n v="155.32"/>
    <s v="No Loss"/>
    <d v="2025-08-06T00:00:00"/>
    <n v="19"/>
    <s v="IN STOCK"/>
    <n v="4.0999999999999996"/>
    <n v="4.0999999999999996"/>
    <b v="0"/>
    <x v="0"/>
    <m/>
  </r>
  <r>
    <s v="FB001349"/>
    <x v="4"/>
    <x v="7"/>
    <x v="0"/>
    <s v="M"/>
    <s v="XL"/>
    <s v="Black"/>
    <n v="29.65"/>
    <n v="0.41"/>
    <n v="41"/>
    <n v="12.156499999999999"/>
    <s v="high Discount"/>
    <n v="17.489999999999998"/>
    <s v="Medium Loss"/>
    <d v="2024-08-26T00:00:00"/>
    <n v="21"/>
    <s v="IN STOCK"/>
    <n v="4.5"/>
    <n v="4.5"/>
    <b v="1"/>
    <x v="4"/>
    <s v="Quality Issue"/>
  </r>
  <r>
    <s v="FB001350"/>
    <x v="0"/>
    <x v="3"/>
    <x v="1"/>
    <s v="XXL"/>
    <s v="XXL"/>
    <s v="Brown"/>
    <n v="237.53"/>
    <n v="0.23199999999999998"/>
    <n v="23.2"/>
    <n v="55.106959999999994"/>
    <s v="Medium Discount"/>
    <n v="182.42"/>
    <s v="High Loss"/>
    <d v="2025-08-06T00:00:00"/>
    <n v="23"/>
    <s v="IN STOCK"/>
    <n v="2.2000000000000002"/>
    <n v="2.2000000000000002"/>
    <b v="0"/>
    <x v="0"/>
    <m/>
  </r>
  <r>
    <s v="FB001351"/>
    <x v="0"/>
    <x v="5"/>
    <x v="3"/>
    <s v="OS"/>
    <s v="M"/>
    <s v="Pink"/>
    <n v="81.67"/>
    <n v="0"/>
    <n v="0"/>
    <n v="0"/>
    <s v="No Discount"/>
    <n v="81.67"/>
    <s v="No Loss"/>
    <d v="2025-08-06T00:00:00"/>
    <n v="34"/>
    <s v="IN STOCK"/>
    <n v="3.1"/>
    <n v="3.1"/>
    <b v="1"/>
    <x v="3"/>
    <s v="Damaged"/>
  </r>
  <r>
    <s v="FB001352"/>
    <x v="4"/>
    <x v="2"/>
    <x v="0"/>
    <s v="XXL"/>
    <s v="M"/>
    <s v="Beige"/>
    <n v="37.07"/>
    <n v="0"/>
    <n v="0"/>
    <n v="0"/>
    <s v="No Discount"/>
    <n v="37.07"/>
    <s v="No Loss"/>
    <d v="2025-05-01T00:00:00"/>
    <n v="13"/>
    <s v="IN STOCK"/>
    <n v="0"/>
    <m/>
    <b v="0"/>
    <x v="0"/>
    <m/>
  </r>
  <r>
    <s v="FB001353"/>
    <x v="1"/>
    <x v="1"/>
    <x v="2"/>
    <s v="XL"/>
    <s v="XXL"/>
    <s v="Purple"/>
    <n v="80.97"/>
    <n v="0"/>
    <n v="0"/>
    <n v="0"/>
    <s v="No Discount"/>
    <n v="80.97"/>
    <s v="No Loss"/>
    <d v="2025-08-06T00:00:00"/>
    <n v="13"/>
    <s v="IN STOCK"/>
    <n v="0"/>
    <m/>
    <b v="0"/>
    <x v="0"/>
    <m/>
  </r>
  <r>
    <s v="FB001354"/>
    <x v="2"/>
    <x v="0"/>
    <x v="0"/>
    <s v="XS"/>
    <m/>
    <s v="Gray"/>
    <n v="77.680000000000007"/>
    <n v="0.29899999999999999"/>
    <n v="29.9"/>
    <n v="23.226320000000001"/>
    <s v="Medium Discount"/>
    <n v="54.45"/>
    <s v="High Loss"/>
    <d v="2025-07-24T00:00:00"/>
    <n v="33"/>
    <s v="IN STOCK"/>
    <n v="4"/>
    <n v="4"/>
    <b v="1"/>
    <x v="3"/>
    <s v="Damaged"/>
  </r>
  <r>
    <s v="FB001355"/>
    <x v="1"/>
    <x v="2"/>
    <x v="3"/>
    <s v="XL"/>
    <s v="XXL"/>
    <s v="Green"/>
    <n v="117.58"/>
    <n v="0.01"/>
    <n v="1"/>
    <n v="1.1758"/>
    <s v="Low Discount"/>
    <n v="116.4"/>
    <s v="Low Loss"/>
    <d v="2025-08-06T00:00:00"/>
    <n v="27"/>
    <s v="IN STOCK"/>
    <n v="3.3"/>
    <n v="3.3"/>
    <b v="0"/>
    <x v="0"/>
    <m/>
  </r>
  <r>
    <s v="FB001356"/>
    <x v="0"/>
    <x v="3"/>
    <x v="2"/>
    <s v="OS"/>
    <s v="XL"/>
    <s v="Blue"/>
    <n v="130.09"/>
    <n v="0.28300000000000003"/>
    <n v="28.3"/>
    <n v="36.815470000000005"/>
    <s v="Medium Discount"/>
    <n v="93.27"/>
    <s v="High Loss"/>
    <d v="2025-08-06T00:00:00"/>
    <n v="41"/>
    <s v="IN STOCK"/>
    <n v="2.2999999999999998"/>
    <n v="2.2999999999999998"/>
    <b v="0"/>
    <x v="0"/>
    <m/>
  </r>
  <r>
    <s v="FB001357"/>
    <x v="1"/>
    <x v="1"/>
    <x v="2"/>
    <s v="XL"/>
    <s v="XS"/>
    <s v="Purple"/>
    <n v="63.69"/>
    <n v="0"/>
    <n v="0"/>
    <n v="0"/>
    <s v="No Discount"/>
    <n v="63.69"/>
    <s v="No Loss"/>
    <d v="2025-08-06T00:00:00"/>
    <n v="11"/>
    <s v="IN STOCK"/>
    <n v="3"/>
    <n v="3"/>
    <b v="0"/>
    <x v="0"/>
    <m/>
  </r>
  <r>
    <s v="FB001358"/>
    <x v="0"/>
    <x v="2"/>
    <x v="0"/>
    <s v="XXL"/>
    <s v="XL"/>
    <s v="Red"/>
    <n v="135.02000000000001"/>
    <n v="0"/>
    <n v="0"/>
    <n v="0"/>
    <s v="No Discount"/>
    <n v="135.02000000000001"/>
    <s v="No Loss"/>
    <d v="2025-07-30T00:00:00"/>
    <n v="25"/>
    <s v="IN STOCK"/>
    <n v="3.4"/>
    <n v="3.4"/>
    <b v="1"/>
    <x v="5"/>
    <s v="Changed Mind"/>
  </r>
  <r>
    <s v="FB001359"/>
    <x v="2"/>
    <x v="4"/>
    <x v="1"/>
    <s v="S"/>
    <m/>
    <s v="Beige"/>
    <n v="45.37"/>
    <n v="0"/>
    <n v="0"/>
    <n v="0"/>
    <s v="No Discount"/>
    <n v="45.37"/>
    <s v="No Loss"/>
    <d v="2025-08-06T00:00:00"/>
    <n v="19"/>
    <s v="IN STOCK"/>
    <n v="1.1000000000000001"/>
    <n v="1.1000000000000001"/>
    <b v="0"/>
    <x v="0"/>
    <m/>
  </r>
  <r>
    <s v="FB001360"/>
    <x v="4"/>
    <x v="0"/>
    <x v="1"/>
    <s v="S"/>
    <s v="XL"/>
    <s v="Brown"/>
    <n v="51.17"/>
    <n v="0.08"/>
    <n v="8"/>
    <n v="4.0936000000000003"/>
    <s v="Low Discount"/>
    <n v="47.08"/>
    <s v="Low Loss"/>
    <d v="2025-08-06T00:00:00"/>
    <n v="7"/>
    <s v="LOW STOCK"/>
    <n v="0"/>
    <m/>
    <b v="0"/>
    <x v="0"/>
    <m/>
  </r>
  <r>
    <s v="FB001361"/>
    <x v="5"/>
    <x v="7"/>
    <x v="3"/>
    <s v="XS"/>
    <s v="XXL"/>
    <s v="Brown"/>
    <n v="49.34"/>
    <n v="5.5E-2"/>
    <n v="5.5"/>
    <n v="2.7137000000000002"/>
    <s v="Low Discount"/>
    <n v="46.63"/>
    <s v="Low Loss"/>
    <d v="2025-08-06T00:00:00"/>
    <n v="10"/>
    <s v="LOW STOCK"/>
    <n v="4.3"/>
    <n v="4.3"/>
    <b v="0"/>
    <x v="0"/>
    <m/>
  </r>
  <r>
    <s v="FB001362"/>
    <x v="3"/>
    <x v="1"/>
    <x v="0"/>
    <s v="XL"/>
    <s v="S"/>
    <s v="Green"/>
    <n v="119.78"/>
    <n v="0"/>
    <n v="0"/>
    <n v="0"/>
    <s v="No Discount"/>
    <n v="119.78"/>
    <s v="No Loss"/>
    <d v="2025-06-10T00:00:00"/>
    <n v="40"/>
    <s v="IN STOCK"/>
    <n v="0"/>
    <m/>
    <b v="0"/>
    <x v="0"/>
    <m/>
  </r>
  <r>
    <s v="FB001363"/>
    <x v="1"/>
    <x v="2"/>
    <x v="0"/>
    <s v="S"/>
    <s v="S"/>
    <s v="Gray"/>
    <n v="77.3"/>
    <n v="0.35100000000000003"/>
    <n v="35.1"/>
    <n v="27.132300000000001"/>
    <s v="high Discount"/>
    <n v="50.17"/>
    <s v="High Loss"/>
    <d v="2025-07-26T00:00:00"/>
    <n v="16"/>
    <s v="IN STOCK"/>
    <n v="0"/>
    <m/>
    <b v="0"/>
    <x v="0"/>
    <m/>
  </r>
  <r>
    <s v="FB001364"/>
    <x v="1"/>
    <x v="6"/>
    <x v="2"/>
    <s v="S"/>
    <s v="XS"/>
    <s v="Red"/>
    <n v="72.69"/>
    <n v="0"/>
    <n v="0"/>
    <n v="0"/>
    <s v="No Discount"/>
    <n v="72.69"/>
    <s v="No Loss"/>
    <d v="2025-08-06T00:00:00"/>
    <n v="6"/>
    <s v="LOW STOCK"/>
    <n v="0"/>
    <m/>
    <b v="0"/>
    <x v="0"/>
    <m/>
  </r>
  <r>
    <s v="FB001365"/>
    <x v="3"/>
    <x v="6"/>
    <x v="2"/>
    <s v="L"/>
    <s v="XL"/>
    <s v="Brown"/>
    <n v="117.57"/>
    <n v="0"/>
    <n v="0"/>
    <n v="0"/>
    <s v="No Discount"/>
    <n v="117.57"/>
    <s v="No Loss"/>
    <d v="2025-08-06T00:00:00"/>
    <n v="30"/>
    <s v="IN STOCK"/>
    <n v="4.8"/>
    <n v="4.8"/>
    <b v="0"/>
    <x v="0"/>
    <m/>
  </r>
  <r>
    <s v="FB001366"/>
    <x v="0"/>
    <x v="7"/>
    <x v="0"/>
    <s v="XL"/>
    <s v="S"/>
    <s v="Green"/>
    <n v="161.25"/>
    <n v="0.48399999999999999"/>
    <n v="48.4"/>
    <n v="78.045000000000002"/>
    <s v="high Discount"/>
    <n v="83.2"/>
    <s v="High Loss"/>
    <d v="2024-11-11T00:00:00"/>
    <n v="32"/>
    <s v="IN STOCK"/>
    <n v="0"/>
    <m/>
    <b v="0"/>
    <x v="0"/>
    <m/>
  </r>
  <r>
    <s v="FB001367"/>
    <x v="3"/>
    <x v="5"/>
    <x v="2"/>
    <s v="S"/>
    <s v="S"/>
    <s v="Purple"/>
    <n v="158.01"/>
    <n v="0"/>
    <n v="0"/>
    <n v="0"/>
    <s v="No Discount"/>
    <n v="158.01"/>
    <s v="No Loss"/>
    <d v="2025-08-06T00:00:00"/>
    <n v="19"/>
    <s v="IN STOCK"/>
    <n v="2.6"/>
    <n v="2.6"/>
    <b v="0"/>
    <x v="0"/>
    <m/>
  </r>
  <r>
    <s v="FB001368"/>
    <x v="1"/>
    <x v="5"/>
    <x v="3"/>
    <s v="M"/>
    <s v="L"/>
    <s v="Blue"/>
    <n v="60.92"/>
    <n v="0"/>
    <n v="0"/>
    <n v="0"/>
    <s v="No Discount"/>
    <n v="60.92"/>
    <s v="No Loss"/>
    <d v="2025-08-06T00:00:00"/>
    <n v="25"/>
    <s v="IN STOCK"/>
    <n v="0"/>
    <m/>
    <b v="1"/>
    <x v="4"/>
    <s v="Quality Issue"/>
  </r>
  <r>
    <s v="FB001369"/>
    <x v="3"/>
    <x v="4"/>
    <x v="3"/>
    <s v="OS"/>
    <s v="XL"/>
    <s v="Gray"/>
    <n v="122.03"/>
    <n v="0.252"/>
    <n v="25.2"/>
    <n v="30.751560000000001"/>
    <s v="Medium Discount"/>
    <n v="91.28"/>
    <s v="High Loss"/>
    <d v="2025-08-06T00:00:00"/>
    <n v="21"/>
    <s v="IN STOCK"/>
    <n v="4.7"/>
    <n v="4.7"/>
    <b v="0"/>
    <x v="0"/>
    <m/>
  </r>
  <r>
    <s v="FB001370"/>
    <x v="3"/>
    <x v="3"/>
    <x v="0"/>
    <s v="S"/>
    <s v="S"/>
    <s v="Brown"/>
    <n v="109.15"/>
    <n v="0"/>
    <n v="0"/>
    <n v="0"/>
    <s v="No Discount"/>
    <n v="109.15"/>
    <s v="No Loss"/>
    <d v="2024-11-11T00:00:00"/>
    <n v="11"/>
    <s v="IN STOCK"/>
    <n v="0"/>
    <m/>
    <b v="0"/>
    <x v="0"/>
    <m/>
  </r>
  <r>
    <s v="FB001371"/>
    <x v="4"/>
    <x v="5"/>
    <x v="2"/>
    <s v="OS"/>
    <s v="M"/>
    <s v="Beige"/>
    <n v="60.97"/>
    <n v="0"/>
    <n v="0"/>
    <n v="0"/>
    <s v="No Discount"/>
    <n v="60.97"/>
    <s v="No Loss"/>
    <d v="2025-08-06T00:00:00"/>
    <n v="29"/>
    <s v="IN STOCK"/>
    <n v="4.5"/>
    <n v="4.5"/>
    <b v="0"/>
    <x v="0"/>
    <m/>
  </r>
  <r>
    <s v="FB001372"/>
    <x v="2"/>
    <x v="1"/>
    <x v="3"/>
    <s v="OS"/>
    <m/>
    <s v="Pink"/>
    <n v="64.87"/>
    <n v="0.35299999999999998"/>
    <n v="35.299999999999997"/>
    <n v="22.89911"/>
    <s v="high Discount"/>
    <n v="41.97"/>
    <s v="High Loss"/>
    <d v="2025-08-06T00:00:00"/>
    <n v="12"/>
    <s v="IN STOCK"/>
    <n v="4.2"/>
    <n v="4.2"/>
    <b v="1"/>
    <x v="2"/>
    <s v="Size Issue"/>
  </r>
  <r>
    <s v="FB001373"/>
    <x v="3"/>
    <x v="3"/>
    <x v="2"/>
    <s v="M"/>
    <s v="S"/>
    <s v="Pink"/>
    <n v="151.35"/>
    <n v="0"/>
    <n v="0"/>
    <n v="0"/>
    <s v="No Discount"/>
    <n v="151.35"/>
    <s v="No Loss"/>
    <d v="2025-08-06T00:00:00"/>
    <n v="18"/>
    <s v="IN STOCK"/>
    <n v="0"/>
    <m/>
    <b v="0"/>
    <x v="0"/>
    <m/>
  </r>
  <r>
    <s v="FB001374"/>
    <x v="2"/>
    <x v="6"/>
    <x v="1"/>
    <s v="XL"/>
    <m/>
    <s v="Blue"/>
    <n v="72.900000000000006"/>
    <n v="0.44"/>
    <n v="44"/>
    <n v="32.076000000000001"/>
    <s v="high Discount"/>
    <n v="40.82"/>
    <s v="High Loss"/>
    <d v="2025-08-06T00:00:00"/>
    <n v="25"/>
    <s v="IN STOCK"/>
    <n v="3"/>
    <n v="3"/>
    <b v="0"/>
    <x v="0"/>
    <m/>
  </r>
  <r>
    <s v="FB001375"/>
    <x v="2"/>
    <x v="6"/>
    <x v="1"/>
    <s v="L"/>
    <m/>
    <s v="Purple"/>
    <n v="79.48"/>
    <n v="0"/>
    <n v="0"/>
    <n v="0"/>
    <s v="No Discount"/>
    <n v="79.48"/>
    <s v="No Loss"/>
    <d v="2025-08-06T00:00:00"/>
    <n v="2"/>
    <s v="LOW STOCK"/>
    <n v="3.3"/>
    <n v="3.3"/>
    <b v="0"/>
    <x v="0"/>
    <m/>
  </r>
  <r>
    <s v="FB001376"/>
    <x v="3"/>
    <x v="3"/>
    <x v="2"/>
    <s v="OS"/>
    <s v="M"/>
    <s v="Beige"/>
    <n v="122.77"/>
    <n v="0.59799999999999998"/>
    <n v="59.8"/>
    <n v="73.416460000000001"/>
    <s v="high Discount"/>
    <n v="49.35"/>
    <s v="High Loss"/>
    <d v="2025-08-06T00:00:00"/>
    <n v="33"/>
    <s v="IN STOCK"/>
    <n v="4"/>
    <n v="4"/>
    <b v="0"/>
    <x v="0"/>
    <m/>
  </r>
  <r>
    <s v="FB001377"/>
    <x v="4"/>
    <x v="7"/>
    <x v="3"/>
    <s v="XL"/>
    <s v="XL"/>
    <s v="Black"/>
    <n v="79.61"/>
    <n v="0"/>
    <n v="0"/>
    <n v="0"/>
    <s v="No Discount"/>
    <n v="79.61"/>
    <s v="No Loss"/>
    <d v="2025-08-06T00:00:00"/>
    <n v="29"/>
    <s v="IN STOCK"/>
    <n v="3.7"/>
    <n v="3.7"/>
    <b v="0"/>
    <x v="0"/>
    <m/>
  </r>
  <r>
    <s v="FB001378"/>
    <x v="4"/>
    <x v="1"/>
    <x v="1"/>
    <s v="XS"/>
    <s v="L"/>
    <s v="White"/>
    <n v="60.13"/>
    <n v="0"/>
    <n v="0"/>
    <n v="0"/>
    <s v="No Discount"/>
    <n v="60.13"/>
    <s v="No Loss"/>
    <d v="2025-08-06T00:00:00"/>
    <n v="27"/>
    <s v="IN STOCK"/>
    <n v="0"/>
    <m/>
    <b v="0"/>
    <x v="0"/>
    <m/>
  </r>
  <r>
    <s v="FB001379"/>
    <x v="2"/>
    <x v="6"/>
    <x v="1"/>
    <s v="S"/>
    <m/>
    <s v="Gray"/>
    <n v="72.260000000000005"/>
    <n v="0.41"/>
    <n v="41"/>
    <n v="29.6266"/>
    <s v="high Discount"/>
    <n v="42.63"/>
    <s v="High Loss"/>
    <d v="2025-08-06T00:00:00"/>
    <n v="43"/>
    <s v="IN STOCK"/>
    <n v="3.5"/>
    <n v="3.5"/>
    <b v="0"/>
    <x v="0"/>
    <m/>
  </r>
  <r>
    <s v="FB001380"/>
    <x v="4"/>
    <x v="3"/>
    <x v="3"/>
    <s v="S"/>
    <s v="XL"/>
    <s v="Green"/>
    <n v="66.38"/>
    <n v="0.17"/>
    <n v="17"/>
    <n v="11.284599999999999"/>
    <s v="Low Discount"/>
    <n v="55.1"/>
    <s v="Medium Loss"/>
    <d v="2025-08-06T00:00:00"/>
    <n v="24"/>
    <s v="IN STOCK"/>
    <n v="4.9000000000000004"/>
    <n v="4.9000000000000004"/>
    <b v="1"/>
    <x v="2"/>
    <s v="Size Issue"/>
  </r>
  <r>
    <s v="FB001381"/>
    <x v="0"/>
    <x v="5"/>
    <x v="0"/>
    <s v="M"/>
    <s v="XS"/>
    <s v="Beige"/>
    <n v="100.27"/>
    <n v="0"/>
    <n v="0"/>
    <n v="0"/>
    <s v="No Discount"/>
    <n v="100.27"/>
    <s v="No Loss"/>
    <d v="2025-03-03T00:00:00"/>
    <n v="37"/>
    <s v="IN STOCK"/>
    <n v="3.1"/>
    <n v="3.1"/>
    <b v="0"/>
    <x v="0"/>
    <m/>
  </r>
  <r>
    <s v="FB001382"/>
    <x v="5"/>
    <x v="0"/>
    <x v="3"/>
    <s v="XS"/>
    <s v="S"/>
    <s v="Beige"/>
    <n v="116.09"/>
    <n v="0.52800000000000002"/>
    <n v="52.8"/>
    <n v="61.295520000000003"/>
    <s v="high Discount"/>
    <n v="54.79"/>
    <s v="High Loss"/>
    <d v="2025-08-06T00:00:00"/>
    <n v="22"/>
    <s v="IN STOCK"/>
    <n v="0"/>
    <m/>
    <b v="0"/>
    <x v="0"/>
    <m/>
  </r>
  <r>
    <s v="FB001383"/>
    <x v="0"/>
    <x v="3"/>
    <x v="2"/>
    <s v="S"/>
    <s v="S"/>
    <s v="White"/>
    <n v="80.709999999999994"/>
    <n v="9.0000000000000011E-3"/>
    <n v="0.9"/>
    <n v="0.72638999999999998"/>
    <s v="Low Discount"/>
    <n v="79.98"/>
    <s v="Low Loss"/>
    <d v="2025-08-06T00:00:00"/>
    <n v="11"/>
    <s v="IN STOCK"/>
    <n v="1.1000000000000001"/>
    <n v="1.1000000000000001"/>
    <b v="0"/>
    <x v="0"/>
    <m/>
  </r>
  <r>
    <s v="FB001384"/>
    <x v="5"/>
    <x v="2"/>
    <x v="3"/>
    <s v="S"/>
    <s v="M"/>
    <s v="Blue"/>
    <n v="175.11"/>
    <n v="0"/>
    <n v="0"/>
    <n v="0"/>
    <s v="No Discount"/>
    <n v="175.11"/>
    <s v="No Loss"/>
    <d v="2025-08-06T00:00:00"/>
    <n v="39"/>
    <s v="IN STOCK"/>
    <n v="2.9"/>
    <n v="2.9"/>
    <b v="0"/>
    <x v="0"/>
    <m/>
  </r>
  <r>
    <s v="FB001385"/>
    <x v="5"/>
    <x v="3"/>
    <x v="2"/>
    <s v="L"/>
    <s v="XS"/>
    <s v="Brown"/>
    <n v="122.35"/>
    <n v="0.37"/>
    <n v="37"/>
    <n v="45.269500000000001"/>
    <s v="high Discount"/>
    <n v="77.08"/>
    <s v="High Loss"/>
    <d v="2025-08-06T00:00:00"/>
    <n v="25"/>
    <s v="IN STOCK"/>
    <n v="0"/>
    <m/>
    <b v="0"/>
    <x v="0"/>
    <m/>
  </r>
  <r>
    <s v="FB001386"/>
    <x v="3"/>
    <x v="1"/>
    <x v="1"/>
    <s v="M"/>
    <s v="S"/>
    <s v="Blue"/>
    <n v="127.99"/>
    <n v="0"/>
    <n v="0"/>
    <n v="0"/>
    <s v="No Discount"/>
    <n v="127.99"/>
    <s v="No Loss"/>
    <d v="2025-08-06T00:00:00"/>
    <n v="14"/>
    <s v="IN STOCK"/>
    <n v="2.7"/>
    <n v="2.7"/>
    <b v="0"/>
    <x v="0"/>
    <m/>
  </r>
  <r>
    <s v="FB001387"/>
    <x v="4"/>
    <x v="0"/>
    <x v="3"/>
    <s v="S"/>
    <s v="S"/>
    <s v="Brown"/>
    <n v="101.07"/>
    <n v="4.5999999999999999E-2"/>
    <n v="4.5999999999999996"/>
    <n v="4.6492199999999997"/>
    <s v="Low Discount"/>
    <n v="96.42"/>
    <s v="Low Loss"/>
    <d v="2025-08-06T00:00:00"/>
    <n v="19"/>
    <s v="IN STOCK"/>
    <n v="4.7"/>
    <n v="4.7"/>
    <b v="0"/>
    <x v="0"/>
    <m/>
  </r>
  <r>
    <s v="FB001388"/>
    <x v="4"/>
    <x v="7"/>
    <x v="1"/>
    <s v="XXL"/>
    <s v="L"/>
    <s v="Brown"/>
    <n v="41.83"/>
    <n v="0.441"/>
    <n v="44.1"/>
    <n v="18.447029999999998"/>
    <s v="high Discount"/>
    <n v="23.38"/>
    <s v="Medium Loss"/>
    <d v="2025-08-06T00:00:00"/>
    <n v="6"/>
    <s v="LOW STOCK"/>
    <n v="2.4"/>
    <n v="2.4"/>
    <b v="0"/>
    <x v="0"/>
    <m/>
  </r>
  <r>
    <s v="FB001389"/>
    <x v="3"/>
    <x v="4"/>
    <x v="0"/>
    <s v="XS"/>
    <s v="M"/>
    <s v="Green"/>
    <n v="147.52000000000001"/>
    <n v="0"/>
    <n v="0"/>
    <n v="0"/>
    <s v="No Discount"/>
    <n v="147.52000000000001"/>
    <s v="No Loss"/>
    <d v="2025-01-08T00:00:00"/>
    <n v="41"/>
    <s v="IN STOCK"/>
    <n v="4"/>
    <n v="4"/>
    <b v="0"/>
    <x v="0"/>
    <m/>
  </r>
  <r>
    <s v="FB001390"/>
    <x v="1"/>
    <x v="2"/>
    <x v="2"/>
    <s v="S"/>
    <s v="S"/>
    <s v="Gray"/>
    <n v="85.94"/>
    <n v="0"/>
    <n v="0"/>
    <n v="0"/>
    <s v="No Discount"/>
    <n v="85.94"/>
    <s v="No Loss"/>
    <d v="2025-08-06T00:00:00"/>
    <n v="49"/>
    <s v="IN STOCK"/>
    <n v="1.5"/>
    <n v="1.5"/>
    <b v="0"/>
    <x v="0"/>
    <m/>
  </r>
  <r>
    <s v="FB001391"/>
    <x v="5"/>
    <x v="6"/>
    <x v="1"/>
    <s v="XS"/>
    <s v="XXL"/>
    <s v="Green"/>
    <n v="115.61"/>
    <n v="0"/>
    <n v="0"/>
    <n v="0"/>
    <s v="No Discount"/>
    <n v="115.61"/>
    <s v="No Loss"/>
    <d v="2025-08-06T00:00:00"/>
    <n v="35"/>
    <s v="IN STOCK"/>
    <n v="1.8"/>
    <n v="1.8"/>
    <b v="0"/>
    <x v="0"/>
    <m/>
  </r>
  <r>
    <s v="FB001392"/>
    <x v="0"/>
    <x v="5"/>
    <x v="1"/>
    <s v="XL"/>
    <s v="XS"/>
    <s v="Pink"/>
    <n v="90.58"/>
    <n v="0"/>
    <n v="0"/>
    <n v="0"/>
    <s v="No Discount"/>
    <n v="90.58"/>
    <s v="No Loss"/>
    <d v="2025-08-06T00:00:00"/>
    <n v="1"/>
    <s v="LOW STOCK"/>
    <n v="1"/>
    <n v="1"/>
    <b v="0"/>
    <x v="0"/>
    <m/>
  </r>
  <r>
    <s v="FB001393"/>
    <x v="1"/>
    <x v="6"/>
    <x v="0"/>
    <s v="S"/>
    <s v="S"/>
    <s v="Red"/>
    <n v="64.84"/>
    <n v="0"/>
    <n v="0"/>
    <n v="0"/>
    <s v="No Discount"/>
    <n v="64.84"/>
    <s v="No Loss"/>
    <d v="2024-10-26T00:00:00"/>
    <n v="25"/>
    <s v="IN STOCK"/>
    <n v="3.9"/>
    <n v="3.9"/>
    <b v="0"/>
    <x v="0"/>
    <m/>
  </r>
  <r>
    <s v="FB001394"/>
    <x v="4"/>
    <x v="2"/>
    <x v="3"/>
    <s v="L"/>
    <s v="XS"/>
    <s v="Black"/>
    <n v="37.270000000000003"/>
    <n v="0"/>
    <n v="0"/>
    <n v="0"/>
    <s v="No Discount"/>
    <n v="37.270000000000003"/>
    <s v="No Loss"/>
    <d v="2025-08-06T00:00:00"/>
    <n v="27"/>
    <s v="IN STOCK"/>
    <n v="2.8"/>
    <n v="2.8"/>
    <b v="1"/>
    <x v="5"/>
    <s v="Changed Mind"/>
  </r>
  <r>
    <s v="FB001395"/>
    <x v="1"/>
    <x v="6"/>
    <x v="3"/>
    <s v="XS"/>
    <s v="XL"/>
    <s v="Blue"/>
    <n v="90.48"/>
    <n v="0.55200000000000005"/>
    <n v="55.2"/>
    <n v="49.944960000000009"/>
    <s v="high Discount"/>
    <n v="40.54"/>
    <s v="High Loss"/>
    <d v="2025-08-06T00:00:00"/>
    <n v="26"/>
    <s v="IN STOCK"/>
    <n v="3"/>
    <n v="3"/>
    <b v="0"/>
    <x v="0"/>
    <m/>
  </r>
  <r>
    <s v="FB001396"/>
    <x v="3"/>
    <x v="6"/>
    <x v="3"/>
    <s v="M"/>
    <s v="S"/>
    <s v="Green"/>
    <n v="159.62"/>
    <n v="0.58399999999999996"/>
    <n v="58.4"/>
    <n v="93.21808"/>
    <s v="high Discount"/>
    <n v="66.400000000000006"/>
    <s v="High Loss"/>
    <d v="2025-08-06T00:00:00"/>
    <n v="45"/>
    <s v="IN STOCK"/>
    <n v="1.1000000000000001"/>
    <n v="1.1000000000000001"/>
    <b v="0"/>
    <x v="0"/>
    <m/>
  </r>
  <r>
    <s v="FB001397"/>
    <x v="3"/>
    <x v="5"/>
    <x v="3"/>
    <s v="M"/>
    <s v="L"/>
    <s v="Gray"/>
    <n v="81.459999999999994"/>
    <n v="0.58799999999999997"/>
    <n v="58.8"/>
    <n v="47.898479999999992"/>
    <s v="high Discount"/>
    <n v="33.56"/>
    <s v="High Loss"/>
    <d v="2025-08-06T00:00:00"/>
    <n v="37"/>
    <s v="IN STOCK"/>
    <n v="4.5999999999999996"/>
    <n v="4.5999999999999996"/>
    <b v="0"/>
    <x v="0"/>
    <m/>
  </r>
  <r>
    <s v="FB001398"/>
    <x v="3"/>
    <x v="7"/>
    <x v="1"/>
    <s v="M"/>
    <s v="XS"/>
    <s v="White"/>
    <n v="93.63"/>
    <n v="0"/>
    <n v="0"/>
    <n v="0"/>
    <s v="No Discount"/>
    <n v="93.63"/>
    <s v="No Loss"/>
    <d v="2025-08-06T00:00:00"/>
    <n v="47"/>
    <s v="IN STOCK"/>
    <n v="4.0999999999999996"/>
    <n v="4.0999999999999996"/>
    <b v="0"/>
    <x v="0"/>
    <m/>
  </r>
  <r>
    <s v="FB001399"/>
    <x v="1"/>
    <x v="5"/>
    <x v="3"/>
    <s v="XXL"/>
    <s v="M"/>
    <s v="Brown"/>
    <n v="95.55"/>
    <n v="0"/>
    <n v="0"/>
    <n v="0"/>
    <s v="No Discount"/>
    <n v="95.55"/>
    <s v="No Loss"/>
    <d v="2025-08-06T00:00:00"/>
    <n v="25"/>
    <s v="IN STOCK"/>
    <n v="4.7"/>
    <n v="4.7"/>
    <b v="0"/>
    <x v="0"/>
    <m/>
  </r>
  <r>
    <s v="FB001400"/>
    <x v="0"/>
    <x v="0"/>
    <x v="1"/>
    <s v="L"/>
    <s v="M"/>
    <s v="White"/>
    <n v="146.44999999999999"/>
    <n v="0"/>
    <n v="0"/>
    <n v="0"/>
    <s v="No Discount"/>
    <n v="146.44999999999999"/>
    <s v="No Loss"/>
    <d v="2025-08-06T00:00:00"/>
    <n v="45"/>
    <s v="IN STOCK"/>
    <n v="3.4"/>
    <n v="3.4"/>
    <b v="0"/>
    <x v="0"/>
    <m/>
  </r>
  <r>
    <s v="FB001401"/>
    <x v="3"/>
    <x v="2"/>
    <x v="0"/>
    <s v="S"/>
    <s v="M"/>
    <s v="Blue"/>
    <n v="96.9"/>
    <n v="0"/>
    <n v="0"/>
    <n v="0"/>
    <s v="No Discount"/>
    <n v="96.9"/>
    <s v="No Loss"/>
    <d v="2025-02-03T00:00:00"/>
    <n v="24"/>
    <s v="IN STOCK"/>
    <n v="4.3"/>
    <n v="4.3"/>
    <b v="0"/>
    <x v="0"/>
    <m/>
  </r>
  <r>
    <s v="FB001402"/>
    <x v="1"/>
    <x v="2"/>
    <x v="2"/>
    <s v="OS"/>
    <s v="XXL"/>
    <s v="Brown"/>
    <n v="71.83"/>
    <n v="0"/>
    <n v="0"/>
    <n v="0"/>
    <s v="No Discount"/>
    <n v="71.83"/>
    <s v="No Loss"/>
    <d v="2025-08-06T00:00:00"/>
    <n v="46"/>
    <s v="IN STOCK"/>
    <n v="4.5"/>
    <n v="4.5"/>
    <b v="0"/>
    <x v="0"/>
    <m/>
  </r>
  <r>
    <s v="FB001403"/>
    <x v="1"/>
    <x v="4"/>
    <x v="3"/>
    <s v="OS"/>
    <s v="L"/>
    <s v="Navy"/>
    <n v="29.17"/>
    <n v="0"/>
    <n v="0"/>
    <n v="0"/>
    <s v="No Discount"/>
    <n v="29.17"/>
    <s v="No Loss"/>
    <d v="2025-08-06T00:00:00"/>
    <n v="17"/>
    <s v="IN STOCK"/>
    <n v="1.6"/>
    <n v="1.6"/>
    <b v="0"/>
    <x v="0"/>
    <m/>
  </r>
  <r>
    <s v="FB001404"/>
    <x v="1"/>
    <x v="4"/>
    <x v="0"/>
    <s v="OS"/>
    <s v="S"/>
    <s v="Green"/>
    <n v="31.3"/>
    <n v="0.436"/>
    <n v="43.6"/>
    <n v="13.646800000000001"/>
    <s v="high Discount"/>
    <n v="17.649999999999999"/>
    <s v="Medium Loss"/>
    <d v="2025-03-06T00:00:00"/>
    <n v="21"/>
    <s v="IN STOCK"/>
    <n v="4.4000000000000004"/>
    <n v="4.4000000000000004"/>
    <b v="0"/>
    <x v="0"/>
    <m/>
  </r>
  <r>
    <s v="FB001405"/>
    <x v="2"/>
    <x v="0"/>
    <x v="2"/>
    <s v="L"/>
    <m/>
    <s v="Green"/>
    <n v="73.569999999999993"/>
    <n v="0"/>
    <n v="0"/>
    <n v="0"/>
    <s v="No Discount"/>
    <n v="73.569999999999993"/>
    <s v="No Loss"/>
    <d v="2025-08-06T00:00:00"/>
    <n v="22"/>
    <s v="IN STOCK"/>
    <n v="1.1000000000000001"/>
    <n v="1.1000000000000001"/>
    <b v="0"/>
    <x v="0"/>
    <m/>
  </r>
  <r>
    <s v="FB001406"/>
    <x v="3"/>
    <x v="3"/>
    <x v="3"/>
    <s v="L"/>
    <m/>
    <s v="Pink"/>
    <n v="75.95"/>
    <n v="0"/>
    <n v="0"/>
    <n v="0"/>
    <s v="No Discount"/>
    <n v="75.95"/>
    <s v="No Loss"/>
    <d v="2025-08-06T00:00:00"/>
    <n v="14"/>
    <s v="IN STOCK"/>
    <n v="0"/>
    <m/>
    <b v="0"/>
    <x v="0"/>
    <m/>
  </r>
  <r>
    <s v="FB001407"/>
    <x v="2"/>
    <x v="4"/>
    <x v="0"/>
    <s v="S"/>
    <m/>
    <s v="Green"/>
    <n v="79.040000000000006"/>
    <n v="0"/>
    <n v="0"/>
    <n v="0"/>
    <s v="No Discount"/>
    <n v="79.040000000000006"/>
    <s v="No Loss"/>
    <d v="2024-10-03T00:00:00"/>
    <n v="28"/>
    <s v="IN STOCK"/>
    <n v="4.7"/>
    <n v="4.7"/>
    <b v="0"/>
    <x v="0"/>
    <m/>
  </r>
  <r>
    <s v="FB001408"/>
    <x v="1"/>
    <x v="3"/>
    <x v="2"/>
    <s v="M"/>
    <s v="L"/>
    <s v="White"/>
    <n v="26.85"/>
    <n v="0"/>
    <n v="0"/>
    <n v="0"/>
    <s v="No Discount"/>
    <n v="26.85"/>
    <s v="No Loss"/>
    <d v="2025-08-06T00:00:00"/>
    <n v="26"/>
    <s v="IN STOCK"/>
    <n v="0"/>
    <m/>
    <b v="0"/>
    <x v="0"/>
    <m/>
  </r>
  <r>
    <s v="FB001409"/>
    <x v="5"/>
    <x v="5"/>
    <x v="0"/>
    <s v="XL"/>
    <s v="L"/>
    <s v="Gray"/>
    <n v="126.21"/>
    <n v="0.29199999999999998"/>
    <n v="29.2"/>
    <n v="36.853319999999997"/>
    <s v="Medium Discount"/>
    <n v="89.36"/>
    <s v="High Loss"/>
    <d v="2024-08-15T00:00:00"/>
    <n v="25"/>
    <s v="IN STOCK"/>
    <n v="1.1000000000000001"/>
    <n v="1.1000000000000001"/>
    <b v="0"/>
    <x v="0"/>
    <m/>
  </r>
  <r>
    <s v="FB001410"/>
    <x v="3"/>
    <x v="3"/>
    <x v="2"/>
    <s v="L"/>
    <s v="S"/>
    <s v="Navy"/>
    <n v="71.459999999999994"/>
    <n v="0"/>
    <n v="0"/>
    <n v="0"/>
    <s v="No Discount"/>
    <n v="71.459999999999994"/>
    <s v="No Loss"/>
    <d v="2025-08-06T00:00:00"/>
    <n v="2"/>
    <s v="LOW STOCK"/>
    <n v="3.1"/>
    <n v="3.1"/>
    <b v="0"/>
    <x v="0"/>
    <m/>
  </r>
  <r>
    <s v="FB001411"/>
    <x v="5"/>
    <x v="3"/>
    <x v="1"/>
    <s v="OS"/>
    <s v="M"/>
    <s v="Beige"/>
    <n v="65.069999999999993"/>
    <n v="0.14800000000000002"/>
    <n v="14.8"/>
    <n v="9.6303599999999996"/>
    <s v="Low Discount"/>
    <n v="55.44"/>
    <s v="Low Loss"/>
    <d v="2025-08-06T00:00:00"/>
    <n v="21"/>
    <s v="IN STOCK"/>
    <n v="0"/>
    <m/>
    <b v="0"/>
    <x v="0"/>
    <m/>
  </r>
  <r>
    <s v="FB001412"/>
    <x v="4"/>
    <x v="3"/>
    <x v="2"/>
    <s v="M"/>
    <s v="XL"/>
    <s v="Pink"/>
    <n v="28.11"/>
    <n v="0.20899999999999999"/>
    <n v="20.9"/>
    <n v="5.8749899999999995"/>
    <s v="Medium Discount"/>
    <n v="22.24"/>
    <s v="Low Loss"/>
    <d v="2025-08-06T00:00:00"/>
    <n v="6"/>
    <s v="LOW STOCK"/>
    <n v="2.2999999999999998"/>
    <n v="2.2999999999999998"/>
    <b v="0"/>
    <x v="0"/>
    <m/>
  </r>
  <r>
    <s v="FB001413"/>
    <x v="1"/>
    <x v="4"/>
    <x v="0"/>
    <s v="S"/>
    <s v="L"/>
    <s v="Green"/>
    <n v="29.12"/>
    <n v="0"/>
    <n v="0"/>
    <n v="0"/>
    <s v="No Discount"/>
    <n v="29.12"/>
    <s v="No Loss"/>
    <d v="2025-03-25T00:00:00"/>
    <n v="14"/>
    <s v="IN STOCK"/>
    <n v="2.7"/>
    <n v="2.7"/>
    <b v="0"/>
    <x v="0"/>
    <m/>
  </r>
  <r>
    <s v="FB001414"/>
    <x v="2"/>
    <x v="7"/>
    <x v="1"/>
    <s v="XL"/>
    <m/>
    <s v="Black"/>
    <n v="57.1"/>
    <n v="0"/>
    <n v="0"/>
    <n v="0"/>
    <s v="No Discount"/>
    <n v="57.1"/>
    <s v="No Loss"/>
    <d v="2025-08-06T00:00:00"/>
    <n v="28"/>
    <s v="IN STOCK"/>
    <n v="0"/>
    <m/>
    <b v="1"/>
    <x v="6"/>
    <s v="Wrong Item"/>
  </r>
  <r>
    <s v="FB001415"/>
    <x v="0"/>
    <x v="1"/>
    <x v="0"/>
    <s v="OS"/>
    <s v="M"/>
    <s v="Black"/>
    <n v="248.05"/>
    <n v="0"/>
    <n v="0"/>
    <n v="0"/>
    <s v="No Discount"/>
    <n v="248.05"/>
    <s v="No Loss"/>
    <d v="2025-04-29T00:00:00"/>
    <n v="17"/>
    <s v="IN STOCK"/>
    <n v="4.5999999999999996"/>
    <n v="4.5999999999999996"/>
    <b v="0"/>
    <x v="0"/>
    <m/>
  </r>
  <r>
    <s v="FB001416"/>
    <x v="4"/>
    <x v="0"/>
    <x v="2"/>
    <s v="M"/>
    <s v="S"/>
    <s v="Gray"/>
    <n v="108.59"/>
    <n v="0.40600000000000003"/>
    <n v="40.6"/>
    <n v="44.087540000000004"/>
    <s v="high Discount"/>
    <n v="64.5"/>
    <s v="High Loss"/>
    <d v="2025-08-06T00:00:00"/>
    <n v="9"/>
    <s v="LOW STOCK"/>
    <n v="1.3"/>
    <n v="1.3"/>
    <b v="0"/>
    <x v="0"/>
    <m/>
  </r>
  <r>
    <s v="FB001417"/>
    <x v="0"/>
    <x v="7"/>
    <x v="3"/>
    <s v="XL"/>
    <s v="XL"/>
    <s v="Beige"/>
    <n v="124.13"/>
    <n v="0"/>
    <n v="0"/>
    <n v="0"/>
    <s v="No Discount"/>
    <n v="124.13"/>
    <s v="No Loss"/>
    <d v="2025-08-06T00:00:00"/>
    <n v="33"/>
    <s v="IN STOCK"/>
    <n v="5"/>
    <n v="5"/>
    <b v="0"/>
    <x v="0"/>
    <m/>
  </r>
  <r>
    <s v="FB001418"/>
    <x v="2"/>
    <x v="0"/>
    <x v="0"/>
    <s v="M"/>
    <m/>
    <s v="Brown"/>
    <n v="62.21"/>
    <n v="1.8000000000000002E-2"/>
    <n v="1.8"/>
    <n v="1.1197800000000002"/>
    <s v="Low Discount"/>
    <n v="61.09"/>
    <s v="Low Loss"/>
    <d v="2024-11-03T00:00:00"/>
    <n v="4"/>
    <s v="LOW STOCK"/>
    <n v="2.2999999999999998"/>
    <n v="2.2999999999999998"/>
    <b v="0"/>
    <x v="0"/>
    <m/>
  </r>
  <r>
    <s v="FB001419"/>
    <x v="4"/>
    <x v="1"/>
    <x v="2"/>
    <s v="OS"/>
    <s v="M"/>
    <s v="Gray"/>
    <n v="48.27"/>
    <n v="0"/>
    <n v="0"/>
    <n v="0"/>
    <s v="No Discount"/>
    <n v="48.27"/>
    <s v="No Loss"/>
    <d v="2025-08-06T00:00:00"/>
    <n v="33"/>
    <s v="IN STOCK"/>
    <n v="0"/>
    <m/>
    <b v="0"/>
    <x v="0"/>
    <m/>
  </r>
  <r>
    <s v="FB001420"/>
    <x v="1"/>
    <x v="0"/>
    <x v="0"/>
    <s v="XS"/>
    <s v="XL"/>
    <s v="Blue"/>
    <n v="88.77"/>
    <n v="0"/>
    <n v="0"/>
    <n v="0"/>
    <s v="No Discount"/>
    <n v="88.77"/>
    <s v="No Loss"/>
    <d v="2025-05-16T00:00:00"/>
    <n v="40"/>
    <s v="IN STOCK"/>
    <n v="4.8"/>
    <n v="4.8"/>
    <b v="0"/>
    <x v="0"/>
    <m/>
  </r>
  <r>
    <s v="FB001421"/>
    <x v="5"/>
    <x v="6"/>
    <x v="2"/>
    <s v="XL"/>
    <s v="M"/>
    <s v="Navy"/>
    <n v="94.17"/>
    <n v="0"/>
    <n v="0"/>
    <n v="0"/>
    <s v="No Discount"/>
    <n v="94.17"/>
    <s v="No Loss"/>
    <d v="2025-08-06T00:00:00"/>
    <n v="2"/>
    <s v="LOW STOCK"/>
    <n v="0"/>
    <m/>
    <b v="0"/>
    <x v="0"/>
    <m/>
  </r>
  <r>
    <s v="FB001422"/>
    <x v="2"/>
    <x v="7"/>
    <x v="2"/>
    <s v="XL"/>
    <m/>
    <s v="Black"/>
    <n v="30.44"/>
    <n v="0"/>
    <n v="0"/>
    <n v="0"/>
    <s v="No Discount"/>
    <n v="30.44"/>
    <s v="No Loss"/>
    <d v="2025-08-06T00:00:00"/>
    <n v="42"/>
    <s v="IN STOCK"/>
    <n v="0"/>
    <m/>
    <b v="0"/>
    <x v="0"/>
    <m/>
  </r>
  <r>
    <s v="FB001423"/>
    <x v="4"/>
    <x v="1"/>
    <x v="2"/>
    <s v="L"/>
    <s v="XS"/>
    <s v="Purple"/>
    <n v="114.29"/>
    <n v="0"/>
    <n v="0"/>
    <n v="0"/>
    <s v="No Discount"/>
    <n v="114.29"/>
    <s v="No Loss"/>
    <d v="2025-08-06T00:00:00"/>
    <n v="9"/>
    <s v="LOW STOCK"/>
    <n v="3.2"/>
    <n v="3.2"/>
    <b v="0"/>
    <x v="0"/>
    <m/>
  </r>
  <r>
    <s v="FB001424"/>
    <x v="3"/>
    <x v="1"/>
    <x v="2"/>
    <s v="S"/>
    <s v="XL"/>
    <s v="Gray"/>
    <n v="105.01"/>
    <n v="0.25800000000000001"/>
    <n v="25.8"/>
    <n v="27.092580000000002"/>
    <s v="Medium Discount"/>
    <n v="77.92"/>
    <s v="High Loss"/>
    <d v="2025-08-06T00:00:00"/>
    <n v="17"/>
    <s v="IN STOCK"/>
    <n v="3.2"/>
    <n v="3.2"/>
    <b v="0"/>
    <x v="0"/>
    <m/>
  </r>
  <r>
    <s v="FB001425"/>
    <x v="1"/>
    <x v="5"/>
    <x v="0"/>
    <s v="XL"/>
    <s v="XL"/>
    <s v="Blue"/>
    <n v="38.56"/>
    <n v="0"/>
    <n v="0"/>
    <n v="0"/>
    <s v="No Discount"/>
    <n v="38.56"/>
    <s v="No Loss"/>
    <d v="2025-05-30T00:00:00"/>
    <n v="39"/>
    <s v="IN STOCK"/>
    <n v="1.5"/>
    <n v="1.5"/>
    <b v="0"/>
    <x v="0"/>
    <m/>
  </r>
  <r>
    <s v="FB001426"/>
    <x v="3"/>
    <x v="3"/>
    <x v="1"/>
    <s v="OS"/>
    <s v="L"/>
    <s v="Purple"/>
    <n v="64.94"/>
    <n v="0"/>
    <n v="0"/>
    <n v="0"/>
    <s v="No Discount"/>
    <n v="64.94"/>
    <s v="No Loss"/>
    <d v="2025-08-06T00:00:00"/>
    <n v="32"/>
    <s v="IN STOCK"/>
    <n v="4.5"/>
    <n v="4.5"/>
    <b v="0"/>
    <x v="0"/>
    <m/>
  </r>
  <r>
    <s v="FB001427"/>
    <x v="4"/>
    <x v="3"/>
    <x v="1"/>
    <s v="XL"/>
    <s v="S"/>
    <s v="Green"/>
    <n v="63.74"/>
    <n v="0.56799999999999995"/>
    <n v="56.8"/>
    <n v="36.204319999999996"/>
    <s v="high Discount"/>
    <n v="27.54"/>
    <s v="High Loss"/>
    <d v="2025-08-06T00:00:00"/>
    <n v="15"/>
    <s v="IN STOCK"/>
    <n v="4"/>
    <n v="4"/>
    <b v="0"/>
    <x v="0"/>
    <m/>
  </r>
  <r>
    <s v="FB001428"/>
    <x v="1"/>
    <x v="0"/>
    <x v="3"/>
    <s v="M"/>
    <s v="XL"/>
    <s v="Pink"/>
    <n v="67.23"/>
    <n v="0.111"/>
    <n v="11.1"/>
    <n v="7.4625300000000001"/>
    <s v="Low Discount"/>
    <n v="59.77"/>
    <s v="Low Loss"/>
    <d v="2025-08-06T00:00:00"/>
    <n v="39"/>
    <s v="IN STOCK"/>
    <n v="1.1000000000000001"/>
    <n v="1.1000000000000001"/>
    <b v="1"/>
    <x v="6"/>
    <s v="Wrong Item"/>
  </r>
  <r>
    <s v="FB001429"/>
    <x v="2"/>
    <x v="4"/>
    <x v="0"/>
    <s v="OS"/>
    <m/>
    <s v="Blue"/>
    <n v="27.2"/>
    <n v="0.40399999999999997"/>
    <n v="40.4"/>
    <n v="10.988799999999999"/>
    <s v="high Discount"/>
    <n v="16.21"/>
    <s v="Medium Loss"/>
    <d v="2024-08-19T00:00:00"/>
    <n v="20"/>
    <s v="IN STOCK"/>
    <n v="4.3"/>
    <n v="4.3"/>
    <b v="0"/>
    <x v="0"/>
    <m/>
  </r>
  <r>
    <s v="FB001430"/>
    <x v="1"/>
    <x v="3"/>
    <x v="0"/>
    <s v="XS"/>
    <s v="XL"/>
    <s v="Brown"/>
    <n v="75.84"/>
    <n v="0"/>
    <n v="0"/>
    <n v="0"/>
    <s v="No Discount"/>
    <n v="75.84"/>
    <s v="No Loss"/>
    <d v="2025-04-07T00:00:00"/>
    <n v="8"/>
    <s v="LOW STOCK"/>
    <n v="4.0999999999999996"/>
    <n v="4.0999999999999996"/>
    <b v="0"/>
    <x v="0"/>
    <m/>
  </r>
  <r>
    <s v="FB001431"/>
    <x v="5"/>
    <x v="3"/>
    <x v="1"/>
    <s v="XS"/>
    <s v="M"/>
    <s v="Navy"/>
    <n v="68.510000000000005"/>
    <n v="0"/>
    <n v="0"/>
    <n v="0"/>
    <s v="No Discount"/>
    <n v="68.510000000000005"/>
    <s v="No Loss"/>
    <d v="2025-08-06T00:00:00"/>
    <n v="1"/>
    <s v="LOW STOCK"/>
    <n v="2.6"/>
    <n v="2.6"/>
    <b v="0"/>
    <x v="0"/>
    <m/>
  </r>
  <r>
    <s v="FB001432"/>
    <x v="2"/>
    <x v="3"/>
    <x v="3"/>
    <s v="L"/>
    <m/>
    <s v="Purple"/>
    <n v="25.49"/>
    <n v="0"/>
    <n v="0"/>
    <n v="0"/>
    <s v="No Discount"/>
    <n v="25.49"/>
    <s v="No Loss"/>
    <d v="2025-08-06T00:00:00"/>
    <n v="35"/>
    <s v="IN STOCK"/>
    <n v="2.2000000000000002"/>
    <n v="2.2000000000000002"/>
    <b v="1"/>
    <x v="2"/>
    <s v="Size Issue"/>
  </r>
  <r>
    <s v="FB001433"/>
    <x v="1"/>
    <x v="5"/>
    <x v="2"/>
    <s v="XL"/>
    <s v="XS"/>
    <s v="Red"/>
    <n v="70.88"/>
    <n v="0"/>
    <n v="0"/>
    <n v="0"/>
    <s v="No Discount"/>
    <n v="70.88"/>
    <s v="No Loss"/>
    <d v="2025-08-06T00:00:00"/>
    <n v="5"/>
    <s v="LOW STOCK"/>
    <n v="2.2999999999999998"/>
    <n v="2.2999999999999998"/>
    <b v="0"/>
    <x v="0"/>
    <m/>
  </r>
  <r>
    <s v="FB001434"/>
    <x v="3"/>
    <x v="4"/>
    <x v="3"/>
    <s v="XL"/>
    <s v="XS"/>
    <s v="White"/>
    <n v="176.64"/>
    <n v="8.8000000000000009E-2"/>
    <n v="8.8000000000000007"/>
    <n v="15.544320000000001"/>
    <s v="Low Discount"/>
    <n v="161.1"/>
    <s v="Medium Loss"/>
    <d v="2025-08-06T00:00:00"/>
    <n v="1"/>
    <s v="LOW STOCK"/>
    <n v="1.7"/>
    <n v="1.7"/>
    <b v="0"/>
    <x v="0"/>
    <m/>
  </r>
  <r>
    <s v="FB001435"/>
    <x v="5"/>
    <x v="5"/>
    <x v="1"/>
    <s v="XS"/>
    <s v="L"/>
    <s v="Red"/>
    <n v="50.76"/>
    <n v="0"/>
    <n v="0"/>
    <n v="0"/>
    <s v="No Discount"/>
    <n v="50.76"/>
    <s v="No Loss"/>
    <d v="2025-08-06T00:00:00"/>
    <n v="45"/>
    <s v="IN STOCK"/>
    <n v="4.3"/>
    <n v="4.3"/>
    <b v="0"/>
    <x v="0"/>
    <m/>
  </r>
  <r>
    <s v="FB001436"/>
    <x v="3"/>
    <x v="3"/>
    <x v="2"/>
    <s v="XS"/>
    <s v="XL"/>
    <s v="Pink"/>
    <n v="155.85"/>
    <n v="0"/>
    <n v="0"/>
    <n v="0"/>
    <s v="No Discount"/>
    <n v="155.85"/>
    <s v="No Loss"/>
    <d v="2025-08-06T00:00:00"/>
    <n v="1"/>
    <s v="LOW STOCK"/>
    <n v="3.5"/>
    <n v="3.5"/>
    <b v="0"/>
    <x v="0"/>
    <m/>
  </r>
  <r>
    <s v="FB001437"/>
    <x v="5"/>
    <x v="2"/>
    <x v="0"/>
    <s v="OS"/>
    <s v="XL"/>
    <s v="Blue"/>
    <n v="48.04"/>
    <n v="0"/>
    <n v="0"/>
    <n v="0"/>
    <s v="No Discount"/>
    <n v="48.04"/>
    <s v="No Loss"/>
    <d v="2025-05-01T00:00:00"/>
    <n v="20"/>
    <s v="IN STOCK"/>
    <n v="3.2"/>
    <n v="3.2"/>
    <b v="0"/>
    <x v="0"/>
    <m/>
  </r>
  <r>
    <s v="FB001438"/>
    <x v="1"/>
    <x v="7"/>
    <x v="0"/>
    <s v="XL"/>
    <s v="XS"/>
    <s v="Navy"/>
    <n v="44.79"/>
    <n v="0"/>
    <n v="0"/>
    <n v="0"/>
    <s v="No Discount"/>
    <n v="44.79"/>
    <s v="No Loss"/>
    <d v="2025-01-19T00:00:00"/>
    <n v="7"/>
    <s v="LOW STOCK"/>
    <n v="3.6"/>
    <n v="3.6"/>
    <b v="0"/>
    <x v="0"/>
    <m/>
  </r>
  <r>
    <s v="FB001439"/>
    <x v="1"/>
    <x v="1"/>
    <x v="0"/>
    <s v="OS"/>
    <s v="XS"/>
    <s v="Blue"/>
    <n v="76.95"/>
    <n v="0"/>
    <n v="0"/>
    <n v="0"/>
    <s v="No Discount"/>
    <n v="76.95"/>
    <s v="No Loss"/>
    <d v="2025-01-12T00:00:00"/>
    <n v="9"/>
    <s v="LOW STOCK"/>
    <n v="2.5"/>
    <n v="2.5"/>
    <b v="0"/>
    <x v="0"/>
    <m/>
  </r>
  <r>
    <s v="FB001440"/>
    <x v="2"/>
    <x v="6"/>
    <x v="3"/>
    <s v="OS"/>
    <m/>
    <s v="Gray"/>
    <n v="35.93"/>
    <n v="0.499"/>
    <n v="49.9"/>
    <n v="17.929069999999999"/>
    <s v="high Discount"/>
    <n v="18"/>
    <s v="Medium Loss"/>
    <d v="2025-08-06T00:00:00"/>
    <n v="26"/>
    <s v="IN STOCK"/>
    <n v="4"/>
    <n v="4"/>
    <b v="0"/>
    <x v="0"/>
    <m/>
  </r>
  <r>
    <s v="FB001441"/>
    <x v="4"/>
    <x v="2"/>
    <x v="2"/>
    <s v="XXL"/>
    <s v="XL"/>
    <s v="Red"/>
    <n v="49.97"/>
    <n v="0"/>
    <n v="0"/>
    <n v="0"/>
    <s v="No Discount"/>
    <n v="49.97"/>
    <s v="No Loss"/>
    <d v="2025-08-06T00:00:00"/>
    <n v="11"/>
    <s v="IN STOCK"/>
    <n v="3.5"/>
    <n v="3.5"/>
    <b v="1"/>
    <x v="4"/>
    <s v="Quality Issue"/>
  </r>
  <r>
    <s v="FB001442"/>
    <x v="0"/>
    <x v="4"/>
    <x v="3"/>
    <s v="OS"/>
    <m/>
    <s v="Black"/>
    <n v="169.69"/>
    <n v="0"/>
    <n v="0"/>
    <n v="0"/>
    <s v="No Discount"/>
    <n v="169.69"/>
    <s v="No Loss"/>
    <d v="2025-08-06T00:00:00"/>
    <n v="29"/>
    <s v="IN STOCK"/>
    <n v="1.9"/>
    <n v="1.9"/>
    <b v="0"/>
    <x v="0"/>
    <m/>
  </r>
  <r>
    <s v="FB001443"/>
    <x v="0"/>
    <x v="5"/>
    <x v="0"/>
    <s v="S"/>
    <m/>
    <s v="White"/>
    <n v="209.3"/>
    <n v="0.14199999999999999"/>
    <n v="14.2"/>
    <n v="29.720599999999997"/>
    <s v="Low Discount"/>
    <n v="179.58"/>
    <s v="High Loss"/>
    <d v="2025-03-05T00:00:00"/>
    <n v="29"/>
    <s v="IN STOCK"/>
    <n v="0"/>
    <m/>
    <b v="0"/>
    <x v="0"/>
    <m/>
  </r>
  <r>
    <s v="FB001444"/>
    <x v="1"/>
    <x v="6"/>
    <x v="3"/>
    <s v="XS"/>
    <s v="XXL"/>
    <s v="Pink"/>
    <n v="110.81"/>
    <n v="0"/>
    <n v="0"/>
    <n v="0"/>
    <s v="No Discount"/>
    <n v="110.81"/>
    <s v="No Loss"/>
    <d v="2025-08-06T00:00:00"/>
    <n v="24"/>
    <s v="IN STOCK"/>
    <n v="2.4"/>
    <n v="2.4"/>
    <b v="0"/>
    <x v="0"/>
    <m/>
  </r>
  <r>
    <s v="FB001445"/>
    <x v="2"/>
    <x v="1"/>
    <x v="2"/>
    <s v="XL"/>
    <m/>
    <s v="Black"/>
    <n v="61.84"/>
    <n v="0"/>
    <n v="0"/>
    <n v="0"/>
    <s v="No Discount"/>
    <n v="61.84"/>
    <s v="No Loss"/>
    <d v="2025-08-06T00:00:00"/>
    <n v="0"/>
    <s v="NO STOCK"/>
    <n v="4.7"/>
    <n v="4.7"/>
    <b v="1"/>
    <x v="6"/>
    <s v="Wrong Item"/>
  </r>
  <r>
    <s v="FB001446"/>
    <x v="0"/>
    <x v="0"/>
    <x v="0"/>
    <s v="OS"/>
    <s v="S"/>
    <s v="Brown"/>
    <n v="190.03"/>
    <n v="0.14899999999999999"/>
    <n v="14.9"/>
    <n v="28.31447"/>
    <s v="Low Discount"/>
    <n v="161.72"/>
    <s v="High Loss"/>
    <d v="2025-07-24T00:00:00"/>
    <n v="35"/>
    <s v="IN STOCK"/>
    <n v="4.0999999999999996"/>
    <n v="4.0999999999999996"/>
    <b v="0"/>
    <x v="0"/>
    <m/>
  </r>
  <r>
    <s v="FB001447"/>
    <x v="4"/>
    <x v="2"/>
    <x v="2"/>
    <s v="XS"/>
    <s v="XS"/>
    <s v="Red"/>
    <n v="74.27"/>
    <n v="0"/>
    <n v="0"/>
    <n v="0"/>
    <s v="No Discount"/>
    <n v="74.27"/>
    <s v="No Loss"/>
    <d v="2025-08-06T00:00:00"/>
    <n v="6"/>
    <s v="LOW STOCK"/>
    <n v="1.3"/>
    <n v="1.3"/>
    <b v="0"/>
    <x v="0"/>
    <m/>
  </r>
  <r>
    <s v="FB001448"/>
    <x v="0"/>
    <x v="0"/>
    <x v="2"/>
    <s v="OS"/>
    <s v="XL"/>
    <s v="Beige"/>
    <n v="163.77000000000001"/>
    <n v="0.30499999999999999"/>
    <n v="30.5"/>
    <n v="49.949850000000005"/>
    <s v="high Discount"/>
    <n v="113.82"/>
    <s v="High Loss"/>
    <d v="2025-08-06T00:00:00"/>
    <n v="10"/>
    <s v="LOW STOCK"/>
    <n v="0"/>
    <m/>
    <b v="0"/>
    <x v="0"/>
    <m/>
  </r>
  <r>
    <s v="FB001449"/>
    <x v="2"/>
    <x v="3"/>
    <x v="1"/>
    <s v="XXL"/>
    <m/>
    <s v="Purple"/>
    <n v="42.28"/>
    <n v="0"/>
    <n v="0"/>
    <n v="0"/>
    <s v="No Discount"/>
    <n v="42.28"/>
    <s v="No Loss"/>
    <d v="2025-08-06T00:00:00"/>
    <n v="22"/>
    <s v="IN STOCK"/>
    <n v="1.9"/>
    <n v="1.9"/>
    <b v="0"/>
    <x v="0"/>
    <m/>
  </r>
  <r>
    <s v="FB001450"/>
    <x v="4"/>
    <x v="4"/>
    <x v="3"/>
    <s v="XL"/>
    <s v="XS"/>
    <s v="Navy"/>
    <n v="52.92"/>
    <n v="0"/>
    <n v="0"/>
    <n v="0"/>
    <s v="No Discount"/>
    <n v="52.92"/>
    <s v="No Loss"/>
    <d v="2025-08-06T00:00:00"/>
    <n v="9"/>
    <s v="LOW STOCK"/>
    <n v="0"/>
    <m/>
    <b v="0"/>
    <x v="0"/>
    <m/>
  </r>
  <r>
    <s v="FB001451"/>
    <x v="2"/>
    <x v="5"/>
    <x v="0"/>
    <s v="S"/>
    <m/>
    <s v="Black"/>
    <n v="40.549999999999997"/>
    <n v="6.2E-2"/>
    <n v="6.2"/>
    <n v="2.5141"/>
    <s v="Low Discount"/>
    <n v="38.04"/>
    <s v="Low Loss"/>
    <d v="2024-09-09T00:00:00"/>
    <n v="26"/>
    <s v="IN STOCK"/>
    <n v="3.7"/>
    <n v="3.7"/>
    <b v="1"/>
    <x v="6"/>
    <s v="Wrong Item"/>
  </r>
  <r>
    <s v="FB001452"/>
    <x v="3"/>
    <x v="3"/>
    <x v="3"/>
    <s v="OS"/>
    <s v="XXL"/>
    <s v="Black"/>
    <n v="129.76"/>
    <n v="0"/>
    <n v="0"/>
    <n v="0"/>
    <s v="No Discount"/>
    <n v="129.76"/>
    <s v="No Loss"/>
    <d v="2025-08-06T00:00:00"/>
    <n v="39"/>
    <s v="IN STOCK"/>
    <n v="2.9"/>
    <n v="2.9"/>
    <b v="0"/>
    <x v="0"/>
    <m/>
  </r>
  <r>
    <s v="FB001453"/>
    <x v="1"/>
    <x v="5"/>
    <x v="2"/>
    <s v="XXL"/>
    <s v="XL"/>
    <s v="Purple"/>
    <n v="63.39"/>
    <n v="0"/>
    <n v="0"/>
    <n v="0"/>
    <s v="No Discount"/>
    <n v="63.39"/>
    <s v="No Loss"/>
    <d v="2025-08-06T00:00:00"/>
    <n v="50"/>
    <s v="IN STOCK"/>
    <n v="2.5"/>
    <n v="2.5"/>
    <b v="0"/>
    <x v="0"/>
    <m/>
  </r>
  <r>
    <s v="FB001454"/>
    <x v="3"/>
    <x v="4"/>
    <x v="2"/>
    <s v="OS"/>
    <s v="S"/>
    <s v="Navy"/>
    <n v="191.94"/>
    <n v="1.3000000000000001E-2"/>
    <n v="1.3"/>
    <n v="2.4952200000000002"/>
    <s v="Low Discount"/>
    <n v="189.44"/>
    <s v="Low Loss"/>
    <d v="2025-08-06T00:00:00"/>
    <n v="39"/>
    <s v="IN STOCK"/>
    <n v="1.2"/>
    <n v="1.2"/>
    <b v="0"/>
    <x v="0"/>
    <m/>
  </r>
  <r>
    <s v="FB001455"/>
    <x v="2"/>
    <x v="1"/>
    <x v="0"/>
    <s v="XS"/>
    <m/>
    <s v="Purple"/>
    <n v="63.42"/>
    <n v="0"/>
    <n v="0"/>
    <n v="0"/>
    <s v="No Discount"/>
    <n v="63.42"/>
    <s v="No Loss"/>
    <d v="2024-11-12T00:00:00"/>
    <n v="19"/>
    <s v="IN STOCK"/>
    <n v="2.9"/>
    <n v="2.9"/>
    <b v="1"/>
    <x v="1"/>
    <s v="Color Mismatch"/>
  </r>
  <r>
    <s v="FB001456"/>
    <x v="1"/>
    <x v="5"/>
    <x v="1"/>
    <s v="L"/>
    <s v="XXL"/>
    <s v="Beige"/>
    <n v="35.26"/>
    <n v="0"/>
    <n v="0"/>
    <n v="0"/>
    <s v="No Discount"/>
    <n v="35.26"/>
    <s v="No Loss"/>
    <d v="2025-08-06T00:00:00"/>
    <n v="47"/>
    <s v="IN STOCK"/>
    <n v="2.2999999999999998"/>
    <n v="2.2999999999999998"/>
    <b v="0"/>
    <x v="0"/>
    <m/>
  </r>
  <r>
    <s v="FB001457"/>
    <x v="2"/>
    <x v="6"/>
    <x v="0"/>
    <s v="OS"/>
    <m/>
    <s v="Green"/>
    <n v="44.5"/>
    <n v="0"/>
    <n v="0"/>
    <n v="0"/>
    <s v="No Discount"/>
    <n v="44.5"/>
    <s v="No Loss"/>
    <d v="2025-06-13T00:00:00"/>
    <n v="36"/>
    <s v="IN STOCK"/>
    <n v="3.6"/>
    <n v="3.6"/>
    <b v="0"/>
    <x v="0"/>
    <m/>
  </r>
  <r>
    <s v="FB001458"/>
    <x v="3"/>
    <x v="0"/>
    <x v="0"/>
    <s v="OS"/>
    <s v="XS"/>
    <s v="White"/>
    <n v="186.78"/>
    <n v="0.434"/>
    <n v="43.4"/>
    <n v="81.062520000000006"/>
    <s v="high Discount"/>
    <n v="105.72"/>
    <s v="High Loss"/>
    <d v="2024-10-03T00:00:00"/>
    <n v="42"/>
    <s v="IN STOCK"/>
    <n v="2.5"/>
    <n v="2.5"/>
    <b v="1"/>
    <x v="3"/>
    <s v="Damaged"/>
  </r>
  <r>
    <s v="FB001459"/>
    <x v="1"/>
    <x v="4"/>
    <x v="3"/>
    <s v="XL"/>
    <s v="L"/>
    <s v="Black"/>
    <n v="116.71"/>
    <n v="0.55399999999999994"/>
    <n v="55.4"/>
    <n v="64.657339999999991"/>
    <s v="high Discount"/>
    <n v="52.05"/>
    <s v="High Loss"/>
    <d v="2025-08-06T00:00:00"/>
    <n v="15"/>
    <s v="IN STOCK"/>
    <n v="0"/>
    <m/>
    <b v="0"/>
    <x v="0"/>
    <m/>
  </r>
  <r>
    <s v="FB001460"/>
    <x v="2"/>
    <x v="4"/>
    <x v="1"/>
    <s v="OS"/>
    <m/>
    <s v="Black"/>
    <n v="24.5"/>
    <n v="0"/>
    <n v="0"/>
    <n v="0"/>
    <s v="No Discount"/>
    <n v="24.5"/>
    <s v="No Loss"/>
    <d v="2025-08-06T00:00:00"/>
    <n v="7"/>
    <s v="LOW STOCK"/>
    <n v="0"/>
    <m/>
    <b v="0"/>
    <x v="0"/>
    <m/>
  </r>
  <r>
    <s v="FB001461"/>
    <x v="2"/>
    <x v="6"/>
    <x v="1"/>
    <s v="XXL"/>
    <m/>
    <s v="Navy"/>
    <n v="23.2"/>
    <n v="0"/>
    <n v="0"/>
    <n v="0"/>
    <s v="No Discount"/>
    <n v="23.2"/>
    <s v="No Loss"/>
    <d v="2025-08-06T00:00:00"/>
    <n v="17"/>
    <s v="IN STOCK"/>
    <n v="2.1"/>
    <n v="2.1"/>
    <b v="0"/>
    <x v="0"/>
    <m/>
  </r>
  <r>
    <s v="FB001462"/>
    <x v="4"/>
    <x v="7"/>
    <x v="1"/>
    <s v="L"/>
    <s v="XL"/>
    <s v="Green"/>
    <n v="73.8"/>
    <n v="0"/>
    <n v="0"/>
    <n v="0"/>
    <s v="No Discount"/>
    <n v="73.8"/>
    <s v="No Loss"/>
    <d v="2025-08-06T00:00:00"/>
    <n v="42"/>
    <s v="IN STOCK"/>
    <n v="0"/>
    <m/>
    <b v="0"/>
    <x v="0"/>
    <m/>
  </r>
  <r>
    <s v="FB001463"/>
    <x v="2"/>
    <x v="0"/>
    <x v="3"/>
    <s v="S"/>
    <m/>
    <s v="Black"/>
    <n v="51.33"/>
    <n v="0"/>
    <n v="0"/>
    <n v="0"/>
    <s v="No Discount"/>
    <n v="51.33"/>
    <s v="No Loss"/>
    <d v="2025-08-06T00:00:00"/>
    <n v="25"/>
    <s v="IN STOCK"/>
    <n v="1.2"/>
    <n v="1.2"/>
    <b v="0"/>
    <x v="0"/>
    <m/>
  </r>
  <r>
    <s v="FB001464"/>
    <x v="4"/>
    <x v="4"/>
    <x v="1"/>
    <s v="XL"/>
    <s v="XXL"/>
    <s v="Green"/>
    <n v="80.209999999999994"/>
    <n v="0"/>
    <n v="0"/>
    <n v="0"/>
    <s v="No Discount"/>
    <n v="80.209999999999994"/>
    <s v="No Loss"/>
    <d v="2025-08-06T00:00:00"/>
    <n v="17"/>
    <s v="IN STOCK"/>
    <n v="0"/>
    <m/>
    <b v="0"/>
    <x v="0"/>
    <m/>
  </r>
  <r>
    <s v="FB001465"/>
    <x v="0"/>
    <x v="1"/>
    <x v="2"/>
    <s v="XXL"/>
    <s v="L"/>
    <s v="Brown"/>
    <n v="237.65"/>
    <n v="0"/>
    <n v="0"/>
    <n v="0"/>
    <s v="No Discount"/>
    <n v="237.65"/>
    <s v="No Loss"/>
    <d v="2025-08-06T00:00:00"/>
    <n v="3"/>
    <s v="LOW STOCK"/>
    <n v="3.4"/>
    <n v="3.4"/>
    <b v="0"/>
    <x v="0"/>
    <m/>
  </r>
  <r>
    <s v="FB001466"/>
    <x v="4"/>
    <x v="2"/>
    <x v="0"/>
    <s v="S"/>
    <s v="S"/>
    <s v="Brown"/>
    <n v="96.35"/>
    <n v="0"/>
    <n v="0"/>
    <n v="0"/>
    <s v="No Discount"/>
    <n v="96.35"/>
    <s v="No Loss"/>
    <d v="2024-12-12T00:00:00"/>
    <n v="34"/>
    <s v="IN STOCK"/>
    <n v="3.7"/>
    <n v="3.7"/>
    <b v="0"/>
    <x v="0"/>
    <m/>
  </r>
  <r>
    <s v="FB001467"/>
    <x v="4"/>
    <x v="2"/>
    <x v="1"/>
    <s v="S"/>
    <s v="XL"/>
    <s v="White"/>
    <n v="91.92"/>
    <n v="0"/>
    <n v="0"/>
    <n v="0"/>
    <s v="No Discount"/>
    <n v="91.92"/>
    <s v="No Loss"/>
    <d v="2025-08-06T00:00:00"/>
    <n v="29"/>
    <s v="IN STOCK"/>
    <n v="0"/>
    <m/>
    <b v="0"/>
    <x v="0"/>
    <m/>
  </r>
  <r>
    <s v="FB001468"/>
    <x v="3"/>
    <x v="2"/>
    <x v="2"/>
    <s v="XXL"/>
    <s v="XXL"/>
    <s v="Navy"/>
    <n v="194.05"/>
    <n v="0"/>
    <n v="0"/>
    <n v="0"/>
    <s v="No Discount"/>
    <n v="194.05"/>
    <s v="No Loss"/>
    <d v="2025-08-06T00:00:00"/>
    <n v="7"/>
    <s v="LOW STOCK"/>
    <n v="1.3"/>
    <n v="1.3"/>
    <b v="0"/>
    <x v="0"/>
    <m/>
  </r>
  <r>
    <s v="FB001469"/>
    <x v="0"/>
    <x v="6"/>
    <x v="3"/>
    <s v="OS"/>
    <s v="S"/>
    <s v="Red"/>
    <n v="166.88"/>
    <n v="0"/>
    <n v="0"/>
    <n v="0"/>
    <s v="No Discount"/>
    <n v="166.88"/>
    <s v="No Loss"/>
    <d v="2025-08-06T00:00:00"/>
    <n v="10"/>
    <s v="LOW STOCK"/>
    <n v="1.6"/>
    <n v="1.6"/>
    <b v="0"/>
    <x v="0"/>
    <m/>
  </r>
  <r>
    <s v="FB001470"/>
    <x v="4"/>
    <x v="4"/>
    <x v="1"/>
    <s v="L"/>
    <s v="S"/>
    <s v="Red"/>
    <n v="47.01"/>
    <n v="0"/>
    <n v="0"/>
    <n v="0"/>
    <s v="No Discount"/>
    <n v="47.01"/>
    <s v="No Loss"/>
    <d v="2025-08-06T00:00:00"/>
    <n v="17"/>
    <s v="IN STOCK"/>
    <n v="1.6"/>
    <n v="1.6"/>
    <b v="0"/>
    <x v="0"/>
    <m/>
  </r>
  <r>
    <s v="FB001471"/>
    <x v="3"/>
    <x v="2"/>
    <x v="1"/>
    <s v="L"/>
    <s v="XXL"/>
    <s v="Pink"/>
    <n v="119.91"/>
    <n v="0.20300000000000001"/>
    <n v="20.3"/>
    <n v="24.341730000000002"/>
    <s v="Medium Discount"/>
    <n v="95.57"/>
    <s v="High Loss"/>
    <d v="2025-08-06T00:00:00"/>
    <n v="15"/>
    <s v="IN STOCK"/>
    <n v="3.8"/>
    <n v="3.8"/>
    <b v="0"/>
    <x v="0"/>
    <m/>
  </r>
  <r>
    <s v="FB001472"/>
    <x v="2"/>
    <x v="4"/>
    <x v="2"/>
    <s v="OS"/>
    <m/>
    <s v="Red"/>
    <n v="73.73"/>
    <n v="0.54200000000000004"/>
    <n v="54.2"/>
    <n v="39.961660000000002"/>
    <s v="high Discount"/>
    <n v="33.770000000000003"/>
    <s v="High Loss"/>
    <d v="2025-08-06T00:00:00"/>
    <n v="37"/>
    <s v="IN STOCK"/>
    <n v="4.0999999999999996"/>
    <n v="4.0999999999999996"/>
    <b v="0"/>
    <x v="0"/>
    <m/>
  </r>
  <r>
    <s v="FB001473"/>
    <x v="4"/>
    <x v="0"/>
    <x v="2"/>
    <s v="OS"/>
    <s v="L"/>
    <s v="Black"/>
    <n v="108.65"/>
    <n v="0"/>
    <n v="0"/>
    <n v="0"/>
    <s v="No Discount"/>
    <n v="108.65"/>
    <s v="No Loss"/>
    <d v="2025-08-06T00:00:00"/>
    <n v="26"/>
    <s v="IN STOCK"/>
    <n v="2.4"/>
    <n v="2.4"/>
    <b v="0"/>
    <x v="0"/>
    <m/>
  </r>
  <r>
    <s v="FB001474"/>
    <x v="3"/>
    <x v="3"/>
    <x v="3"/>
    <s v="XL"/>
    <s v="L"/>
    <s v="Red"/>
    <n v="186.53"/>
    <n v="0"/>
    <n v="0"/>
    <n v="0"/>
    <s v="No Discount"/>
    <n v="186.53"/>
    <s v="No Loss"/>
    <d v="2025-08-06T00:00:00"/>
    <n v="31"/>
    <s v="IN STOCK"/>
    <n v="2.6"/>
    <n v="2.6"/>
    <b v="0"/>
    <x v="0"/>
    <m/>
  </r>
  <r>
    <s v="FB001475"/>
    <x v="2"/>
    <x v="0"/>
    <x v="3"/>
    <s v="L"/>
    <m/>
    <s v="Red"/>
    <n v="60.34"/>
    <n v="0"/>
    <n v="0"/>
    <n v="0"/>
    <s v="No Discount"/>
    <n v="60.34"/>
    <s v="No Loss"/>
    <d v="2025-08-06T00:00:00"/>
    <n v="13"/>
    <s v="IN STOCK"/>
    <n v="0"/>
    <m/>
    <b v="0"/>
    <x v="0"/>
    <m/>
  </r>
  <r>
    <s v="FB001476"/>
    <x v="2"/>
    <x v="3"/>
    <x v="1"/>
    <s v="OS"/>
    <m/>
    <s v="Navy"/>
    <n v="61.16"/>
    <n v="0"/>
    <n v="0"/>
    <n v="0"/>
    <s v="No Discount"/>
    <n v="61.16"/>
    <s v="No Loss"/>
    <d v="2025-08-06T00:00:00"/>
    <n v="28"/>
    <s v="IN STOCK"/>
    <n v="2.2999999999999998"/>
    <n v="2.2999999999999998"/>
    <b v="0"/>
    <x v="0"/>
    <m/>
  </r>
  <r>
    <s v="FB001477"/>
    <x v="3"/>
    <x v="7"/>
    <x v="1"/>
    <s v="M"/>
    <s v="XL"/>
    <s v="Green"/>
    <n v="168.85"/>
    <n v="0.35299999999999998"/>
    <n v="35.299999999999997"/>
    <n v="59.604049999999994"/>
    <s v="high Discount"/>
    <n v="109.25"/>
    <s v="High Loss"/>
    <d v="2025-08-06T00:00:00"/>
    <n v="10"/>
    <s v="LOW STOCK"/>
    <n v="3.3"/>
    <n v="3.3"/>
    <b v="0"/>
    <x v="0"/>
    <m/>
  </r>
  <r>
    <s v="FB001478"/>
    <x v="1"/>
    <x v="5"/>
    <x v="1"/>
    <s v="M"/>
    <s v="L"/>
    <s v="Navy"/>
    <n v="60.08"/>
    <n v="0"/>
    <n v="0"/>
    <n v="0"/>
    <s v="No Discount"/>
    <n v="60.08"/>
    <s v="No Loss"/>
    <d v="2025-08-06T00:00:00"/>
    <n v="26"/>
    <s v="IN STOCK"/>
    <n v="0"/>
    <m/>
    <b v="0"/>
    <x v="0"/>
    <m/>
  </r>
  <r>
    <s v="FB001479"/>
    <x v="2"/>
    <x v="6"/>
    <x v="3"/>
    <s v="XS"/>
    <m/>
    <s v="Brown"/>
    <n v="39.39"/>
    <n v="0.29799999999999999"/>
    <n v="29.8"/>
    <n v="11.73822"/>
    <s v="Medium Discount"/>
    <n v="27.65"/>
    <s v="Medium Loss"/>
    <d v="2025-08-06T00:00:00"/>
    <n v="13"/>
    <s v="IN STOCK"/>
    <n v="4.7"/>
    <n v="4.7"/>
    <b v="0"/>
    <x v="0"/>
    <m/>
  </r>
  <r>
    <s v="FB001480"/>
    <x v="1"/>
    <x v="6"/>
    <x v="2"/>
    <s v="XS"/>
    <s v="M"/>
    <s v="Pink"/>
    <n v="111.09"/>
    <n v="0"/>
    <n v="0"/>
    <n v="0"/>
    <s v="No Discount"/>
    <n v="111.09"/>
    <s v="No Loss"/>
    <d v="2025-08-06T00:00:00"/>
    <n v="24"/>
    <s v="IN STOCK"/>
    <n v="2.2000000000000002"/>
    <n v="2.2000000000000002"/>
    <b v="0"/>
    <x v="0"/>
    <m/>
  </r>
  <r>
    <s v="FB001481"/>
    <x v="5"/>
    <x v="2"/>
    <x v="3"/>
    <s v="OS"/>
    <s v="M"/>
    <s v="Green"/>
    <n v="133.51"/>
    <n v="0"/>
    <n v="0"/>
    <n v="0"/>
    <s v="No Discount"/>
    <n v="133.51"/>
    <s v="No Loss"/>
    <d v="2025-08-06T00:00:00"/>
    <n v="5"/>
    <s v="LOW STOCK"/>
    <n v="1.7"/>
    <n v="1.7"/>
    <b v="1"/>
    <x v="4"/>
    <s v="Quality Issue"/>
  </r>
  <r>
    <s v="FB001482"/>
    <x v="5"/>
    <x v="7"/>
    <x v="3"/>
    <s v="XL"/>
    <s v="XS"/>
    <s v="Pink"/>
    <n v="158.9"/>
    <n v="0.435"/>
    <n v="43.5"/>
    <n v="69.121499999999997"/>
    <s v="high Discount"/>
    <n v="89.78"/>
    <s v="High Loss"/>
    <d v="2025-08-06T00:00:00"/>
    <n v="46"/>
    <s v="IN STOCK"/>
    <n v="0"/>
    <m/>
    <b v="0"/>
    <x v="0"/>
    <m/>
  </r>
  <r>
    <s v="FB001483"/>
    <x v="1"/>
    <x v="6"/>
    <x v="0"/>
    <s v="XXL"/>
    <s v="XS"/>
    <s v="Brown"/>
    <n v="65.27"/>
    <n v="0.19"/>
    <n v="19"/>
    <n v="12.401299999999999"/>
    <s v="Low Discount"/>
    <n v="52.87"/>
    <s v="Medium Loss"/>
    <d v="2024-08-29T00:00:00"/>
    <n v="48"/>
    <s v="IN STOCK"/>
    <n v="3"/>
    <n v="3"/>
    <b v="0"/>
    <x v="0"/>
    <m/>
  </r>
  <r>
    <s v="FB001484"/>
    <x v="2"/>
    <x v="0"/>
    <x v="2"/>
    <s v="XL"/>
    <m/>
    <s v="Green"/>
    <n v="72.37"/>
    <n v="0"/>
    <n v="0"/>
    <n v="0"/>
    <s v="No Discount"/>
    <n v="72.37"/>
    <s v="No Loss"/>
    <d v="2025-08-06T00:00:00"/>
    <n v="24"/>
    <s v="IN STOCK"/>
    <n v="2.9"/>
    <n v="2.9"/>
    <b v="0"/>
    <x v="0"/>
    <m/>
  </r>
  <r>
    <s v="FB001485"/>
    <x v="5"/>
    <x v="2"/>
    <x v="2"/>
    <s v="OS"/>
    <s v="XL"/>
    <s v="White"/>
    <n v="133.88"/>
    <n v="0.215"/>
    <n v="21.5"/>
    <n v="28.784199999999998"/>
    <s v="Medium Discount"/>
    <n v="105.1"/>
    <s v="High Loss"/>
    <d v="2025-08-06T00:00:00"/>
    <n v="42"/>
    <s v="IN STOCK"/>
    <n v="3.1"/>
    <n v="3.1"/>
    <b v="0"/>
    <x v="0"/>
    <m/>
  </r>
  <r>
    <s v="FB001486"/>
    <x v="1"/>
    <x v="0"/>
    <x v="0"/>
    <s v="S"/>
    <s v="XXL"/>
    <s v="Purple"/>
    <n v="74.3"/>
    <n v="0"/>
    <n v="0"/>
    <n v="0"/>
    <s v="No Discount"/>
    <n v="74.3"/>
    <s v="No Loss"/>
    <d v="2024-12-07T00:00:00"/>
    <n v="24"/>
    <s v="IN STOCK"/>
    <n v="4.4000000000000004"/>
    <n v="4.4000000000000004"/>
    <b v="0"/>
    <x v="0"/>
    <m/>
  </r>
  <r>
    <s v="FB001487"/>
    <x v="3"/>
    <x v="2"/>
    <x v="3"/>
    <s v="L"/>
    <s v="XL"/>
    <s v="Beige"/>
    <n v="192.74"/>
    <n v="0.47499999999999998"/>
    <n v="47.5"/>
    <n v="91.551500000000004"/>
    <s v="high Discount"/>
    <n v="101.19"/>
    <s v="High Loss"/>
    <d v="2025-08-06T00:00:00"/>
    <n v="40"/>
    <s v="IN STOCK"/>
    <n v="2.8"/>
    <n v="2.8"/>
    <b v="0"/>
    <x v="0"/>
    <m/>
  </r>
  <r>
    <s v="FB001488"/>
    <x v="2"/>
    <x v="1"/>
    <x v="3"/>
    <s v="XS"/>
    <m/>
    <s v="Red"/>
    <n v="79.02"/>
    <n v="2.5000000000000001E-2"/>
    <n v="2.5"/>
    <n v="1.9755"/>
    <s v="Low Discount"/>
    <n v="77.040000000000006"/>
    <s v="Low Loss"/>
    <d v="2025-08-06T00:00:00"/>
    <n v="16"/>
    <s v="IN STOCK"/>
    <n v="2.8"/>
    <n v="2.8"/>
    <b v="0"/>
    <x v="0"/>
    <m/>
  </r>
  <r>
    <s v="FB001489"/>
    <x v="3"/>
    <x v="0"/>
    <x v="1"/>
    <s v="L"/>
    <s v="S"/>
    <s v="White"/>
    <n v="158.29"/>
    <n v="0"/>
    <n v="0"/>
    <n v="0"/>
    <s v="No Discount"/>
    <n v="158.29"/>
    <s v="No Loss"/>
    <d v="2025-08-06T00:00:00"/>
    <n v="5"/>
    <s v="LOW STOCK"/>
    <n v="1.6"/>
    <n v="1.6"/>
    <b v="0"/>
    <x v="0"/>
    <m/>
  </r>
  <r>
    <s v="FB001490"/>
    <x v="1"/>
    <x v="5"/>
    <x v="1"/>
    <s v="M"/>
    <s v="L"/>
    <s v="White"/>
    <n v="69.33"/>
    <n v="0"/>
    <n v="0"/>
    <n v="0"/>
    <s v="No Discount"/>
    <n v="69.33"/>
    <s v="No Loss"/>
    <d v="2025-08-06T00:00:00"/>
    <n v="26"/>
    <s v="IN STOCK"/>
    <n v="4.9000000000000004"/>
    <n v="4.9000000000000004"/>
    <b v="0"/>
    <x v="0"/>
    <m/>
  </r>
  <r>
    <s v="FB001491"/>
    <x v="3"/>
    <x v="6"/>
    <x v="1"/>
    <s v="S"/>
    <s v="XS"/>
    <s v="Brown"/>
    <n v="86.89"/>
    <n v="0.19500000000000001"/>
    <n v="19.5"/>
    <n v="16.943550000000002"/>
    <s v="Low Discount"/>
    <n v="69.95"/>
    <s v="Medium Loss"/>
    <d v="2025-08-06T00:00:00"/>
    <n v="49"/>
    <s v="IN STOCK"/>
    <n v="1.3"/>
    <n v="1.3"/>
    <b v="0"/>
    <x v="0"/>
    <m/>
  </r>
  <r>
    <s v="FB001492"/>
    <x v="0"/>
    <x v="1"/>
    <x v="2"/>
    <s v="S"/>
    <s v="L"/>
    <s v="Green"/>
    <n v="162.75"/>
    <n v="0"/>
    <n v="0"/>
    <n v="0"/>
    <s v="No Discount"/>
    <n v="162.75"/>
    <s v="No Loss"/>
    <d v="2025-08-06T00:00:00"/>
    <n v="13"/>
    <s v="IN STOCK"/>
    <n v="4.8"/>
    <n v="4.8"/>
    <b v="0"/>
    <x v="0"/>
    <m/>
  </r>
  <r>
    <s v="FB001493"/>
    <x v="3"/>
    <x v="4"/>
    <x v="3"/>
    <s v="S"/>
    <s v="M"/>
    <s v="Blue"/>
    <n v="70.28"/>
    <n v="0"/>
    <n v="0"/>
    <n v="0"/>
    <s v="No Discount"/>
    <n v="70.28"/>
    <s v="No Loss"/>
    <d v="2025-08-06T00:00:00"/>
    <n v="27"/>
    <s v="IN STOCK"/>
    <n v="4.7"/>
    <n v="4.7"/>
    <b v="0"/>
    <x v="0"/>
    <m/>
  </r>
  <r>
    <s v="FB001494"/>
    <x v="4"/>
    <x v="3"/>
    <x v="0"/>
    <s v="XL"/>
    <s v="S"/>
    <s v="White"/>
    <n v="111.91"/>
    <n v="0"/>
    <n v="0"/>
    <n v="0"/>
    <s v="No Discount"/>
    <n v="111.91"/>
    <s v="No Loss"/>
    <d v="2025-07-22T00:00:00"/>
    <n v="28"/>
    <s v="IN STOCK"/>
    <n v="1.8"/>
    <n v="1.8"/>
    <b v="0"/>
    <x v="0"/>
    <m/>
  </r>
  <r>
    <s v="FB001495"/>
    <x v="0"/>
    <x v="5"/>
    <x v="2"/>
    <s v="XS"/>
    <s v="S"/>
    <s v="Purple"/>
    <n v="143.76"/>
    <n v="0"/>
    <n v="0"/>
    <n v="0"/>
    <s v="No Discount"/>
    <n v="143.76"/>
    <s v="No Loss"/>
    <d v="2025-08-06T00:00:00"/>
    <n v="7"/>
    <s v="LOW STOCK"/>
    <n v="2"/>
    <n v="2"/>
    <b v="0"/>
    <x v="0"/>
    <m/>
  </r>
  <r>
    <s v="FB001496"/>
    <x v="5"/>
    <x v="4"/>
    <x v="3"/>
    <s v="S"/>
    <s v="S"/>
    <s v="Purple"/>
    <n v="169.89"/>
    <n v="0"/>
    <n v="0"/>
    <n v="0"/>
    <s v="No Discount"/>
    <n v="169.89"/>
    <s v="No Loss"/>
    <d v="2025-08-06T00:00:00"/>
    <n v="17"/>
    <s v="IN STOCK"/>
    <n v="1.3"/>
    <n v="1.3"/>
    <b v="0"/>
    <x v="0"/>
    <m/>
  </r>
  <r>
    <s v="FB001497"/>
    <x v="3"/>
    <x v="0"/>
    <x v="1"/>
    <s v="L"/>
    <s v="XL"/>
    <s v="White"/>
    <n v="72.290000000000006"/>
    <n v="0"/>
    <n v="0"/>
    <n v="0"/>
    <s v="No Discount"/>
    <n v="72.290000000000006"/>
    <s v="No Loss"/>
    <d v="2025-08-06T00:00:00"/>
    <n v="0"/>
    <s v="NO STOCK"/>
    <n v="0"/>
    <m/>
    <b v="0"/>
    <x v="0"/>
    <m/>
  </r>
  <r>
    <s v="FB001498"/>
    <x v="0"/>
    <x v="7"/>
    <x v="1"/>
    <s v="L"/>
    <s v="XS"/>
    <s v="Purple"/>
    <n v="136.19999999999999"/>
    <n v="0.10199999999999999"/>
    <n v="10.199999999999999"/>
    <n v="13.892399999999999"/>
    <s v="Low Discount"/>
    <n v="122.31"/>
    <s v="Medium Loss"/>
    <d v="2025-08-06T00:00:00"/>
    <n v="10"/>
    <s v="LOW STOCK"/>
    <n v="3.6"/>
    <n v="3.6"/>
    <b v="0"/>
    <x v="0"/>
    <m/>
  </r>
  <r>
    <s v="FB001499"/>
    <x v="1"/>
    <x v="7"/>
    <x v="3"/>
    <s v="OS"/>
    <s v="S"/>
    <s v="Red"/>
    <n v="92.5"/>
    <n v="0"/>
    <n v="0"/>
    <n v="0"/>
    <s v="No Discount"/>
    <n v="92.5"/>
    <s v="No Loss"/>
    <d v="2025-08-06T00:00:00"/>
    <n v="15"/>
    <s v="IN STOCK"/>
    <n v="2.7"/>
    <n v="2.7"/>
    <b v="0"/>
    <x v="0"/>
    <m/>
  </r>
  <r>
    <s v="FB001500"/>
    <x v="3"/>
    <x v="2"/>
    <x v="1"/>
    <s v="XS"/>
    <s v="L"/>
    <s v="Purple"/>
    <n v="89.5"/>
    <n v="0"/>
    <n v="0"/>
    <n v="0"/>
    <s v="No Discount"/>
    <n v="89.5"/>
    <s v="No Loss"/>
    <d v="2025-08-06T00:00:00"/>
    <n v="5"/>
    <s v="LOW STOCK"/>
    <n v="4.5"/>
    <n v="4.5"/>
    <b v="0"/>
    <x v="0"/>
    <m/>
  </r>
  <r>
    <s v="FB001501"/>
    <x v="0"/>
    <x v="4"/>
    <x v="0"/>
    <s v="L"/>
    <s v="L"/>
    <s v="Beige"/>
    <n v="161.51"/>
    <n v="0"/>
    <n v="0"/>
    <n v="0"/>
    <s v="No Discount"/>
    <n v="161.51"/>
    <s v="No Loss"/>
    <d v="2024-11-02T00:00:00"/>
    <n v="22"/>
    <s v="IN STOCK"/>
    <n v="4.7"/>
    <n v="4.7"/>
    <b v="0"/>
    <x v="0"/>
    <m/>
  </r>
  <r>
    <s v="FB001502"/>
    <x v="2"/>
    <x v="0"/>
    <x v="1"/>
    <s v="XL"/>
    <m/>
    <s v="Brown"/>
    <n v="38.119999999999997"/>
    <n v="0"/>
    <n v="0"/>
    <n v="0"/>
    <s v="No Discount"/>
    <n v="38.119999999999997"/>
    <s v="No Loss"/>
    <d v="2025-08-06T00:00:00"/>
    <n v="18"/>
    <s v="IN STOCK"/>
    <n v="4.4000000000000004"/>
    <n v="4.4000000000000004"/>
    <b v="1"/>
    <x v="3"/>
    <s v="Damaged"/>
  </r>
  <r>
    <s v="FB001503"/>
    <x v="5"/>
    <x v="4"/>
    <x v="3"/>
    <s v="L"/>
    <s v="XS"/>
    <s v="Purple"/>
    <n v="100.08"/>
    <n v="0"/>
    <n v="0"/>
    <n v="0"/>
    <s v="No Discount"/>
    <n v="100.08"/>
    <s v="No Loss"/>
    <d v="2025-08-06T00:00:00"/>
    <n v="23"/>
    <s v="IN STOCK"/>
    <n v="4.8"/>
    <n v="4.8"/>
    <b v="0"/>
    <x v="0"/>
    <m/>
  </r>
  <r>
    <s v="FB001504"/>
    <x v="5"/>
    <x v="1"/>
    <x v="2"/>
    <s v="XXL"/>
    <s v="L"/>
    <s v="White"/>
    <n v="161.79"/>
    <n v="0"/>
    <n v="0"/>
    <n v="0"/>
    <s v="No Discount"/>
    <n v="161.79"/>
    <s v="No Loss"/>
    <d v="2025-08-06T00:00:00"/>
    <n v="44"/>
    <s v="IN STOCK"/>
    <n v="3.9"/>
    <n v="3.9"/>
    <b v="0"/>
    <x v="0"/>
    <m/>
  </r>
  <r>
    <s v="FB001505"/>
    <x v="4"/>
    <x v="5"/>
    <x v="2"/>
    <s v="M"/>
    <s v="XL"/>
    <s v="Black"/>
    <n v="46.42"/>
    <n v="0"/>
    <n v="0"/>
    <n v="0"/>
    <s v="No Discount"/>
    <n v="46.42"/>
    <s v="No Loss"/>
    <d v="2025-08-06T00:00:00"/>
    <n v="2"/>
    <s v="LOW STOCK"/>
    <n v="3.7"/>
    <n v="3.7"/>
    <b v="1"/>
    <x v="5"/>
    <s v="Changed Mind"/>
  </r>
  <r>
    <s v="FB001506"/>
    <x v="3"/>
    <x v="1"/>
    <x v="0"/>
    <s v="L"/>
    <s v="L"/>
    <s v="Brown"/>
    <n v="199.33"/>
    <n v="0.44299999999999995"/>
    <n v="44.3"/>
    <n v="88.303190000000001"/>
    <s v="high Discount"/>
    <n v="111.03"/>
    <s v="High Loss"/>
    <d v="2024-11-20T00:00:00"/>
    <n v="19"/>
    <s v="IN STOCK"/>
    <n v="1.8"/>
    <n v="1.8"/>
    <b v="0"/>
    <x v="0"/>
    <m/>
  </r>
  <r>
    <s v="FB001507"/>
    <x v="4"/>
    <x v="7"/>
    <x v="3"/>
    <s v="OS"/>
    <s v="XXL"/>
    <s v="Black"/>
    <n v="25.77"/>
    <n v="0"/>
    <n v="0"/>
    <n v="0"/>
    <s v="No Discount"/>
    <n v="25.77"/>
    <s v="No Loss"/>
    <d v="2025-08-06T00:00:00"/>
    <n v="5"/>
    <s v="LOW STOCK"/>
    <n v="3.1"/>
    <n v="3.1"/>
    <b v="0"/>
    <x v="0"/>
    <m/>
  </r>
  <r>
    <s v="FB001508"/>
    <x v="3"/>
    <x v="7"/>
    <x v="1"/>
    <s v="M"/>
    <s v="M"/>
    <s v="Navy"/>
    <n v="180.67"/>
    <n v="0"/>
    <n v="0"/>
    <n v="0"/>
    <s v="No Discount"/>
    <n v="180.67"/>
    <s v="No Loss"/>
    <d v="2025-08-06T00:00:00"/>
    <n v="31"/>
    <s v="IN STOCK"/>
    <n v="4.4000000000000004"/>
    <n v="4.4000000000000004"/>
    <b v="0"/>
    <x v="0"/>
    <m/>
  </r>
  <r>
    <s v="FB001509"/>
    <x v="3"/>
    <x v="7"/>
    <x v="0"/>
    <s v="L"/>
    <s v="L"/>
    <s v="Green"/>
    <n v="198.13"/>
    <n v="0.46100000000000002"/>
    <n v="46.1"/>
    <n v="91.33793"/>
    <s v="high Discount"/>
    <n v="106.79"/>
    <s v="High Loss"/>
    <d v="2025-05-19T00:00:00"/>
    <n v="8"/>
    <s v="LOW STOCK"/>
    <n v="3.2"/>
    <n v="3.2"/>
    <b v="0"/>
    <x v="0"/>
    <m/>
  </r>
  <r>
    <s v="FB001510"/>
    <x v="5"/>
    <x v="1"/>
    <x v="3"/>
    <s v="OS"/>
    <m/>
    <s v="Navy"/>
    <n v="161.53"/>
    <n v="5.2999999999999999E-2"/>
    <n v="5.3"/>
    <n v="8.5610900000000001"/>
    <s v="Low Discount"/>
    <n v="152.97"/>
    <s v="Low Loss"/>
    <d v="2025-08-06T00:00:00"/>
    <n v="33"/>
    <s v="IN STOCK"/>
    <n v="3.7"/>
    <n v="3.7"/>
    <b v="0"/>
    <x v="0"/>
    <m/>
  </r>
  <r>
    <s v="FB001511"/>
    <x v="4"/>
    <x v="0"/>
    <x v="0"/>
    <s v="OS"/>
    <s v="M"/>
    <s v="Gray"/>
    <n v="25.97"/>
    <n v="0"/>
    <n v="0"/>
    <n v="0"/>
    <s v="No Discount"/>
    <n v="25.97"/>
    <s v="No Loss"/>
    <d v="2024-11-28T00:00:00"/>
    <n v="31"/>
    <s v="IN STOCK"/>
    <n v="1.2"/>
    <n v="1.2"/>
    <b v="0"/>
    <x v="0"/>
    <m/>
  </r>
  <r>
    <s v="FB001512"/>
    <x v="1"/>
    <x v="7"/>
    <x v="3"/>
    <s v="XS"/>
    <s v="L"/>
    <s v="Beige"/>
    <n v="85"/>
    <n v="0.39899999999999997"/>
    <n v="39.9"/>
    <n v="33.914999999999999"/>
    <s v="high Discount"/>
    <n v="51.09"/>
    <s v="High Loss"/>
    <d v="2025-08-06T00:00:00"/>
    <n v="44"/>
    <s v="IN STOCK"/>
    <n v="3"/>
    <n v="3"/>
    <b v="0"/>
    <x v="0"/>
    <m/>
  </r>
  <r>
    <s v="FB001513"/>
    <x v="2"/>
    <x v="1"/>
    <x v="3"/>
    <s v="XL"/>
    <m/>
    <s v="Pink"/>
    <n v="75.03"/>
    <n v="0.109"/>
    <n v="10.9"/>
    <n v="8.1782699999999995"/>
    <s v="Low Discount"/>
    <n v="66.849999999999994"/>
    <s v="Low Loss"/>
    <d v="2025-08-06T00:00:00"/>
    <n v="12"/>
    <s v="IN STOCK"/>
    <n v="1.2"/>
    <n v="1.2"/>
    <b v="0"/>
    <x v="0"/>
    <m/>
  </r>
  <r>
    <s v="FB001514"/>
    <x v="2"/>
    <x v="5"/>
    <x v="1"/>
    <s v="L"/>
    <m/>
    <s v="Beige"/>
    <n v="33.880000000000003"/>
    <n v="0"/>
    <n v="0"/>
    <n v="0"/>
    <s v="No Discount"/>
    <n v="33.880000000000003"/>
    <s v="No Loss"/>
    <d v="2025-08-06T00:00:00"/>
    <n v="9"/>
    <s v="LOW STOCK"/>
    <n v="0"/>
    <m/>
    <b v="0"/>
    <x v="0"/>
    <m/>
  </r>
  <r>
    <s v="FB001515"/>
    <x v="3"/>
    <x v="2"/>
    <x v="3"/>
    <s v="XL"/>
    <s v="XS"/>
    <s v="Purple"/>
    <n v="142"/>
    <n v="0.12300000000000001"/>
    <n v="12.3"/>
    <n v="17.466000000000001"/>
    <s v="Low Discount"/>
    <n v="124.53"/>
    <s v="Medium Loss"/>
    <d v="2025-08-06T00:00:00"/>
    <n v="39"/>
    <s v="IN STOCK"/>
    <n v="3.3"/>
    <n v="3.3"/>
    <b v="0"/>
    <x v="0"/>
    <m/>
  </r>
  <r>
    <s v="FB001516"/>
    <x v="5"/>
    <x v="4"/>
    <x v="2"/>
    <s v="OS"/>
    <s v="XL"/>
    <s v="Green"/>
    <n v="125.46"/>
    <n v="0"/>
    <n v="0"/>
    <n v="0"/>
    <s v="No Discount"/>
    <n v="125.46"/>
    <s v="No Loss"/>
    <d v="2025-08-06T00:00:00"/>
    <n v="26"/>
    <s v="IN STOCK"/>
    <n v="1.1000000000000001"/>
    <n v="1.1000000000000001"/>
    <b v="0"/>
    <x v="0"/>
    <m/>
  </r>
  <r>
    <s v="FB001517"/>
    <x v="3"/>
    <x v="4"/>
    <x v="1"/>
    <s v="XL"/>
    <s v="L"/>
    <s v="Blue"/>
    <n v="138.79"/>
    <n v="0"/>
    <n v="0"/>
    <n v="0"/>
    <s v="No Discount"/>
    <n v="138.79"/>
    <s v="No Loss"/>
    <d v="2025-08-06T00:00:00"/>
    <n v="16"/>
    <s v="IN STOCK"/>
    <n v="0"/>
    <m/>
    <b v="1"/>
    <x v="2"/>
    <s v="Size Issue"/>
  </r>
  <r>
    <s v="FB001518"/>
    <x v="4"/>
    <x v="5"/>
    <x v="0"/>
    <s v="OS"/>
    <s v="XL"/>
    <s v="Pink"/>
    <n v="81.81"/>
    <n v="0.379"/>
    <n v="37.9"/>
    <n v="31.005990000000001"/>
    <s v="high Discount"/>
    <n v="50.8"/>
    <s v="High Loss"/>
    <d v="2025-02-16T00:00:00"/>
    <n v="44"/>
    <s v="IN STOCK"/>
    <n v="0"/>
    <m/>
    <b v="0"/>
    <x v="0"/>
    <m/>
  </r>
  <r>
    <s v="FB001519"/>
    <x v="2"/>
    <x v="1"/>
    <x v="2"/>
    <s v="OS"/>
    <m/>
    <s v="Brown"/>
    <n v="78.260000000000005"/>
    <n v="0.47299999999999998"/>
    <n v="47.3"/>
    <n v="37.016980000000004"/>
    <s v="high Discount"/>
    <n v="41.24"/>
    <s v="High Loss"/>
    <d v="2025-08-06T00:00:00"/>
    <n v="20"/>
    <s v="IN STOCK"/>
    <n v="4"/>
    <n v="4"/>
    <b v="0"/>
    <x v="0"/>
    <m/>
  </r>
  <r>
    <s v="FB001520"/>
    <x v="4"/>
    <x v="2"/>
    <x v="0"/>
    <s v="L"/>
    <s v="XL"/>
    <s v="Navy"/>
    <n v="119.33"/>
    <n v="0.16"/>
    <n v="16"/>
    <n v="19.0928"/>
    <s v="Low Discount"/>
    <n v="100.24"/>
    <s v="Medium Loss"/>
    <d v="2024-08-16T00:00:00"/>
    <n v="35"/>
    <s v="IN STOCK"/>
    <n v="0"/>
    <m/>
    <b v="0"/>
    <x v="0"/>
    <m/>
  </r>
  <r>
    <s v="FB001521"/>
    <x v="2"/>
    <x v="5"/>
    <x v="0"/>
    <s v="L"/>
    <m/>
    <s v="Black"/>
    <n v="52.97"/>
    <n v="0"/>
    <n v="0"/>
    <n v="0"/>
    <s v="No Discount"/>
    <n v="52.97"/>
    <s v="No Loss"/>
    <d v="2025-07-26T00:00:00"/>
    <n v="36"/>
    <s v="IN STOCK"/>
    <n v="4.5999999999999996"/>
    <n v="4.5999999999999996"/>
    <b v="0"/>
    <x v="0"/>
    <m/>
  </r>
  <r>
    <s v="FB001522"/>
    <x v="2"/>
    <x v="3"/>
    <x v="1"/>
    <s v="XS"/>
    <m/>
    <s v="Blue"/>
    <n v="69.48"/>
    <n v="0"/>
    <n v="0"/>
    <n v="0"/>
    <s v="No Discount"/>
    <n v="69.48"/>
    <s v="No Loss"/>
    <d v="2025-08-06T00:00:00"/>
    <n v="17"/>
    <s v="IN STOCK"/>
    <n v="3.4"/>
    <n v="3.4"/>
    <b v="0"/>
    <x v="0"/>
    <m/>
  </r>
  <r>
    <s v="FB001523"/>
    <x v="0"/>
    <x v="2"/>
    <x v="3"/>
    <s v="OS"/>
    <s v="L"/>
    <s v="Gray"/>
    <n v="177.82"/>
    <n v="0"/>
    <n v="0"/>
    <n v="0"/>
    <s v="No Discount"/>
    <n v="177.82"/>
    <s v="No Loss"/>
    <d v="2025-08-06T00:00:00"/>
    <n v="9"/>
    <s v="LOW STOCK"/>
    <n v="1.1000000000000001"/>
    <n v="1.1000000000000001"/>
    <b v="0"/>
    <x v="0"/>
    <m/>
  </r>
  <r>
    <s v="FB001524"/>
    <x v="3"/>
    <x v="2"/>
    <x v="1"/>
    <s v="M"/>
    <s v="L"/>
    <s v="Pink"/>
    <n v="142.71"/>
    <n v="0"/>
    <n v="0"/>
    <n v="0"/>
    <s v="No Discount"/>
    <n v="142.71"/>
    <s v="No Loss"/>
    <d v="2025-08-06T00:00:00"/>
    <n v="28"/>
    <s v="IN STOCK"/>
    <n v="1"/>
    <n v="1"/>
    <b v="0"/>
    <x v="0"/>
    <m/>
  </r>
  <r>
    <s v="FB001525"/>
    <x v="4"/>
    <x v="0"/>
    <x v="0"/>
    <s v="OS"/>
    <s v="XS"/>
    <s v="Blue"/>
    <n v="105.21"/>
    <n v="0"/>
    <n v="0"/>
    <n v="0"/>
    <s v="No Discount"/>
    <n v="105.21"/>
    <s v="No Loss"/>
    <d v="2024-11-02T00:00:00"/>
    <n v="41"/>
    <s v="IN STOCK"/>
    <n v="4.9000000000000004"/>
    <n v="4.9000000000000004"/>
    <b v="0"/>
    <x v="0"/>
    <m/>
  </r>
  <r>
    <s v="FB001526"/>
    <x v="2"/>
    <x v="7"/>
    <x v="2"/>
    <s v="S"/>
    <m/>
    <s v="Gray"/>
    <n v="65.09"/>
    <n v="0.498"/>
    <n v="49.8"/>
    <n v="32.414819999999999"/>
    <s v="high Discount"/>
    <n v="32.68"/>
    <s v="High Loss"/>
    <d v="2025-08-06T00:00:00"/>
    <n v="32"/>
    <s v="IN STOCK"/>
    <n v="4.9000000000000004"/>
    <n v="4.9000000000000004"/>
    <b v="0"/>
    <x v="0"/>
    <m/>
  </r>
  <r>
    <s v="FB001527"/>
    <x v="0"/>
    <x v="1"/>
    <x v="1"/>
    <s v="XS"/>
    <s v="M"/>
    <s v="Navy"/>
    <n v="167.39"/>
    <n v="0"/>
    <n v="0"/>
    <n v="0"/>
    <s v="No Discount"/>
    <n v="167.39"/>
    <s v="No Loss"/>
    <d v="2025-08-06T00:00:00"/>
    <n v="43"/>
    <s v="IN STOCK"/>
    <n v="1.8"/>
    <n v="1.8"/>
    <b v="0"/>
    <x v="0"/>
    <m/>
  </r>
  <r>
    <s v="FB001528"/>
    <x v="2"/>
    <x v="1"/>
    <x v="1"/>
    <s v="S"/>
    <m/>
    <s v="Red"/>
    <n v="49.89"/>
    <n v="0"/>
    <n v="0"/>
    <n v="0"/>
    <s v="No Discount"/>
    <n v="49.89"/>
    <s v="No Loss"/>
    <d v="2025-08-06T00:00:00"/>
    <n v="32"/>
    <s v="IN STOCK"/>
    <n v="2.4"/>
    <n v="2.4"/>
    <b v="0"/>
    <x v="0"/>
    <m/>
  </r>
  <r>
    <s v="FB001529"/>
    <x v="0"/>
    <x v="2"/>
    <x v="2"/>
    <s v="S"/>
    <s v="S"/>
    <s v="White"/>
    <n v="218.06"/>
    <n v="0"/>
    <n v="0"/>
    <n v="0"/>
    <s v="No Discount"/>
    <n v="218.06"/>
    <s v="No Loss"/>
    <d v="2025-08-06T00:00:00"/>
    <n v="32"/>
    <s v="IN STOCK"/>
    <n v="4"/>
    <n v="4"/>
    <b v="0"/>
    <x v="0"/>
    <m/>
  </r>
  <r>
    <s v="FB001530"/>
    <x v="4"/>
    <x v="6"/>
    <x v="3"/>
    <s v="OS"/>
    <s v="XS"/>
    <s v="White"/>
    <n v="66.64"/>
    <n v="0.218"/>
    <n v="21.8"/>
    <n v="14.527520000000001"/>
    <s v="Medium Discount"/>
    <n v="52.11"/>
    <s v="Medium Loss"/>
    <d v="2025-08-06T00:00:00"/>
    <n v="25"/>
    <s v="IN STOCK"/>
    <n v="3.5"/>
    <n v="3.5"/>
    <b v="1"/>
    <x v="5"/>
    <s v="Changed Mind"/>
  </r>
  <r>
    <s v="FB001531"/>
    <x v="0"/>
    <x v="5"/>
    <x v="2"/>
    <s v="M"/>
    <s v="S"/>
    <s v="Gray"/>
    <n v="124.69"/>
    <n v="0.40899999999999997"/>
    <n v="40.9"/>
    <n v="50.998209999999993"/>
    <s v="high Discount"/>
    <n v="73.69"/>
    <s v="High Loss"/>
    <d v="2025-08-06T00:00:00"/>
    <n v="9"/>
    <s v="LOW STOCK"/>
    <n v="4.0999999999999996"/>
    <n v="4.0999999999999996"/>
    <b v="0"/>
    <x v="0"/>
    <m/>
  </r>
  <r>
    <s v="FB001532"/>
    <x v="1"/>
    <x v="3"/>
    <x v="3"/>
    <s v="XS"/>
    <s v="S"/>
    <s v="Pink"/>
    <n v="28.24"/>
    <n v="0.48200000000000004"/>
    <n v="48.2"/>
    <n v="13.61168"/>
    <s v="high Discount"/>
    <n v="14.63"/>
    <s v="Medium Loss"/>
    <d v="2025-08-06T00:00:00"/>
    <n v="20"/>
    <s v="IN STOCK"/>
    <n v="4.5"/>
    <n v="4.5"/>
    <b v="0"/>
    <x v="0"/>
    <m/>
  </r>
  <r>
    <s v="FB001533"/>
    <x v="2"/>
    <x v="0"/>
    <x v="3"/>
    <s v="XXL"/>
    <m/>
    <s v="Purple"/>
    <n v="76.39"/>
    <n v="0.53900000000000003"/>
    <n v="53.9"/>
    <n v="41.174210000000002"/>
    <s v="high Discount"/>
    <n v="35.22"/>
    <s v="High Loss"/>
    <d v="2025-08-06T00:00:00"/>
    <n v="15"/>
    <s v="IN STOCK"/>
    <n v="1.5"/>
    <n v="1.5"/>
    <b v="0"/>
    <x v="0"/>
    <m/>
  </r>
  <r>
    <s v="FB001534"/>
    <x v="4"/>
    <x v="0"/>
    <x v="1"/>
    <s v="XS"/>
    <s v="M"/>
    <s v="Blue"/>
    <n v="96.82"/>
    <n v="0"/>
    <n v="0"/>
    <n v="0"/>
    <s v="No Discount"/>
    <n v="96.82"/>
    <s v="No Loss"/>
    <d v="2025-08-06T00:00:00"/>
    <n v="0"/>
    <s v="NO STOCK"/>
    <n v="1.1000000000000001"/>
    <n v="1.1000000000000001"/>
    <b v="0"/>
    <x v="0"/>
    <m/>
  </r>
  <r>
    <s v="FB001535"/>
    <x v="3"/>
    <x v="2"/>
    <x v="2"/>
    <s v="XXL"/>
    <s v="XS"/>
    <s v="Navy"/>
    <n v="159.25"/>
    <n v="0.28199999999999997"/>
    <n v="28.2"/>
    <n v="44.908499999999997"/>
    <s v="Medium Discount"/>
    <n v="114.34"/>
    <s v="High Loss"/>
    <d v="2025-08-06T00:00:00"/>
    <n v="1"/>
    <s v="LOW STOCK"/>
    <n v="0"/>
    <m/>
    <b v="1"/>
    <x v="6"/>
    <s v="Wrong Item"/>
  </r>
  <r>
    <s v="FB001536"/>
    <x v="5"/>
    <x v="0"/>
    <x v="3"/>
    <s v="S"/>
    <s v="XXL"/>
    <s v="Navy"/>
    <n v="171.93"/>
    <n v="0.52300000000000002"/>
    <n v="52.3"/>
    <n v="89.919390000000007"/>
    <s v="high Discount"/>
    <n v="82.01"/>
    <s v="High Loss"/>
    <d v="2025-08-06T00:00:00"/>
    <n v="28"/>
    <s v="IN STOCK"/>
    <n v="2.2000000000000002"/>
    <n v="2.2000000000000002"/>
    <b v="0"/>
    <x v="0"/>
    <m/>
  </r>
  <r>
    <s v="FB001537"/>
    <x v="1"/>
    <x v="0"/>
    <x v="3"/>
    <s v="XXL"/>
    <s v="XS"/>
    <s v="Brown"/>
    <n v="85.25"/>
    <n v="0"/>
    <n v="0"/>
    <n v="0"/>
    <s v="No Discount"/>
    <n v="85.25"/>
    <s v="No Loss"/>
    <d v="2025-08-06T00:00:00"/>
    <n v="11"/>
    <s v="IN STOCK"/>
    <n v="0"/>
    <m/>
    <b v="0"/>
    <x v="0"/>
    <m/>
  </r>
  <r>
    <s v="FB001538"/>
    <x v="1"/>
    <x v="2"/>
    <x v="0"/>
    <s v="OS"/>
    <s v="XXL"/>
    <s v="Pink"/>
    <n v="70.48"/>
    <n v="0"/>
    <n v="0"/>
    <n v="0"/>
    <s v="No Discount"/>
    <n v="70.48"/>
    <s v="No Loss"/>
    <d v="2024-11-27T00:00:00"/>
    <n v="22"/>
    <s v="IN STOCK"/>
    <n v="1.2"/>
    <n v="1.2"/>
    <b v="0"/>
    <x v="0"/>
    <m/>
  </r>
  <r>
    <s v="FB001539"/>
    <x v="0"/>
    <x v="2"/>
    <x v="0"/>
    <s v="OS"/>
    <s v="S"/>
    <s v="Brown"/>
    <n v="203.02"/>
    <n v="0"/>
    <n v="0"/>
    <n v="0"/>
    <s v="No Discount"/>
    <n v="203.02"/>
    <s v="No Loss"/>
    <d v="2025-05-17T00:00:00"/>
    <n v="23"/>
    <s v="IN STOCK"/>
    <n v="3.5"/>
    <n v="3.5"/>
    <b v="1"/>
    <x v="4"/>
    <s v="Quality Issue"/>
  </r>
  <r>
    <s v="FB001540"/>
    <x v="5"/>
    <x v="5"/>
    <x v="2"/>
    <s v="S"/>
    <s v="XXL"/>
    <s v="Pink"/>
    <n v="115.39"/>
    <n v="0.11199999999999999"/>
    <n v="11.2"/>
    <n v="12.923679999999999"/>
    <s v="Low Discount"/>
    <n v="102.47"/>
    <s v="Medium Loss"/>
    <d v="2025-08-06T00:00:00"/>
    <n v="4"/>
    <s v="LOW STOCK"/>
    <n v="3.8"/>
    <n v="3.8"/>
    <b v="0"/>
    <x v="0"/>
    <m/>
  </r>
  <r>
    <s v="FB001541"/>
    <x v="2"/>
    <x v="3"/>
    <x v="0"/>
    <s v="OS"/>
    <m/>
    <s v="Pink"/>
    <n v="27.91"/>
    <n v="0.498"/>
    <n v="49.8"/>
    <n v="13.899179999999999"/>
    <s v="high Discount"/>
    <n v="14.01"/>
    <s v="Medium Loss"/>
    <d v="2025-02-13T00:00:00"/>
    <n v="12"/>
    <s v="IN STOCK"/>
    <n v="2.6"/>
    <n v="2.6"/>
    <b v="0"/>
    <x v="0"/>
    <m/>
  </r>
  <r>
    <s v="FB001542"/>
    <x v="2"/>
    <x v="4"/>
    <x v="1"/>
    <s v="OS"/>
    <m/>
    <s v="Navy"/>
    <n v="79.69"/>
    <n v="0"/>
    <n v="0"/>
    <n v="0"/>
    <s v="No Discount"/>
    <n v="79.69"/>
    <s v="No Loss"/>
    <d v="2025-08-06T00:00:00"/>
    <n v="44"/>
    <s v="IN STOCK"/>
    <n v="1.6"/>
    <n v="1.6"/>
    <b v="0"/>
    <x v="0"/>
    <m/>
  </r>
  <r>
    <s v="FB001543"/>
    <x v="4"/>
    <x v="7"/>
    <x v="2"/>
    <s v="S"/>
    <s v="S"/>
    <s v="Brown"/>
    <n v="47.22"/>
    <n v="0"/>
    <n v="0"/>
    <n v="0"/>
    <s v="No Discount"/>
    <n v="47.22"/>
    <s v="No Loss"/>
    <d v="2025-08-06T00:00:00"/>
    <n v="19"/>
    <s v="IN STOCK"/>
    <n v="1.9"/>
    <n v="1.9"/>
    <b v="0"/>
    <x v="0"/>
    <m/>
  </r>
  <r>
    <s v="FB001544"/>
    <x v="3"/>
    <x v="4"/>
    <x v="2"/>
    <s v="OS"/>
    <m/>
    <s v="Brown"/>
    <n v="172.27"/>
    <n v="0.14899999999999999"/>
    <n v="14.9"/>
    <n v="25.668230000000001"/>
    <s v="Low Discount"/>
    <n v="146.6"/>
    <s v="High Loss"/>
    <d v="2025-08-06T00:00:00"/>
    <n v="8"/>
    <s v="LOW STOCK"/>
    <n v="3.7"/>
    <n v="3.7"/>
    <b v="0"/>
    <x v="0"/>
    <m/>
  </r>
  <r>
    <s v="FB001545"/>
    <x v="2"/>
    <x v="0"/>
    <x v="1"/>
    <s v="M"/>
    <m/>
    <s v="Black"/>
    <n v="27.9"/>
    <n v="0"/>
    <n v="0"/>
    <n v="0"/>
    <s v="No Discount"/>
    <n v="27.9"/>
    <s v="No Loss"/>
    <d v="2025-08-06T00:00:00"/>
    <n v="27"/>
    <s v="IN STOCK"/>
    <n v="3"/>
    <n v="3"/>
    <b v="1"/>
    <x v="5"/>
    <s v="Changed Mind"/>
  </r>
  <r>
    <s v="FB001546"/>
    <x v="5"/>
    <x v="0"/>
    <x v="0"/>
    <s v="XL"/>
    <s v="S"/>
    <s v="Beige"/>
    <n v="139.26"/>
    <n v="0"/>
    <n v="0"/>
    <n v="0"/>
    <s v="No Discount"/>
    <n v="139.26"/>
    <s v="No Loss"/>
    <d v="2025-01-02T00:00:00"/>
    <n v="32"/>
    <s v="IN STOCK"/>
    <n v="3.4"/>
    <n v="3.4"/>
    <b v="0"/>
    <x v="0"/>
    <m/>
  </r>
  <r>
    <s v="FB001547"/>
    <x v="2"/>
    <x v="5"/>
    <x v="3"/>
    <s v="XS"/>
    <m/>
    <s v="Gray"/>
    <n v="30.47"/>
    <n v="0"/>
    <n v="0"/>
    <n v="0"/>
    <s v="No Discount"/>
    <n v="30.47"/>
    <s v="No Loss"/>
    <d v="2025-08-06T00:00:00"/>
    <n v="34"/>
    <s v="IN STOCK"/>
    <n v="4.2"/>
    <n v="4.2"/>
    <b v="0"/>
    <x v="0"/>
    <m/>
  </r>
  <r>
    <s v="FB001548"/>
    <x v="0"/>
    <x v="6"/>
    <x v="2"/>
    <s v="OS"/>
    <s v="M"/>
    <s v="Purple"/>
    <n v="141.53"/>
    <n v="0.39799999999999996"/>
    <n v="39.799999999999997"/>
    <n v="56.328939999999996"/>
    <s v="high Discount"/>
    <n v="85.2"/>
    <s v="High Loss"/>
    <d v="2025-08-06T00:00:00"/>
    <n v="47"/>
    <s v="IN STOCK"/>
    <n v="3.5"/>
    <n v="3.5"/>
    <b v="0"/>
    <x v="0"/>
    <m/>
  </r>
  <r>
    <s v="FB001549"/>
    <x v="5"/>
    <x v="6"/>
    <x v="0"/>
    <s v="XL"/>
    <s v="XL"/>
    <s v="Gray"/>
    <n v="47.45"/>
    <n v="0.24399999999999999"/>
    <n v="24.4"/>
    <n v="11.5778"/>
    <s v="Medium Discount"/>
    <n v="35.869999999999997"/>
    <s v="Medium Loss"/>
    <d v="2025-06-15T00:00:00"/>
    <n v="42"/>
    <s v="IN STOCK"/>
    <n v="2.8"/>
    <n v="2.8"/>
    <b v="0"/>
    <x v="0"/>
    <m/>
  </r>
  <r>
    <s v="FB001550"/>
    <x v="4"/>
    <x v="6"/>
    <x v="1"/>
    <s v="XS"/>
    <s v="XS"/>
    <s v="Navy"/>
    <n v="51.39"/>
    <n v="6.3E-2"/>
    <n v="6.3"/>
    <n v="3.2375699999999998"/>
    <s v="Low Discount"/>
    <n v="48.15"/>
    <s v="Low Loss"/>
    <d v="2025-08-06T00:00:00"/>
    <n v="46"/>
    <s v="IN STOCK"/>
    <n v="0"/>
    <m/>
    <b v="0"/>
    <x v="0"/>
    <m/>
  </r>
  <r>
    <s v="FB001551"/>
    <x v="1"/>
    <x v="6"/>
    <x v="0"/>
    <s v="S"/>
    <m/>
    <s v="White"/>
    <n v="74.13"/>
    <n v="0"/>
    <n v="0"/>
    <n v="0"/>
    <s v="No Discount"/>
    <n v="74.13"/>
    <s v="No Loss"/>
    <d v="2024-11-13T00:00:00"/>
    <n v="23"/>
    <s v="IN STOCK"/>
    <n v="0"/>
    <m/>
    <b v="0"/>
    <x v="0"/>
    <m/>
  </r>
  <r>
    <s v="FB001552"/>
    <x v="5"/>
    <x v="0"/>
    <x v="2"/>
    <s v="L"/>
    <s v="XL"/>
    <s v="Purple"/>
    <n v="156.13999999999999"/>
    <n v="0.05"/>
    <n v="5"/>
    <n v="7.8069999999999995"/>
    <s v="Low Discount"/>
    <n v="148.33000000000001"/>
    <s v="Low Loss"/>
    <d v="2025-08-06T00:00:00"/>
    <n v="39"/>
    <s v="IN STOCK"/>
    <n v="0"/>
    <m/>
    <b v="0"/>
    <x v="0"/>
    <m/>
  </r>
  <r>
    <s v="FB001553"/>
    <x v="0"/>
    <x v="2"/>
    <x v="3"/>
    <s v="M"/>
    <s v="XS"/>
    <s v="Green"/>
    <n v="105.3"/>
    <n v="0"/>
    <n v="0"/>
    <n v="0"/>
    <s v="No Discount"/>
    <n v="105.3"/>
    <s v="No Loss"/>
    <d v="2025-08-06T00:00:00"/>
    <n v="1"/>
    <s v="LOW STOCK"/>
    <n v="3"/>
    <n v="3"/>
    <b v="0"/>
    <x v="0"/>
    <m/>
  </r>
  <r>
    <s v="FB001554"/>
    <x v="5"/>
    <x v="4"/>
    <x v="1"/>
    <s v="OS"/>
    <s v="S"/>
    <s v="Navy"/>
    <n v="126.76"/>
    <n v="0"/>
    <n v="0"/>
    <n v="0"/>
    <s v="No Discount"/>
    <n v="126.76"/>
    <s v="No Loss"/>
    <d v="2025-08-06T00:00:00"/>
    <n v="24"/>
    <s v="IN STOCK"/>
    <n v="2.2000000000000002"/>
    <n v="2.2000000000000002"/>
    <b v="0"/>
    <x v="0"/>
    <m/>
  </r>
  <r>
    <s v="FB001555"/>
    <x v="1"/>
    <x v="6"/>
    <x v="1"/>
    <s v="XL"/>
    <s v="L"/>
    <s v="Navy"/>
    <n v="35.409999999999997"/>
    <n v="0"/>
    <n v="0"/>
    <n v="0"/>
    <s v="No Discount"/>
    <n v="35.409999999999997"/>
    <s v="No Loss"/>
    <d v="2025-08-06T00:00:00"/>
    <n v="48"/>
    <s v="IN STOCK"/>
    <n v="4.3"/>
    <n v="4.3"/>
    <b v="1"/>
    <x v="3"/>
    <s v="Damaged"/>
  </r>
  <r>
    <s v="FB001556"/>
    <x v="0"/>
    <x v="5"/>
    <x v="1"/>
    <s v="L"/>
    <s v="M"/>
    <s v="White"/>
    <n v="80.040000000000006"/>
    <n v="0"/>
    <n v="0"/>
    <n v="0"/>
    <s v="No Discount"/>
    <n v="80.040000000000006"/>
    <s v="No Loss"/>
    <d v="2025-08-06T00:00:00"/>
    <n v="13"/>
    <s v="IN STOCK"/>
    <n v="2.2999999999999998"/>
    <n v="2.2999999999999998"/>
    <b v="0"/>
    <x v="0"/>
    <m/>
  </r>
  <r>
    <s v="FB001557"/>
    <x v="4"/>
    <x v="6"/>
    <x v="2"/>
    <s v="OS"/>
    <m/>
    <s v="Navy"/>
    <n v="68.16"/>
    <n v="0"/>
    <n v="0"/>
    <n v="0"/>
    <s v="No Discount"/>
    <n v="68.16"/>
    <s v="No Loss"/>
    <d v="2025-08-06T00:00:00"/>
    <n v="34"/>
    <s v="IN STOCK"/>
    <n v="2.7"/>
    <n v="2.7"/>
    <b v="0"/>
    <x v="0"/>
    <m/>
  </r>
  <r>
    <s v="FB001558"/>
    <x v="5"/>
    <x v="5"/>
    <x v="2"/>
    <s v="L"/>
    <s v="XL"/>
    <s v="White"/>
    <n v="60.87"/>
    <n v="0"/>
    <n v="0"/>
    <n v="0"/>
    <s v="No Discount"/>
    <n v="60.87"/>
    <s v="No Loss"/>
    <d v="2025-08-06T00:00:00"/>
    <n v="35"/>
    <s v="IN STOCK"/>
    <n v="0"/>
    <m/>
    <b v="0"/>
    <x v="0"/>
    <m/>
  </r>
  <r>
    <s v="FB001559"/>
    <x v="1"/>
    <x v="4"/>
    <x v="0"/>
    <s v="XL"/>
    <s v="L"/>
    <s v="Brown"/>
    <n v="59.8"/>
    <n v="0"/>
    <n v="0"/>
    <n v="0"/>
    <s v="No Discount"/>
    <n v="59.8"/>
    <s v="No Loss"/>
    <d v="2025-04-06T00:00:00"/>
    <n v="50"/>
    <s v="IN STOCK"/>
    <n v="2.2000000000000002"/>
    <n v="2.2000000000000002"/>
    <b v="1"/>
    <x v="2"/>
    <s v="Size Issue"/>
  </r>
  <r>
    <s v="FB001560"/>
    <x v="2"/>
    <x v="6"/>
    <x v="2"/>
    <s v="M"/>
    <m/>
    <s v="Black"/>
    <n v="75.83"/>
    <n v="0"/>
    <n v="0"/>
    <n v="0"/>
    <s v="No Discount"/>
    <n v="75.83"/>
    <s v="No Loss"/>
    <d v="2025-08-06T00:00:00"/>
    <n v="8"/>
    <s v="LOW STOCK"/>
    <n v="2"/>
    <n v="2"/>
    <b v="0"/>
    <x v="0"/>
    <m/>
  </r>
  <r>
    <s v="FB001561"/>
    <x v="1"/>
    <x v="4"/>
    <x v="3"/>
    <s v="OS"/>
    <s v="L"/>
    <s v="Beige"/>
    <n v="55.97"/>
    <n v="0"/>
    <n v="0"/>
    <n v="0"/>
    <s v="No Discount"/>
    <n v="55.97"/>
    <s v="No Loss"/>
    <d v="2025-08-06T00:00:00"/>
    <n v="30"/>
    <s v="IN STOCK"/>
    <n v="0"/>
    <m/>
    <b v="0"/>
    <x v="0"/>
    <m/>
  </r>
  <r>
    <s v="FB001562"/>
    <x v="3"/>
    <x v="6"/>
    <x v="1"/>
    <s v="XXL"/>
    <s v="XL"/>
    <s v="Beige"/>
    <n v="190.52"/>
    <n v="0.45200000000000001"/>
    <n v="45.2"/>
    <n v="86.115040000000008"/>
    <s v="high Discount"/>
    <n v="104.4"/>
    <s v="High Loss"/>
    <d v="2025-08-06T00:00:00"/>
    <n v="2"/>
    <s v="LOW STOCK"/>
    <n v="1.1000000000000001"/>
    <n v="1.1000000000000001"/>
    <b v="0"/>
    <x v="0"/>
    <m/>
  </r>
  <r>
    <s v="FB001563"/>
    <x v="4"/>
    <x v="0"/>
    <x v="3"/>
    <s v="M"/>
    <s v="M"/>
    <s v="Pink"/>
    <n v="89.19"/>
    <n v="0.10300000000000001"/>
    <n v="10.3"/>
    <n v="9.1865699999999997"/>
    <s v="Low Discount"/>
    <n v="80"/>
    <s v="Low Loss"/>
    <d v="2025-08-06T00:00:00"/>
    <n v="4"/>
    <s v="LOW STOCK"/>
    <n v="0"/>
    <m/>
    <b v="0"/>
    <x v="0"/>
    <m/>
  </r>
  <r>
    <s v="FB001564"/>
    <x v="3"/>
    <x v="2"/>
    <x v="3"/>
    <s v="XS"/>
    <m/>
    <s v="White"/>
    <n v="79.59"/>
    <n v="8.900000000000001E-2"/>
    <n v="8.9"/>
    <n v="7.0835100000000013"/>
    <s v="Low Discount"/>
    <n v="72.510000000000005"/>
    <s v="Low Loss"/>
    <d v="2025-08-06T00:00:00"/>
    <n v="16"/>
    <s v="IN STOCK"/>
    <n v="4.5999999999999996"/>
    <n v="4.5999999999999996"/>
    <b v="1"/>
    <x v="6"/>
    <s v="Wrong Item"/>
  </r>
  <r>
    <s v="FB001565"/>
    <x v="4"/>
    <x v="3"/>
    <x v="0"/>
    <s v="L"/>
    <s v="XXL"/>
    <s v="Gray"/>
    <n v="84.8"/>
    <n v="0"/>
    <n v="0"/>
    <n v="0"/>
    <s v="No Discount"/>
    <n v="84.8"/>
    <s v="No Loss"/>
    <d v="2025-07-08T00:00:00"/>
    <n v="46"/>
    <s v="IN STOCK"/>
    <n v="4.5999999999999996"/>
    <n v="4.5999999999999996"/>
    <b v="0"/>
    <x v="0"/>
    <m/>
  </r>
  <r>
    <s v="FB001566"/>
    <x v="4"/>
    <x v="7"/>
    <x v="2"/>
    <s v="XS"/>
    <s v="M"/>
    <s v="Black"/>
    <n v="69.209999999999994"/>
    <n v="0"/>
    <n v="0"/>
    <n v="0"/>
    <s v="No Discount"/>
    <n v="69.209999999999994"/>
    <s v="No Loss"/>
    <d v="2025-08-06T00:00:00"/>
    <n v="41"/>
    <s v="IN STOCK"/>
    <n v="0"/>
    <m/>
    <b v="0"/>
    <x v="0"/>
    <m/>
  </r>
  <r>
    <s v="FB001567"/>
    <x v="0"/>
    <x v="2"/>
    <x v="0"/>
    <s v="OS"/>
    <s v="XS"/>
    <s v="Navy"/>
    <n v="229.17"/>
    <n v="0"/>
    <n v="0"/>
    <n v="0"/>
    <s v="No Discount"/>
    <n v="229.17"/>
    <s v="No Loss"/>
    <d v="2025-07-17T00:00:00"/>
    <n v="37"/>
    <s v="IN STOCK"/>
    <n v="2"/>
    <n v="2"/>
    <b v="0"/>
    <x v="0"/>
    <m/>
  </r>
  <r>
    <s v="FB001568"/>
    <x v="5"/>
    <x v="2"/>
    <x v="1"/>
    <s v="OS"/>
    <s v="L"/>
    <s v="White"/>
    <n v="103.9"/>
    <n v="0"/>
    <n v="0"/>
    <n v="0"/>
    <s v="No Discount"/>
    <n v="103.9"/>
    <s v="No Loss"/>
    <d v="2025-08-06T00:00:00"/>
    <n v="40"/>
    <s v="IN STOCK"/>
    <n v="4.4000000000000004"/>
    <n v="4.4000000000000004"/>
    <b v="0"/>
    <x v="0"/>
    <m/>
  </r>
  <r>
    <s v="FB001569"/>
    <x v="0"/>
    <x v="0"/>
    <x v="0"/>
    <s v="XXL"/>
    <s v="XS"/>
    <s v="Beige"/>
    <n v="228.46"/>
    <n v="0"/>
    <n v="0"/>
    <n v="0"/>
    <s v="No Discount"/>
    <n v="228.46"/>
    <s v="No Loss"/>
    <d v="2025-02-07T00:00:00"/>
    <n v="7"/>
    <s v="LOW STOCK"/>
    <n v="2.5"/>
    <n v="2.5"/>
    <b v="1"/>
    <x v="4"/>
    <s v="Quality Issue"/>
  </r>
  <r>
    <s v="FB001570"/>
    <x v="2"/>
    <x v="0"/>
    <x v="3"/>
    <s v="OS"/>
    <m/>
    <s v="White"/>
    <n v="44.35"/>
    <n v="0.29199999999999998"/>
    <n v="29.2"/>
    <n v="12.950199999999999"/>
    <s v="Medium Discount"/>
    <n v="31.4"/>
    <s v="Medium Loss"/>
    <d v="2025-08-06T00:00:00"/>
    <n v="20"/>
    <s v="IN STOCK"/>
    <n v="4.9000000000000004"/>
    <n v="4.9000000000000004"/>
    <b v="0"/>
    <x v="0"/>
    <m/>
  </r>
  <r>
    <s v="FB001571"/>
    <x v="4"/>
    <x v="1"/>
    <x v="0"/>
    <s v="S"/>
    <m/>
    <s v="Gray"/>
    <n v="28.76"/>
    <n v="0.54700000000000004"/>
    <n v="54.7"/>
    <n v="15.731720000000003"/>
    <s v="high Discount"/>
    <n v="13.03"/>
    <s v="Medium Loss"/>
    <d v="2025-05-14T00:00:00"/>
    <n v="2"/>
    <s v="LOW STOCK"/>
    <n v="4.4000000000000004"/>
    <n v="4.4000000000000004"/>
    <b v="1"/>
    <x v="1"/>
    <s v="Color Mismatch"/>
  </r>
  <r>
    <s v="FB001572"/>
    <x v="0"/>
    <x v="3"/>
    <x v="0"/>
    <s v="S"/>
    <s v="XXL"/>
    <s v="Red"/>
    <n v="158.34"/>
    <n v="0.36599999999999999"/>
    <n v="36.6"/>
    <n v="57.952440000000003"/>
    <s v="high Discount"/>
    <n v="100.39"/>
    <s v="High Loss"/>
    <d v="2025-01-27T00:00:00"/>
    <n v="11"/>
    <s v="IN STOCK"/>
    <n v="4.5"/>
    <n v="4.5"/>
    <b v="0"/>
    <x v="0"/>
    <m/>
  </r>
  <r>
    <s v="FB001573"/>
    <x v="2"/>
    <x v="0"/>
    <x v="0"/>
    <s v="S"/>
    <m/>
    <s v="Brown"/>
    <n v="39.049999999999997"/>
    <n v="0.12"/>
    <n v="12"/>
    <n v="4.6859999999999991"/>
    <s v="Low Discount"/>
    <n v="34.36"/>
    <s v="Low Loss"/>
    <d v="2024-09-30T00:00:00"/>
    <n v="0"/>
    <s v="NO STOCK"/>
    <n v="3.1"/>
    <n v="3.1"/>
    <b v="0"/>
    <x v="0"/>
    <m/>
  </r>
  <r>
    <s v="FB001574"/>
    <x v="1"/>
    <x v="5"/>
    <x v="0"/>
    <s v="L"/>
    <s v="S"/>
    <s v="Blue"/>
    <n v="52.46"/>
    <n v="0.122"/>
    <n v="12.2"/>
    <n v="6.4001200000000003"/>
    <s v="Low Discount"/>
    <n v="46.06"/>
    <s v="Low Loss"/>
    <d v="2024-12-19T00:00:00"/>
    <n v="39"/>
    <s v="IN STOCK"/>
    <n v="2.2999999999999998"/>
    <n v="2.2999999999999998"/>
    <b v="0"/>
    <x v="0"/>
    <m/>
  </r>
  <r>
    <s v="FB001575"/>
    <x v="4"/>
    <x v="6"/>
    <x v="0"/>
    <s v="XS"/>
    <s v="S"/>
    <s v="Red"/>
    <n v="70.31"/>
    <n v="0.34399999999999997"/>
    <n v="34.4"/>
    <n v="24.186640000000001"/>
    <s v="high Discount"/>
    <n v="46.12"/>
    <s v="High Loss"/>
    <d v="2025-01-24T00:00:00"/>
    <n v="28"/>
    <s v="IN STOCK"/>
    <n v="3.1"/>
    <n v="3.1"/>
    <b v="0"/>
    <x v="0"/>
    <m/>
  </r>
  <r>
    <s v="FB001576"/>
    <x v="0"/>
    <x v="7"/>
    <x v="3"/>
    <s v="XL"/>
    <s v="S"/>
    <s v="Beige"/>
    <n v="123.27"/>
    <n v="0"/>
    <n v="0"/>
    <n v="0"/>
    <s v="No Discount"/>
    <n v="123.27"/>
    <s v="No Loss"/>
    <d v="2025-08-06T00:00:00"/>
    <n v="13"/>
    <s v="IN STOCK"/>
    <n v="2.8"/>
    <n v="2.8"/>
    <b v="0"/>
    <x v="0"/>
    <m/>
  </r>
  <r>
    <s v="FB001577"/>
    <x v="0"/>
    <x v="3"/>
    <x v="3"/>
    <s v="L"/>
    <s v="L"/>
    <s v="Navy"/>
    <n v="215.82"/>
    <n v="0.16500000000000001"/>
    <n v="16.5"/>
    <n v="35.610300000000002"/>
    <s v="Low Discount"/>
    <n v="180.21"/>
    <s v="High Loss"/>
    <d v="2025-08-06T00:00:00"/>
    <n v="9"/>
    <s v="LOW STOCK"/>
    <n v="2.4"/>
    <n v="2.4"/>
    <b v="0"/>
    <x v="0"/>
    <m/>
  </r>
  <r>
    <s v="FB001578"/>
    <x v="0"/>
    <x v="6"/>
    <x v="3"/>
    <s v="OS"/>
    <s v="XS"/>
    <s v="Blue"/>
    <n v="82.91"/>
    <n v="6.9999999999999993E-3"/>
    <n v="0.7"/>
    <n v="0.58036999999999994"/>
    <s v="Low Discount"/>
    <n v="82.33"/>
    <s v="Low Loss"/>
    <d v="2025-08-06T00:00:00"/>
    <n v="24"/>
    <s v="IN STOCK"/>
    <n v="0"/>
    <m/>
    <b v="1"/>
    <x v="3"/>
    <s v="Damaged"/>
  </r>
  <r>
    <s v="FB001579"/>
    <x v="1"/>
    <x v="6"/>
    <x v="1"/>
    <s v="S"/>
    <s v="XL"/>
    <s v="Purple"/>
    <n v="33.46"/>
    <n v="0"/>
    <n v="0"/>
    <n v="0"/>
    <s v="No Discount"/>
    <n v="33.46"/>
    <s v="No Loss"/>
    <d v="2025-08-06T00:00:00"/>
    <n v="36"/>
    <s v="IN STOCK"/>
    <n v="3.6"/>
    <n v="3.6"/>
    <b v="0"/>
    <x v="0"/>
    <m/>
  </r>
  <r>
    <s v="FB001580"/>
    <x v="4"/>
    <x v="2"/>
    <x v="0"/>
    <s v="XL"/>
    <s v="L"/>
    <s v="Gray"/>
    <n v="37.21"/>
    <n v="0.53900000000000003"/>
    <n v="53.9"/>
    <n v="20.056190000000001"/>
    <s v="high Discount"/>
    <n v="17.149999999999999"/>
    <s v="High Loss"/>
    <d v="2025-06-27T00:00:00"/>
    <n v="48"/>
    <s v="IN STOCK"/>
    <n v="3.8"/>
    <n v="3.8"/>
    <b v="0"/>
    <x v="0"/>
    <m/>
  </r>
  <r>
    <s v="FB001581"/>
    <x v="4"/>
    <x v="3"/>
    <x v="1"/>
    <s v="XXL"/>
    <m/>
    <s v="Red"/>
    <n v="76.86"/>
    <n v="0.48899999999999999"/>
    <n v="48.9"/>
    <n v="37.584539999999997"/>
    <s v="high Discount"/>
    <n v="39.28"/>
    <s v="High Loss"/>
    <d v="2025-08-06T00:00:00"/>
    <n v="5"/>
    <s v="LOW STOCK"/>
    <n v="1.2"/>
    <n v="1.2"/>
    <b v="0"/>
    <x v="0"/>
    <m/>
  </r>
  <r>
    <s v="FB001582"/>
    <x v="0"/>
    <x v="4"/>
    <x v="1"/>
    <s v="OS"/>
    <s v="S"/>
    <s v="Beige"/>
    <n v="208.57"/>
    <n v="0"/>
    <n v="0"/>
    <n v="0"/>
    <s v="No Discount"/>
    <n v="208.57"/>
    <s v="No Loss"/>
    <d v="2025-08-06T00:00:00"/>
    <n v="24"/>
    <s v="IN STOCK"/>
    <n v="3.6"/>
    <n v="3.6"/>
    <b v="0"/>
    <x v="0"/>
    <m/>
  </r>
  <r>
    <s v="FB001583"/>
    <x v="5"/>
    <x v="6"/>
    <x v="0"/>
    <s v="OS"/>
    <s v="XL"/>
    <s v="Red"/>
    <n v="131.69999999999999"/>
    <n v="0.158"/>
    <n v="15.8"/>
    <n v="20.808599999999998"/>
    <s v="Low Discount"/>
    <n v="110.89"/>
    <s v="High Loss"/>
    <d v="2024-08-12T00:00:00"/>
    <n v="49"/>
    <s v="IN STOCK"/>
    <n v="1.4"/>
    <n v="1.4"/>
    <b v="1"/>
    <x v="3"/>
    <s v="Damaged"/>
  </r>
  <r>
    <s v="FB001584"/>
    <x v="4"/>
    <x v="3"/>
    <x v="3"/>
    <s v="L"/>
    <s v="XXL"/>
    <s v="Blue"/>
    <n v="117.21"/>
    <n v="0"/>
    <n v="0"/>
    <n v="0"/>
    <s v="No Discount"/>
    <n v="117.21"/>
    <s v="No Loss"/>
    <d v="2025-08-06T00:00:00"/>
    <n v="14"/>
    <s v="IN STOCK"/>
    <n v="3.2"/>
    <n v="3.2"/>
    <b v="0"/>
    <x v="0"/>
    <m/>
  </r>
  <r>
    <s v="FB001585"/>
    <x v="2"/>
    <x v="3"/>
    <x v="3"/>
    <s v="OS"/>
    <m/>
    <s v="Green"/>
    <n v="23.01"/>
    <n v="0.48799999999999999"/>
    <n v="48.8"/>
    <n v="11.22888"/>
    <s v="high Discount"/>
    <n v="11.78"/>
    <s v="Medium Loss"/>
    <d v="2025-08-06T00:00:00"/>
    <n v="13"/>
    <s v="IN STOCK"/>
    <n v="3.6"/>
    <n v="3.6"/>
    <b v="0"/>
    <x v="0"/>
    <m/>
  </r>
  <r>
    <s v="FB001586"/>
    <x v="2"/>
    <x v="7"/>
    <x v="3"/>
    <s v="L"/>
    <m/>
    <s v="Red"/>
    <n v="47.6"/>
    <n v="0"/>
    <n v="0"/>
    <n v="0"/>
    <s v="No Discount"/>
    <n v="47.6"/>
    <s v="No Loss"/>
    <d v="2025-08-06T00:00:00"/>
    <n v="24"/>
    <s v="IN STOCK"/>
    <n v="4.4000000000000004"/>
    <n v="4.4000000000000004"/>
    <b v="1"/>
    <x v="6"/>
    <s v="Wrong Item"/>
  </r>
  <r>
    <s v="FB001587"/>
    <x v="4"/>
    <x v="0"/>
    <x v="2"/>
    <s v="XS"/>
    <s v="L"/>
    <s v="Pink"/>
    <n v="33.22"/>
    <n v="0.38400000000000001"/>
    <n v="38.4"/>
    <n v="12.75648"/>
    <s v="high Discount"/>
    <n v="20.46"/>
    <s v="Medium Loss"/>
    <d v="2025-08-06T00:00:00"/>
    <n v="11"/>
    <s v="IN STOCK"/>
    <n v="2.9"/>
    <n v="2.9"/>
    <b v="0"/>
    <x v="0"/>
    <m/>
  </r>
  <r>
    <s v="FB001588"/>
    <x v="2"/>
    <x v="1"/>
    <x v="1"/>
    <s v="XXL"/>
    <m/>
    <s v="Navy"/>
    <n v="65.97"/>
    <n v="6.8000000000000005E-2"/>
    <n v="6.8"/>
    <n v="4.4859600000000004"/>
    <s v="Low Discount"/>
    <n v="61.48"/>
    <s v="Low Loss"/>
    <d v="2025-08-06T00:00:00"/>
    <n v="41"/>
    <s v="IN STOCK"/>
    <n v="4.3"/>
    <n v="4.3"/>
    <b v="0"/>
    <x v="0"/>
    <m/>
  </r>
  <r>
    <s v="FB001589"/>
    <x v="1"/>
    <x v="4"/>
    <x v="0"/>
    <s v="XXL"/>
    <s v="L"/>
    <s v="Green"/>
    <n v="47.25"/>
    <n v="0.28999999999999998"/>
    <n v="29"/>
    <n v="13.702499999999999"/>
    <s v="Medium Discount"/>
    <n v="33.549999999999997"/>
    <s v="Medium Loss"/>
    <d v="2025-06-20T00:00:00"/>
    <n v="38"/>
    <s v="IN STOCK"/>
    <n v="5"/>
    <n v="5"/>
    <b v="0"/>
    <x v="0"/>
    <m/>
  </r>
  <r>
    <s v="FB001590"/>
    <x v="1"/>
    <x v="7"/>
    <x v="0"/>
    <s v="OS"/>
    <s v="XS"/>
    <s v="Green"/>
    <n v="93.74"/>
    <n v="0"/>
    <n v="0"/>
    <n v="0"/>
    <s v="No Discount"/>
    <n v="93.74"/>
    <s v="No Loss"/>
    <d v="2024-12-27T00:00:00"/>
    <n v="39"/>
    <s v="IN STOCK"/>
    <n v="4"/>
    <n v="4"/>
    <b v="0"/>
    <x v="0"/>
    <m/>
  </r>
  <r>
    <s v="FB001591"/>
    <x v="4"/>
    <x v="7"/>
    <x v="3"/>
    <s v="XXL"/>
    <s v="XXL"/>
    <s v="White"/>
    <n v="31.57"/>
    <n v="0"/>
    <n v="0"/>
    <n v="0"/>
    <s v="No Discount"/>
    <n v="31.57"/>
    <s v="No Loss"/>
    <d v="2025-08-06T00:00:00"/>
    <n v="2"/>
    <s v="LOW STOCK"/>
    <n v="0"/>
    <m/>
    <b v="0"/>
    <x v="0"/>
    <m/>
  </r>
  <r>
    <s v="FB001592"/>
    <x v="4"/>
    <x v="2"/>
    <x v="1"/>
    <s v="M"/>
    <s v="XXL"/>
    <s v="Brown"/>
    <n v="64.209999999999994"/>
    <n v="0"/>
    <n v="0"/>
    <n v="0"/>
    <s v="No Discount"/>
    <n v="64.209999999999994"/>
    <s v="No Loss"/>
    <d v="2025-08-06T00:00:00"/>
    <n v="3"/>
    <s v="LOW STOCK"/>
    <n v="2.8"/>
    <n v="2.8"/>
    <b v="0"/>
    <x v="0"/>
    <m/>
  </r>
  <r>
    <s v="FB001593"/>
    <x v="2"/>
    <x v="2"/>
    <x v="1"/>
    <s v="S"/>
    <m/>
    <s v="Green"/>
    <n v="56.13"/>
    <n v="8.1000000000000003E-2"/>
    <n v="8.1"/>
    <n v="4.5465300000000006"/>
    <s v="Low Discount"/>
    <n v="51.58"/>
    <s v="Low Loss"/>
    <d v="2025-08-06T00:00:00"/>
    <n v="12"/>
    <s v="IN STOCK"/>
    <n v="3.8"/>
    <n v="3.8"/>
    <b v="0"/>
    <x v="0"/>
    <m/>
  </r>
  <r>
    <s v="FB001594"/>
    <x v="1"/>
    <x v="1"/>
    <x v="3"/>
    <s v="XL"/>
    <s v="XXL"/>
    <s v="Beige"/>
    <n v="70.89"/>
    <n v="0"/>
    <n v="0"/>
    <n v="0"/>
    <s v="No Discount"/>
    <n v="70.89"/>
    <s v="No Loss"/>
    <d v="2025-08-06T00:00:00"/>
    <n v="14"/>
    <s v="IN STOCK"/>
    <n v="4.7"/>
    <n v="4.7"/>
    <b v="1"/>
    <x v="2"/>
    <s v="Size Issue"/>
  </r>
  <r>
    <s v="FB001595"/>
    <x v="3"/>
    <x v="2"/>
    <x v="1"/>
    <s v="M"/>
    <s v="M"/>
    <s v="Purple"/>
    <n v="149.65"/>
    <n v="0"/>
    <n v="0"/>
    <n v="0"/>
    <s v="No Discount"/>
    <n v="149.65"/>
    <s v="No Loss"/>
    <d v="2025-08-06T00:00:00"/>
    <n v="26"/>
    <s v="IN STOCK"/>
    <n v="3.8"/>
    <n v="3.8"/>
    <b v="0"/>
    <x v="0"/>
    <m/>
  </r>
  <r>
    <s v="FB001596"/>
    <x v="3"/>
    <x v="0"/>
    <x v="0"/>
    <s v="M"/>
    <s v="S"/>
    <s v="White"/>
    <n v="83.17"/>
    <n v="0"/>
    <n v="0"/>
    <n v="0"/>
    <s v="No Discount"/>
    <n v="83.17"/>
    <s v="No Loss"/>
    <d v="2024-09-03T00:00:00"/>
    <n v="48"/>
    <s v="IN STOCK"/>
    <n v="3.2"/>
    <n v="3.2"/>
    <b v="0"/>
    <x v="0"/>
    <m/>
  </r>
  <r>
    <s v="FB001597"/>
    <x v="0"/>
    <x v="4"/>
    <x v="2"/>
    <s v="XS"/>
    <s v="XL"/>
    <s v="Blue"/>
    <n v="121.56"/>
    <n v="0"/>
    <n v="0"/>
    <n v="0"/>
    <s v="No Discount"/>
    <n v="121.56"/>
    <s v="No Loss"/>
    <d v="2025-08-06T00:00:00"/>
    <n v="18"/>
    <s v="IN STOCK"/>
    <n v="3.3"/>
    <n v="3.3"/>
    <b v="0"/>
    <x v="0"/>
    <m/>
  </r>
  <r>
    <s v="FB001598"/>
    <x v="4"/>
    <x v="0"/>
    <x v="1"/>
    <s v="M"/>
    <s v="M"/>
    <s v="Purple"/>
    <n v="48.62"/>
    <n v="0"/>
    <n v="0"/>
    <n v="0"/>
    <s v="No Discount"/>
    <n v="48.62"/>
    <s v="No Loss"/>
    <d v="2025-08-06T00:00:00"/>
    <n v="3"/>
    <s v="LOW STOCK"/>
    <n v="0"/>
    <m/>
    <b v="1"/>
    <x v="3"/>
    <s v="Damaged"/>
  </r>
  <r>
    <s v="FB001599"/>
    <x v="5"/>
    <x v="5"/>
    <x v="1"/>
    <s v="OS"/>
    <s v="M"/>
    <s v="Blue"/>
    <n v="79.040000000000006"/>
    <n v="0"/>
    <n v="0"/>
    <n v="0"/>
    <s v="No Discount"/>
    <n v="79.040000000000006"/>
    <s v="No Loss"/>
    <d v="2025-08-06T00:00:00"/>
    <n v="4"/>
    <s v="LOW STOCK"/>
    <n v="4.0999999999999996"/>
    <n v="4.0999999999999996"/>
    <b v="0"/>
    <x v="0"/>
    <m/>
  </r>
  <r>
    <s v="FB001600"/>
    <x v="0"/>
    <x v="3"/>
    <x v="0"/>
    <s v="OS"/>
    <s v="XS"/>
    <s v="Gray"/>
    <n v="198.58"/>
    <n v="0"/>
    <n v="0"/>
    <n v="0"/>
    <s v="No Discount"/>
    <n v="198.58"/>
    <s v="No Loss"/>
    <d v="2025-01-24T00:00:00"/>
    <n v="46"/>
    <s v="IN STOCK"/>
    <n v="0"/>
    <m/>
    <b v="0"/>
    <x v="0"/>
    <m/>
  </r>
  <r>
    <s v="FB001601"/>
    <x v="0"/>
    <x v="2"/>
    <x v="3"/>
    <s v="XS"/>
    <s v="M"/>
    <s v="Green"/>
    <n v="109.82"/>
    <n v="0"/>
    <n v="0"/>
    <n v="0"/>
    <s v="No Discount"/>
    <n v="109.82"/>
    <s v="No Loss"/>
    <d v="2025-08-06T00:00:00"/>
    <n v="32"/>
    <s v="IN STOCK"/>
    <n v="2.2999999999999998"/>
    <n v="2.2999999999999998"/>
    <b v="0"/>
    <x v="0"/>
    <m/>
  </r>
  <r>
    <s v="FB001602"/>
    <x v="2"/>
    <x v="2"/>
    <x v="3"/>
    <s v="XL"/>
    <m/>
    <s v="Red"/>
    <n v="34.42"/>
    <n v="0.495"/>
    <n v="49.5"/>
    <n v="17.0379"/>
    <s v="high Discount"/>
    <n v="17.38"/>
    <s v="Medium Loss"/>
    <d v="2025-08-06T00:00:00"/>
    <n v="26"/>
    <s v="IN STOCK"/>
    <n v="2.2000000000000002"/>
    <n v="2.2000000000000002"/>
    <b v="0"/>
    <x v="0"/>
    <m/>
  </r>
  <r>
    <s v="FB001603"/>
    <x v="3"/>
    <x v="0"/>
    <x v="1"/>
    <s v="XXL"/>
    <m/>
    <s v="Gray"/>
    <n v="112.1"/>
    <n v="0"/>
    <n v="0"/>
    <n v="0"/>
    <s v="No Discount"/>
    <n v="112.1"/>
    <s v="No Loss"/>
    <d v="2025-08-06T00:00:00"/>
    <n v="5"/>
    <s v="LOW STOCK"/>
    <n v="2"/>
    <n v="2"/>
    <b v="1"/>
    <x v="1"/>
    <s v="Color Mismatch"/>
  </r>
  <r>
    <s v="FB001604"/>
    <x v="4"/>
    <x v="6"/>
    <x v="2"/>
    <s v="XS"/>
    <s v="XS"/>
    <s v="White"/>
    <n v="25.07"/>
    <n v="0"/>
    <n v="0"/>
    <n v="0"/>
    <s v="No Discount"/>
    <n v="25.07"/>
    <s v="No Loss"/>
    <d v="2025-08-06T00:00:00"/>
    <n v="9"/>
    <s v="LOW STOCK"/>
    <n v="2.5"/>
    <n v="2.5"/>
    <b v="0"/>
    <x v="0"/>
    <m/>
  </r>
  <r>
    <s v="FB001605"/>
    <x v="5"/>
    <x v="1"/>
    <x v="0"/>
    <s v="OS"/>
    <s v="XL"/>
    <s v="Green"/>
    <n v="170.38"/>
    <n v="0"/>
    <n v="0"/>
    <n v="0"/>
    <s v="No Discount"/>
    <n v="170.38"/>
    <s v="No Loss"/>
    <d v="2024-09-05T00:00:00"/>
    <n v="23"/>
    <s v="IN STOCK"/>
    <n v="4.3"/>
    <n v="4.3"/>
    <b v="0"/>
    <x v="0"/>
    <m/>
  </r>
  <r>
    <s v="FB001606"/>
    <x v="5"/>
    <x v="3"/>
    <x v="1"/>
    <s v="XL"/>
    <s v="XXL"/>
    <s v="Green"/>
    <n v="77.319999999999993"/>
    <n v="0"/>
    <n v="0"/>
    <n v="0"/>
    <s v="No Discount"/>
    <n v="77.319999999999993"/>
    <s v="No Loss"/>
    <d v="2025-08-06T00:00:00"/>
    <n v="30"/>
    <s v="IN STOCK"/>
    <n v="2.2000000000000002"/>
    <n v="2.2000000000000002"/>
    <b v="1"/>
    <x v="1"/>
    <s v="Color Mismatch"/>
  </r>
  <r>
    <s v="FB001607"/>
    <x v="3"/>
    <x v="3"/>
    <x v="1"/>
    <s v="OS"/>
    <s v="XS"/>
    <s v="Black"/>
    <n v="111.88"/>
    <n v="0"/>
    <n v="0"/>
    <n v="0"/>
    <s v="No Discount"/>
    <n v="111.88"/>
    <s v="No Loss"/>
    <d v="2025-08-06T00:00:00"/>
    <n v="17"/>
    <s v="IN STOCK"/>
    <n v="4.5999999999999996"/>
    <n v="4.5999999999999996"/>
    <b v="0"/>
    <x v="0"/>
    <m/>
  </r>
  <r>
    <s v="FB001608"/>
    <x v="2"/>
    <x v="7"/>
    <x v="2"/>
    <s v="OS"/>
    <m/>
    <s v="Black"/>
    <n v="24.71"/>
    <n v="0"/>
    <n v="0"/>
    <n v="0"/>
    <s v="No Discount"/>
    <n v="24.71"/>
    <s v="No Loss"/>
    <d v="2025-08-06T00:00:00"/>
    <n v="37"/>
    <s v="IN STOCK"/>
    <n v="0"/>
    <m/>
    <b v="0"/>
    <x v="0"/>
    <m/>
  </r>
  <r>
    <s v="FB001609"/>
    <x v="1"/>
    <x v="1"/>
    <x v="0"/>
    <s v="XL"/>
    <s v="XL"/>
    <s v="Red"/>
    <n v="61.42"/>
    <n v="0"/>
    <n v="0"/>
    <n v="0"/>
    <s v="No Discount"/>
    <n v="61.42"/>
    <s v="No Loss"/>
    <d v="2024-08-22T00:00:00"/>
    <n v="41"/>
    <s v="IN STOCK"/>
    <n v="3.5"/>
    <n v="3.5"/>
    <b v="0"/>
    <x v="0"/>
    <m/>
  </r>
  <r>
    <s v="FB001610"/>
    <x v="2"/>
    <x v="6"/>
    <x v="2"/>
    <s v="XXL"/>
    <m/>
    <s v="Blue"/>
    <n v="60.48"/>
    <n v="7.2999999999999995E-2"/>
    <n v="7.3"/>
    <n v="4.4150399999999994"/>
    <s v="Low Discount"/>
    <n v="56.06"/>
    <s v="Low Loss"/>
    <d v="2025-08-06T00:00:00"/>
    <n v="46"/>
    <s v="IN STOCK"/>
    <n v="3.6"/>
    <n v="3.6"/>
    <b v="0"/>
    <x v="0"/>
    <m/>
  </r>
  <r>
    <s v="FB001611"/>
    <x v="2"/>
    <x v="3"/>
    <x v="2"/>
    <s v="S"/>
    <m/>
    <s v="Purple"/>
    <n v="34.94"/>
    <n v="5.2000000000000005E-2"/>
    <n v="5.2"/>
    <n v="1.8168800000000001"/>
    <s v="Low Discount"/>
    <n v="33.119999999999997"/>
    <s v="Low Loss"/>
    <d v="2025-08-06T00:00:00"/>
    <n v="18"/>
    <s v="IN STOCK"/>
    <n v="0"/>
    <m/>
    <b v="0"/>
    <x v="0"/>
    <m/>
  </r>
  <r>
    <s v="FB001612"/>
    <x v="4"/>
    <x v="2"/>
    <x v="0"/>
    <s v="S"/>
    <s v="XL"/>
    <s v="Red"/>
    <n v="30.51"/>
    <n v="0"/>
    <n v="0"/>
    <n v="0"/>
    <s v="No Discount"/>
    <n v="30.51"/>
    <s v="No Loss"/>
    <d v="2025-01-14T00:00:00"/>
    <n v="17"/>
    <s v="IN STOCK"/>
    <n v="1.2"/>
    <n v="1.2"/>
    <b v="0"/>
    <x v="0"/>
    <m/>
  </r>
  <r>
    <s v="FB001613"/>
    <x v="5"/>
    <x v="2"/>
    <x v="1"/>
    <s v="S"/>
    <s v="XXL"/>
    <s v="Navy"/>
    <n v="65.540000000000006"/>
    <n v="0.40299999999999997"/>
    <n v="40.299999999999997"/>
    <n v="26.41262"/>
    <s v="high Discount"/>
    <n v="39.130000000000003"/>
    <s v="High Loss"/>
    <d v="2025-08-06T00:00:00"/>
    <n v="27"/>
    <s v="IN STOCK"/>
    <n v="1.2"/>
    <n v="1.2"/>
    <b v="0"/>
    <x v="0"/>
    <m/>
  </r>
  <r>
    <s v="FB001614"/>
    <x v="3"/>
    <x v="7"/>
    <x v="3"/>
    <s v="XXL"/>
    <s v="S"/>
    <s v="Beige"/>
    <n v="114.37"/>
    <n v="0.43200000000000005"/>
    <n v="43.2"/>
    <n v="49.407840000000007"/>
    <s v="high Discount"/>
    <n v="64.959999999999994"/>
    <s v="High Loss"/>
    <d v="2025-08-06T00:00:00"/>
    <n v="16"/>
    <s v="IN STOCK"/>
    <n v="1.4"/>
    <n v="1.4"/>
    <b v="0"/>
    <x v="0"/>
    <m/>
  </r>
  <r>
    <s v="FB001615"/>
    <x v="5"/>
    <x v="3"/>
    <x v="0"/>
    <s v="M"/>
    <s v="S"/>
    <s v="White"/>
    <n v="145.80000000000001"/>
    <n v="0"/>
    <n v="0"/>
    <n v="0"/>
    <s v="No Discount"/>
    <n v="145.80000000000001"/>
    <s v="No Loss"/>
    <d v="2024-09-27T00:00:00"/>
    <n v="13"/>
    <s v="IN STOCK"/>
    <n v="4"/>
    <n v="4"/>
    <b v="0"/>
    <x v="0"/>
    <m/>
  </r>
  <r>
    <s v="FB001616"/>
    <x v="3"/>
    <x v="0"/>
    <x v="3"/>
    <s v="S"/>
    <s v="S"/>
    <s v="Red"/>
    <n v="121.43"/>
    <n v="0.441"/>
    <n v="44.1"/>
    <n v="53.550630000000005"/>
    <s v="high Discount"/>
    <n v="67.88"/>
    <s v="High Loss"/>
    <d v="2025-08-06T00:00:00"/>
    <n v="2"/>
    <s v="LOW STOCK"/>
    <n v="4.4000000000000004"/>
    <n v="4.4000000000000004"/>
    <b v="0"/>
    <x v="0"/>
    <m/>
  </r>
  <r>
    <s v="FB001617"/>
    <x v="3"/>
    <x v="7"/>
    <x v="3"/>
    <s v="XL"/>
    <s v="XXL"/>
    <s v="Green"/>
    <n v="94.49"/>
    <n v="0"/>
    <n v="0"/>
    <n v="0"/>
    <s v="No Discount"/>
    <n v="94.49"/>
    <s v="No Loss"/>
    <d v="2025-08-06T00:00:00"/>
    <n v="30"/>
    <s v="IN STOCK"/>
    <n v="1.5"/>
    <n v="1.5"/>
    <b v="0"/>
    <x v="0"/>
    <m/>
  </r>
  <r>
    <s v="FB001618"/>
    <x v="0"/>
    <x v="7"/>
    <x v="2"/>
    <s v="XS"/>
    <s v="M"/>
    <s v="Purple"/>
    <n v="218.64"/>
    <n v="0"/>
    <n v="0"/>
    <n v="0"/>
    <s v="No Discount"/>
    <n v="218.64"/>
    <s v="No Loss"/>
    <d v="2025-08-06T00:00:00"/>
    <n v="5"/>
    <s v="LOW STOCK"/>
    <n v="0"/>
    <m/>
    <b v="0"/>
    <x v="0"/>
    <m/>
  </r>
  <r>
    <s v="FB001619"/>
    <x v="0"/>
    <x v="1"/>
    <x v="2"/>
    <s v="XS"/>
    <s v="S"/>
    <s v="Black"/>
    <n v="80.41"/>
    <n v="0.11900000000000001"/>
    <n v="11.9"/>
    <n v="9.5687899999999999"/>
    <s v="Low Discount"/>
    <n v="70.84"/>
    <s v="Low Loss"/>
    <d v="2025-08-06T00:00:00"/>
    <n v="35"/>
    <s v="IN STOCK"/>
    <n v="1.5"/>
    <n v="1.5"/>
    <b v="0"/>
    <x v="0"/>
    <m/>
  </r>
  <r>
    <s v="FB001620"/>
    <x v="3"/>
    <x v="6"/>
    <x v="1"/>
    <s v="S"/>
    <s v="XL"/>
    <s v="Beige"/>
    <n v="183.3"/>
    <n v="0"/>
    <n v="0"/>
    <n v="0"/>
    <s v="No Discount"/>
    <n v="183.3"/>
    <s v="No Loss"/>
    <d v="2025-08-06T00:00:00"/>
    <n v="7"/>
    <s v="LOW STOCK"/>
    <n v="2"/>
    <n v="2"/>
    <b v="0"/>
    <x v="0"/>
    <m/>
  </r>
  <r>
    <s v="FB001621"/>
    <x v="0"/>
    <x v="1"/>
    <x v="2"/>
    <s v="OS"/>
    <s v="XS"/>
    <s v="White"/>
    <n v="241.81"/>
    <n v="0"/>
    <n v="0"/>
    <n v="0"/>
    <s v="No Discount"/>
    <n v="241.81"/>
    <s v="No Loss"/>
    <d v="2025-08-06T00:00:00"/>
    <n v="38"/>
    <s v="IN STOCK"/>
    <n v="3.5"/>
    <n v="3.5"/>
    <b v="0"/>
    <x v="0"/>
    <m/>
  </r>
  <r>
    <s v="FB001622"/>
    <x v="0"/>
    <x v="3"/>
    <x v="0"/>
    <s v="XXL"/>
    <s v="XS"/>
    <s v="White"/>
    <n v="216.46"/>
    <n v="0.28800000000000003"/>
    <n v="28.8"/>
    <n v="62.340480000000007"/>
    <s v="Medium Discount"/>
    <n v="154.12"/>
    <s v="High Loss"/>
    <d v="2024-08-12T00:00:00"/>
    <n v="43"/>
    <s v="IN STOCK"/>
    <n v="1.3"/>
    <n v="1.3"/>
    <b v="0"/>
    <x v="0"/>
    <m/>
  </r>
  <r>
    <s v="FB001623"/>
    <x v="5"/>
    <x v="1"/>
    <x v="0"/>
    <s v="XXL"/>
    <s v="S"/>
    <s v="Pink"/>
    <n v="63.07"/>
    <n v="0.53600000000000003"/>
    <n v="53.6"/>
    <n v="33.805520000000001"/>
    <s v="high Discount"/>
    <n v="29.26"/>
    <s v="High Loss"/>
    <d v="2025-05-20T00:00:00"/>
    <n v="4"/>
    <s v="LOW STOCK"/>
    <n v="1.5"/>
    <n v="1.5"/>
    <b v="1"/>
    <x v="1"/>
    <s v="Color Mismatch"/>
  </r>
  <r>
    <s v="FB001624"/>
    <x v="2"/>
    <x v="2"/>
    <x v="0"/>
    <s v="M"/>
    <m/>
    <s v="Green"/>
    <n v="44.7"/>
    <n v="0"/>
    <n v="0"/>
    <n v="0"/>
    <s v="No Discount"/>
    <n v="44.7"/>
    <s v="No Loss"/>
    <d v="2025-03-17T00:00:00"/>
    <n v="29"/>
    <s v="IN STOCK"/>
    <n v="3.2"/>
    <n v="3.2"/>
    <b v="0"/>
    <x v="0"/>
    <m/>
  </r>
  <r>
    <s v="FB001625"/>
    <x v="1"/>
    <x v="0"/>
    <x v="2"/>
    <s v="S"/>
    <s v="XXL"/>
    <s v="White"/>
    <n v="28.23"/>
    <n v="0.40299999999999997"/>
    <n v="40.299999999999997"/>
    <n v="11.37669"/>
    <s v="high Discount"/>
    <n v="16.850000000000001"/>
    <s v="Medium Loss"/>
    <d v="2025-08-06T00:00:00"/>
    <n v="21"/>
    <s v="IN STOCK"/>
    <n v="2.7"/>
    <n v="2.7"/>
    <b v="0"/>
    <x v="0"/>
    <m/>
  </r>
  <r>
    <s v="FB001626"/>
    <x v="3"/>
    <x v="5"/>
    <x v="2"/>
    <s v="M"/>
    <s v="XXL"/>
    <s v="Green"/>
    <n v="131.94"/>
    <n v="0.27300000000000002"/>
    <n v="27.3"/>
    <n v="36.019620000000003"/>
    <s v="Medium Discount"/>
    <n v="95.92"/>
    <s v="High Loss"/>
    <d v="2025-08-06T00:00:00"/>
    <n v="6"/>
    <s v="LOW STOCK"/>
    <n v="2.8"/>
    <n v="2.8"/>
    <b v="1"/>
    <x v="3"/>
    <s v="Damaged"/>
  </r>
  <r>
    <s v="FB001627"/>
    <x v="0"/>
    <x v="7"/>
    <x v="2"/>
    <s v="M"/>
    <s v="M"/>
    <s v="Blue"/>
    <n v="166.85"/>
    <n v="0.309"/>
    <n v="30.9"/>
    <n v="51.556649999999998"/>
    <s v="high Discount"/>
    <n v="115.29"/>
    <s v="High Loss"/>
    <d v="2025-08-06T00:00:00"/>
    <n v="14"/>
    <s v="IN STOCK"/>
    <n v="4.2"/>
    <n v="4.2"/>
    <b v="1"/>
    <x v="5"/>
    <s v="Changed Mind"/>
  </r>
  <r>
    <s v="FB001628"/>
    <x v="1"/>
    <x v="2"/>
    <x v="1"/>
    <s v="OS"/>
    <s v="S"/>
    <s v="Navy"/>
    <n v="39.58"/>
    <n v="0.309"/>
    <n v="30.9"/>
    <n v="12.230219999999999"/>
    <s v="high Discount"/>
    <n v="27.35"/>
    <s v="Medium Loss"/>
    <d v="2025-08-06T00:00:00"/>
    <n v="17"/>
    <s v="IN STOCK"/>
    <n v="2.5"/>
    <n v="2.5"/>
    <b v="0"/>
    <x v="0"/>
    <m/>
  </r>
  <r>
    <s v="FB001629"/>
    <x v="0"/>
    <x v="1"/>
    <x v="3"/>
    <s v="XL"/>
    <s v="M"/>
    <s v="Blue"/>
    <n v="89.55"/>
    <n v="0.57999999999999996"/>
    <n v="58"/>
    <n v="51.938999999999993"/>
    <s v="high Discount"/>
    <n v="37.61"/>
    <s v="High Loss"/>
    <d v="2025-08-06T00:00:00"/>
    <n v="21"/>
    <s v="IN STOCK"/>
    <n v="2.6"/>
    <n v="2.6"/>
    <b v="0"/>
    <x v="0"/>
    <m/>
  </r>
  <r>
    <s v="FB001630"/>
    <x v="0"/>
    <x v="3"/>
    <x v="2"/>
    <s v="OS"/>
    <s v="M"/>
    <s v="Purple"/>
    <n v="138.55000000000001"/>
    <n v="0"/>
    <n v="0"/>
    <n v="0"/>
    <s v="No Discount"/>
    <n v="138.55000000000001"/>
    <s v="No Loss"/>
    <d v="2025-08-06T00:00:00"/>
    <n v="25"/>
    <s v="IN STOCK"/>
    <n v="2"/>
    <n v="2"/>
    <b v="0"/>
    <x v="0"/>
    <m/>
  </r>
  <r>
    <s v="FB001631"/>
    <x v="2"/>
    <x v="1"/>
    <x v="2"/>
    <s v="S"/>
    <m/>
    <s v="Beige"/>
    <n v="43.84"/>
    <n v="0"/>
    <n v="0"/>
    <n v="0"/>
    <s v="No Discount"/>
    <n v="43.84"/>
    <s v="No Loss"/>
    <d v="2025-08-06T00:00:00"/>
    <n v="28"/>
    <s v="IN STOCK"/>
    <n v="2.8"/>
    <n v="2.8"/>
    <b v="0"/>
    <x v="0"/>
    <m/>
  </r>
  <r>
    <s v="FB001632"/>
    <x v="1"/>
    <x v="7"/>
    <x v="2"/>
    <s v="XL"/>
    <s v="XL"/>
    <s v="Brown"/>
    <n v="63.72"/>
    <n v="0.17800000000000002"/>
    <n v="17.8"/>
    <n v="11.342160000000002"/>
    <s v="Low Discount"/>
    <n v="52.38"/>
    <s v="Medium Loss"/>
    <d v="2025-08-06T00:00:00"/>
    <n v="45"/>
    <s v="IN STOCK"/>
    <n v="2.4"/>
    <n v="2.4"/>
    <b v="0"/>
    <x v="0"/>
    <m/>
  </r>
  <r>
    <s v="FB001633"/>
    <x v="2"/>
    <x v="0"/>
    <x v="0"/>
    <s v="XXL"/>
    <m/>
    <s v="Red"/>
    <n v="74.61"/>
    <n v="0"/>
    <n v="0"/>
    <n v="0"/>
    <s v="No Discount"/>
    <n v="74.61"/>
    <s v="No Loss"/>
    <d v="2025-04-28T00:00:00"/>
    <n v="38"/>
    <s v="IN STOCK"/>
    <n v="2.8"/>
    <n v="2.8"/>
    <b v="0"/>
    <x v="0"/>
    <m/>
  </r>
  <r>
    <s v="FB001634"/>
    <x v="3"/>
    <x v="1"/>
    <x v="0"/>
    <s v="XXL"/>
    <s v="S"/>
    <s v="Gray"/>
    <n v="148.24"/>
    <n v="0.109"/>
    <n v="10.9"/>
    <n v="16.158160000000002"/>
    <s v="Low Discount"/>
    <n v="132.08000000000001"/>
    <s v="Medium Loss"/>
    <d v="2024-08-27T00:00:00"/>
    <n v="44"/>
    <s v="IN STOCK"/>
    <n v="1.3"/>
    <n v="1.3"/>
    <b v="0"/>
    <x v="0"/>
    <m/>
  </r>
  <r>
    <s v="FB001635"/>
    <x v="1"/>
    <x v="6"/>
    <x v="0"/>
    <s v="OS"/>
    <s v="XL"/>
    <s v="Gray"/>
    <n v="93.46"/>
    <n v="0"/>
    <n v="0"/>
    <n v="0"/>
    <s v="No Discount"/>
    <n v="93.46"/>
    <s v="No Loss"/>
    <d v="2025-02-12T00:00:00"/>
    <n v="20"/>
    <s v="IN STOCK"/>
    <n v="2.2000000000000002"/>
    <n v="2.2000000000000002"/>
    <b v="0"/>
    <x v="0"/>
    <m/>
  </r>
  <r>
    <s v="FB001636"/>
    <x v="0"/>
    <x v="1"/>
    <x v="3"/>
    <s v="M"/>
    <s v="XXL"/>
    <s v="Red"/>
    <n v="245.31"/>
    <n v="0.441"/>
    <n v="44.1"/>
    <n v="108.18171"/>
    <s v="high Discount"/>
    <n v="137.13"/>
    <s v="High Loss"/>
    <d v="2025-08-06T00:00:00"/>
    <n v="44"/>
    <s v="IN STOCK"/>
    <n v="0"/>
    <m/>
    <b v="0"/>
    <x v="0"/>
    <m/>
  </r>
  <r>
    <s v="FB001637"/>
    <x v="1"/>
    <x v="2"/>
    <x v="0"/>
    <s v="OS"/>
    <s v="XXL"/>
    <s v="Red"/>
    <n v="43.38"/>
    <n v="0.45899999999999996"/>
    <n v="45.9"/>
    <n v="19.91142"/>
    <s v="high Discount"/>
    <n v="23.47"/>
    <s v="Medium Loss"/>
    <d v="2024-12-03T00:00:00"/>
    <n v="47"/>
    <s v="IN STOCK"/>
    <n v="3.7"/>
    <n v="3.7"/>
    <b v="1"/>
    <x v="5"/>
    <s v="Changed Mind"/>
  </r>
  <r>
    <s v="FB001638"/>
    <x v="2"/>
    <x v="5"/>
    <x v="2"/>
    <s v="XXL"/>
    <m/>
    <s v="Black"/>
    <n v="40.04"/>
    <n v="0.45500000000000002"/>
    <n v="45.5"/>
    <n v="18.2182"/>
    <s v="high Discount"/>
    <n v="21.82"/>
    <s v="Medium Loss"/>
    <d v="2025-08-06T00:00:00"/>
    <n v="50"/>
    <s v="IN STOCK"/>
    <n v="2.2000000000000002"/>
    <n v="2.2000000000000002"/>
    <b v="0"/>
    <x v="0"/>
    <m/>
  </r>
  <r>
    <s v="FB001639"/>
    <x v="0"/>
    <x v="4"/>
    <x v="2"/>
    <s v="OS"/>
    <s v="M"/>
    <s v="Beige"/>
    <n v="209.68"/>
    <n v="3.6000000000000004E-2"/>
    <n v="3.6"/>
    <n v="7.5484800000000014"/>
    <s v="Low Discount"/>
    <n v="202.13"/>
    <s v="Low Loss"/>
    <d v="2025-08-06T00:00:00"/>
    <n v="18"/>
    <s v="IN STOCK"/>
    <n v="4.0999999999999996"/>
    <n v="4.0999999999999996"/>
    <b v="0"/>
    <x v="0"/>
    <m/>
  </r>
  <r>
    <s v="FB001640"/>
    <x v="2"/>
    <x v="3"/>
    <x v="1"/>
    <s v="M"/>
    <m/>
    <s v="Brown"/>
    <n v="38.08"/>
    <n v="0"/>
    <n v="0"/>
    <n v="0"/>
    <s v="No Discount"/>
    <n v="38.08"/>
    <s v="No Loss"/>
    <d v="2025-08-06T00:00:00"/>
    <n v="0"/>
    <s v="NO STOCK"/>
    <n v="1.6"/>
    <n v="1.6"/>
    <b v="0"/>
    <x v="0"/>
    <m/>
  </r>
  <r>
    <s v="FB001641"/>
    <x v="0"/>
    <x v="5"/>
    <x v="0"/>
    <s v="XXL"/>
    <s v="XXL"/>
    <s v="Beige"/>
    <n v="123.04"/>
    <n v="0"/>
    <n v="0"/>
    <n v="0"/>
    <s v="No Discount"/>
    <n v="123.04"/>
    <s v="No Loss"/>
    <d v="2025-04-05T00:00:00"/>
    <n v="13"/>
    <s v="IN STOCK"/>
    <n v="1.2"/>
    <n v="1.2"/>
    <b v="0"/>
    <x v="0"/>
    <m/>
  </r>
  <r>
    <s v="FB001642"/>
    <x v="2"/>
    <x v="1"/>
    <x v="3"/>
    <s v="M"/>
    <m/>
    <s v="Pink"/>
    <n v="39.94"/>
    <n v="0"/>
    <n v="0"/>
    <n v="0"/>
    <s v="No Discount"/>
    <n v="39.94"/>
    <s v="No Loss"/>
    <d v="2025-08-06T00:00:00"/>
    <n v="32"/>
    <s v="IN STOCK"/>
    <n v="3.1"/>
    <n v="3.1"/>
    <b v="0"/>
    <x v="0"/>
    <m/>
  </r>
  <r>
    <s v="FB001643"/>
    <x v="5"/>
    <x v="4"/>
    <x v="3"/>
    <s v="M"/>
    <s v="M"/>
    <s v="Gray"/>
    <n v="80.19"/>
    <n v="0"/>
    <n v="0"/>
    <n v="0"/>
    <s v="No Discount"/>
    <n v="80.19"/>
    <s v="No Loss"/>
    <d v="2025-08-06T00:00:00"/>
    <n v="43"/>
    <s v="IN STOCK"/>
    <n v="3.8"/>
    <n v="3.8"/>
    <b v="0"/>
    <x v="0"/>
    <m/>
  </r>
  <r>
    <s v="FB001644"/>
    <x v="1"/>
    <x v="1"/>
    <x v="0"/>
    <s v="XXL"/>
    <s v="XXL"/>
    <s v="Purple"/>
    <n v="35.03"/>
    <n v="0.10099999999999999"/>
    <n v="10.1"/>
    <n v="3.53803"/>
    <s v="Low Discount"/>
    <n v="31.49"/>
    <s v="Low Loss"/>
    <d v="2025-05-30T00:00:00"/>
    <n v="5"/>
    <s v="LOW STOCK"/>
    <n v="3.8"/>
    <n v="3.8"/>
    <b v="0"/>
    <x v="0"/>
    <m/>
  </r>
  <r>
    <s v="FB001645"/>
    <x v="1"/>
    <x v="4"/>
    <x v="3"/>
    <s v="M"/>
    <s v="M"/>
    <s v="Black"/>
    <n v="27.64"/>
    <n v="0.28999999999999998"/>
    <n v="29"/>
    <n v="8.0155999999999992"/>
    <s v="Medium Discount"/>
    <n v="19.62"/>
    <s v="Low Loss"/>
    <d v="2025-08-06T00:00:00"/>
    <n v="19"/>
    <s v="IN STOCK"/>
    <n v="1"/>
    <n v="1"/>
    <b v="0"/>
    <x v="0"/>
    <m/>
  </r>
  <r>
    <s v="FB001646"/>
    <x v="0"/>
    <x v="3"/>
    <x v="0"/>
    <s v="L"/>
    <s v="M"/>
    <s v="Navy"/>
    <n v="187.63"/>
    <n v="0"/>
    <n v="0"/>
    <n v="0"/>
    <s v="No Discount"/>
    <n v="187.63"/>
    <s v="No Loss"/>
    <d v="2025-04-25T00:00:00"/>
    <n v="25"/>
    <s v="IN STOCK"/>
    <n v="1.8"/>
    <n v="1.8"/>
    <b v="0"/>
    <x v="0"/>
    <m/>
  </r>
  <r>
    <s v="FB001647"/>
    <x v="0"/>
    <x v="4"/>
    <x v="1"/>
    <s v="M"/>
    <s v="XXL"/>
    <s v="Black"/>
    <n v="193.17"/>
    <n v="0.34600000000000003"/>
    <n v="34.6"/>
    <n v="66.836820000000003"/>
    <s v="high Discount"/>
    <n v="126.33"/>
    <s v="High Loss"/>
    <d v="2025-08-06T00:00:00"/>
    <n v="26"/>
    <s v="IN STOCK"/>
    <n v="0"/>
    <m/>
    <b v="0"/>
    <x v="0"/>
    <m/>
  </r>
  <r>
    <s v="FB001648"/>
    <x v="3"/>
    <x v="2"/>
    <x v="0"/>
    <s v="L"/>
    <s v="M"/>
    <s v="Black"/>
    <n v="157.78"/>
    <n v="0.40200000000000002"/>
    <n v="40.200000000000003"/>
    <n v="63.427560000000007"/>
    <s v="high Discount"/>
    <n v="94.35"/>
    <s v="High Loss"/>
    <d v="2025-08-02T00:00:00"/>
    <n v="23"/>
    <s v="IN STOCK"/>
    <n v="3.1"/>
    <n v="3.1"/>
    <b v="0"/>
    <x v="0"/>
    <m/>
  </r>
  <r>
    <s v="FB001649"/>
    <x v="3"/>
    <x v="0"/>
    <x v="1"/>
    <s v="S"/>
    <s v="L"/>
    <s v="Black"/>
    <n v="119.14"/>
    <n v="7.8E-2"/>
    <n v="7.8"/>
    <n v="9.2929200000000005"/>
    <s v="Low Discount"/>
    <n v="109.85"/>
    <s v="Low Loss"/>
    <d v="2025-08-06T00:00:00"/>
    <n v="20"/>
    <s v="IN STOCK"/>
    <n v="3.1"/>
    <n v="3.1"/>
    <b v="0"/>
    <x v="0"/>
    <m/>
  </r>
  <r>
    <s v="FB001650"/>
    <x v="5"/>
    <x v="7"/>
    <x v="1"/>
    <s v="OS"/>
    <s v="M"/>
    <s v="White"/>
    <n v="150.08000000000001"/>
    <n v="4.8000000000000001E-2"/>
    <n v="4.8"/>
    <n v="7.2038400000000005"/>
    <s v="Low Discount"/>
    <n v="142.88"/>
    <s v="Low Loss"/>
    <d v="2025-08-06T00:00:00"/>
    <n v="24"/>
    <s v="IN STOCK"/>
    <n v="1.7"/>
    <n v="1.7"/>
    <b v="0"/>
    <x v="0"/>
    <m/>
  </r>
  <r>
    <s v="FB001651"/>
    <x v="5"/>
    <x v="1"/>
    <x v="3"/>
    <s v="XS"/>
    <s v="L"/>
    <s v="Blue"/>
    <n v="153.18"/>
    <n v="0"/>
    <n v="0"/>
    <n v="0"/>
    <s v="No Discount"/>
    <n v="153.18"/>
    <s v="No Loss"/>
    <d v="2025-08-06T00:00:00"/>
    <n v="26"/>
    <s v="IN STOCK"/>
    <n v="1.1000000000000001"/>
    <n v="1.1000000000000001"/>
    <b v="0"/>
    <x v="0"/>
    <m/>
  </r>
  <r>
    <s v="FB001652"/>
    <x v="1"/>
    <x v="2"/>
    <x v="1"/>
    <s v="S"/>
    <s v="S"/>
    <s v="Pink"/>
    <n v="118.69"/>
    <n v="0.47700000000000004"/>
    <n v="47.7"/>
    <n v="56.615130000000001"/>
    <s v="high Discount"/>
    <n v="62.07"/>
    <s v="High Loss"/>
    <d v="2025-08-06T00:00:00"/>
    <n v="11"/>
    <s v="IN STOCK"/>
    <n v="2.8"/>
    <n v="2.8"/>
    <b v="0"/>
    <x v="0"/>
    <m/>
  </r>
  <r>
    <s v="FB001653"/>
    <x v="2"/>
    <x v="4"/>
    <x v="0"/>
    <s v="XS"/>
    <m/>
    <s v="Navy"/>
    <n v="50.12"/>
    <n v="0"/>
    <n v="0"/>
    <n v="0"/>
    <s v="No Discount"/>
    <n v="50.12"/>
    <s v="No Loss"/>
    <d v="2025-03-09T00:00:00"/>
    <n v="27"/>
    <s v="IN STOCK"/>
    <n v="2.4"/>
    <n v="2.4"/>
    <b v="0"/>
    <x v="0"/>
    <m/>
  </r>
  <r>
    <s v="FB001654"/>
    <x v="5"/>
    <x v="6"/>
    <x v="0"/>
    <s v="S"/>
    <s v="XS"/>
    <s v="Blue"/>
    <n v="93.68"/>
    <n v="0.59499999999999997"/>
    <n v="59.5"/>
    <n v="55.739600000000003"/>
    <s v="high Discount"/>
    <n v="37.94"/>
    <s v="High Loss"/>
    <d v="2025-04-24T00:00:00"/>
    <n v="21"/>
    <s v="IN STOCK"/>
    <n v="0"/>
    <m/>
    <b v="0"/>
    <x v="0"/>
    <m/>
  </r>
  <r>
    <s v="FB001655"/>
    <x v="1"/>
    <x v="1"/>
    <x v="3"/>
    <s v="OS"/>
    <s v="S"/>
    <s v="Red"/>
    <n v="50.49"/>
    <n v="0"/>
    <n v="0"/>
    <n v="0"/>
    <s v="No Discount"/>
    <n v="50.49"/>
    <s v="No Loss"/>
    <d v="2025-08-06T00:00:00"/>
    <n v="30"/>
    <s v="IN STOCK"/>
    <n v="4.0999999999999996"/>
    <n v="4.0999999999999996"/>
    <b v="0"/>
    <x v="0"/>
    <m/>
  </r>
  <r>
    <s v="FB001656"/>
    <x v="3"/>
    <x v="3"/>
    <x v="3"/>
    <s v="L"/>
    <s v="XS"/>
    <s v="White"/>
    <n v="97.9"/>
    <n v="0"/>
    <n v="0"/>
    <n v="0"/>
    <s v="No Discount"/>
    <n v="97.9"/>
    <s v="No Loss"/>
    <d v="2025-08-06T00:00:00"/>
    <n v="29"/>
    <s v="IN STOCK"/>
    <n v="1.3"/>
    <n v="1.3"/>
    <b v="0"/>
    <x v="0"/>
    <m/>
  </r>
  <r>
    <s v="FB001657"/>
    <x v="1"/>
    <x v="1"/>
    <x v="3"/>
    <s v="XS"/>
    <s v="S"/>
    <s v="Gray"/>
    <n v="69"/>
    <n v="0"/>
    <n v="0"/>
    <n v="0"/>
    <s v="No Discount"/>
    <n v="69"/>
    <s v="No Loss"/>
    <d v="2025-08-06T00:00:00"/>
    <n v="32"/>
    <s v="IN STOCK"/>
    <n v="4.5"/>
    <n v="4.5"/>
    <b v="0"/>
    <x v="0"/>
    <m/>
  </r>
  <r>
    <s v="FB001658"/>
    <x v="2"/>
    <x v="3"/>
    <x v="2"/>
    <s v="XL"/>
    <m/>
    <s v="Purple"/>
    <n v="30.2"/>
    <n v="0.27100000000000002"/>
    <n v="27.1"/>
    <n v="8.1842000000000006"/>
    <s v="Medium Discount"/>
    <n v="22.02"/>
    <s v="Low Loss"/>
    <d v="2025-08-06T00:00:00"/>
    <n v="15"/>
    <s v="IN STOCK"/>
    <n v="0"/>
    <m/>
    <b v="0"/>
    <x v="0"/>
    <m/>
  </r>
  <r>
    <s v="FB001659"/>
    <x v="1"/>
    <x v="2"/>
    <x v="1"/>
    <s v="XL"/>
    <s v="L"/>
    <s v="Beige"/>
    <n v="84.92"/>
    <n v="0.59099999999999997"/>
    <n v="59.1"/>
    <n v="50.187719999999999"/>
    <s v="high Discount"/>
    <n v="34.729999999999997"/>
    <s v="High Loss"/>
    <d v="2025-08-06T00:00:00"/>
    <n v="42"/>
    <s v="IN STOCK"/>
    <n v="0"/>
    <m/>
    <b v="0"/>
    <x v="0"/>
    <m/>
  </r>
  <r>
    <s v="FB001660"/>
    <x v="1"/>
    <x v="7"/>
    <x v="2"/>
    <s v="XXL"/>
    <s v="XS"/>
    <s v="White"/>
    <n v="116.48"/>
    <n v="0"/>
    <n v="0"/>
    <n v="0"/>
    <s v="No Discount"/>
    <n v="116.48"/>
    <s v="No Loss"/>
    <d v="2025-08-06T00:00:00"/>
    <n v="3"/>
    <s v="LOW STOCK"/>
    <n v="1.5"/>
    <n v="1.5"/>
    <b v="0"/>
    <x v="0"/>
    <m/>
  </r>
  <r>
    <s v="FB001661"/>
    <x v="1"/>
    <x v="4"/>
    <x v="3"/>
    <s v="S"/>
    <s v="XL"/>
    <s v="Navy"/>
    <n v="40.68"/>
    <n v="0"/>
    <n v="0"/>
    <n v="0"/>
    <s v="No Discount"/>
    <n v="40.68"/>
    <s v="No Loss"/>
    <d v="2025-08-06T00:00:00"/>
    <n v="41"/>
    <s v="IN STOCK"/>
    <n v="1.1000000000000001"/>
    <n v="1.1000000000000001"/>
    <b v="1"/>
    <x v="5"/>
    <s v="Changed Mind"/>
  </r>
  <r>
    <s v="FB001662"/>
    <x v="0"/>
    <x v="5"/>
    <x v="3"/>
    <s v="L"/>
    <s v="XL"/>
    <s v="Black"/>
    <n v="118.92"/>
    <n v="0"/>
    <n v="0"/>
    <n v="0"/>
    <s v="No Discount"/>
    <n v="118.92"/>
    <s v="No Loss"/>
    <d v="2025-08-06T00:00:00"/>
    <n v="36"/>
    <s v="IN STOCK"/>
    <n v="1.8"/>
    <n v="1.8"/>
    <b v="1"/>
    <x v="6"/>
    <s v="Wrong Item"/>
  </r>
  <r>
    <s v="FB001663"/>
    <x v="4"/>
    <x v="5"/>
    <x v="3"/>
    <s v="L"/>
    <s v="XXL"/>
    <s v="Black"/>
    <n v="26.86"/>
    <n v="0"/>
    <n v="0"/>
    <n v="0"/>
    <s v="No Discount"/>
    <n v="26.86"/>
    <s v="No Loss"/>
    <d v="2025-08-06T00:00:00"/>
    <n v="18"/>
    <s v="IN STOCK"/>
    <n v="3.2"/>
    <n v="3.2"/>
    <b v="0"/>
    <x v="0"/>
    <m/>
  </r>
  <r>
    <s v="FB001664"/>
    <x v="5"/>
    <x v="2"/>
    <x v="2"/>
    <s v="XS"/>
    <s v="S"/>
    <s v="Green"/>
    <n v="113.34"/>
    <n v="0"/>
    <n v="0"/>
    <n v="0"/>
    <s v="No Discount"/>
    <n v="113.34"/>
    <s v="No Loss"/>
    <d v="2025-08-06T00:00:00"/>
    <n v="13"/>
    <s v="IN STOCK"/>
    <n v="0"/>
    <m/>
    <b v="0"/>
    <x v="0"/>
    <m/>
  </r>
  <r>
    <s v="FB001665"/>
    <x v="1"/>
    <x v="6"/>
    <x v="3"/>
    <s v="XXL"/>
    <s v="L"/>
    <s v="Black"/>
    <n v="40.520000000000003"/>
    <n v="8.900000000000001E-2"/>
    <n v="8.9"/>
    <n v="3.6062800000000008"/>
    <s v="Low Discount"/>
    <n v="36.909999999999997"/>
    <s v="Low Loss"/>
    <d v="2025-08-06T00:00:00"/>
    <n v="13"/>
    <s v="IN STOCK"/>
    <n v="2.5"/>
    <n v="2.5"/>
    <b v="0"/>
    <x v="0"/>
    <m/>
  </r>
  <r>
    <s v="FB001666"/>
    <x v="4"/>
    <x v="7"/>
    <x v="3"/>
    <s v="XXL"/>
    <s v="L"/>
    <s v="Pink"/>
    <n v="98.41"/>
    <n v="0"/>
    <n v="0"/>
    <n v="0"/>
    <s v="No Discount"/>
    <n v="98.41"/>
    <s v="No Loss"/>
    <d v="2025-08-06T00:00:00"/>
    <n v="7"/>
    <s v="LOW STOCK"/>
    <n v="4.5999999999999996"/>
    <n v="4.5999999999999996"/>
    <b v="0"/>
    <x v="0"/>
    <m/>
  </r>
  <r>
    <s v="FB001667"/>
    <x v="4"/>
    <x v="7"/>
    <x v="1"/>
    <s v="XL"/>
    <s v="XS"/>
    <s v="Red"/>
    <n v="83.18"/>
    <n v="0"/>
    <n v="0"/>
    <n v="0"/>
    <s v="No Discount"/>
    <n v="83.18"/>
    <s v="No Loss"/>
    <d v="2025-08-06T00:00:00"/>
    <n v="17"/>
    <s v="IN STOCK"/>
    <n v="1.7"/>
    <n v="1.7"/>
    <b v="1"/>
    <x v="2"/>
    <s v="Size Issue"/>
  </r>
  <r>
    <s v="FB001668"/>
    <x v="3"/>
    <x v="4"/>
    <x v="0"/>
    <s v="XXL"/>
    <s v="XXL"/>
    <s v="Purple"/>
    <n v="179.31"/>
    <n v="0.24100000000000002"/>
    <n v="24.1"/>
    <n v="43.213710000000006"/>
    <s v="Medium Discount"/>
    <n v="136.1"/>
    <s v="High Loss"/>
    <d v="2025-07-13T00:00:00"/>
    <n v="0"/>
    <s v="NO STOCK"/>
    <n v="3.1"/>
    <n v="3.1"/>
    <b v="0"/>
    <x v="0"/>
    <m/>
  </r>
  <r>
    <s v="FB001669"/>
    <x v="1"/>
    <x v="0"/>
    <x v="0"/>
    <s v="L"/>
    <s v="XXL"/>
    <s v="Green"/>
    <n v="47.88"/>
    <n v="0"/>
    <n v="0"/>
    <n v="0"/>
    <s v="No Discount"/>
    <n v="47.88"/>
    <s v="No Loss"/>
    <d v="2024-12-21T00:00:00"/>
    <n v="44"/>
    <s v="IN STOCK"/>
    <n v="1.9"/>
    <n v="1.9"/>
    <b v="0"/>
    <x v="0"/>
    <m/>
  </r>
  <r>
    <s v="FB001670"/>
    <x v="0"/>
    <x v="3"/>
    <x v="1"/>
    <s v="XS"/>
    <s v="XL"/>
    <s v="Navy"/>
    <n v="89.26"/>
    <n v="0"/>
    <n v="0"/>
    <n v="0"/>
    <s v="No Discount"/>
    <n v="89.26"/>
    <s v="No Loss"/>
    <d v="2025-08-06T00:00:00"/>
    <n v="43"/>
    <s v="IN STOCK"/>
    <n v="3.8"/>
    <n v="3.8"/>
    <b v="0"/>
    <x v="0"/>
    <m/>
  </r>
  <r>
    <s v="FB001671"/>
    <x v="5"/>
    <x v="6"/>
    <x v="3"/>
    <s v="OS"/>
    <s v="XXL"/>
    <s v="Black"/>
    <n v="114.2"/>
    <n v="0"/>
    <n v="0"/>
    <n v="0"/>
    <s v="No Discount"/>
    <n v="114.2"/>
    <s v="No Loss"/>
    <d v="2025-08-06T00:00:00"/>
    <n v="15"/>
    <s v="IN STOCK"/>
    <n v="0"/>
    <m/>
    <b v="0"/>
    <x v="0"/>
    <m/>
  </r>
  <r>
    <s v="FB001672"/>
    <x v="3"/>
    <x v="6"/>
    <x v="3"/>
    <s v="OS"/>
    <s v="L"/>
    <s v="Green"/>
    <n v="169.5"/>
    <n v="0.59699999999999998"/>
    <n v="59.7"/>
    <n v="101.19149999999999"/>
    <s v="high Discount"/>
    <n v="68.31"/>
    <s v="High Loss"/>
    <d v="2025-08-06T00:00:00"/>
    <n v="16"/>
    <s v="IN STOCK"/>
    <n v="1.8"/>
    <n v="1.8"/>
    <b v="0"/>
    <x v="0"/>
    <m/>
  </r>
  <r>
    <s v="FB001673"/>
    <x v="1"/>
    <x v="4"/>
    <x v="2"/>
    <s v="OS"/>
    <s v="XS"/>
    <s v="White"/>
    <n v="77.989999999999995"/>
    <n v="0"/>
    <n v="0"/>
    <n v="0"/>
    <s v="No Discount"/>
    <n v="77.989999999999995"/>
    <s v="No Loss"/>
    <d v="2025-08-06T00:00:00"/>
    <n v="42"/>
    <s v="IN STOCK"/>
    <n v="0"/>
    <m/>
    <b v="0"/>
    <x v="0"/>
    <m/>
  </r>
  <r>
    <s v="FB001674"/>
    <x v="4"/>
    <x v="5"/>
    <x v="2"/>
    <s v="OS"/>
    <m/>
    <s v="Pink"/>
    <n v="103.77"/>
    <n v="0"/>
    <n v="0"/>
    <n v="0"/>
    <s v="No Discount"/>
    <n v="103.77"/>
    <s v="No Loss"/>
    <d v="2025-08-06T00:00:00"/>
    <n v="12"/>
    <s v="IN STOCK"/>
    <n v="4.4000000000000004"/>
    <n v="4.4000000000000004"/>
    <b v="0"/>
    <x v="0"/>
    <m/>
  </r>
  <r>
    <s v="FB001675"/>
    <x v="2"/>
    <x v="7"/>
    <x v="2"/>
    <s v="S"/>
    <m/>
    <s v="Black"/>
    <n v="42.96"/>
    <n v="0"/>
    <n v="0"/>
    <n v="0"/>
    <s v="No Discount"/>
    <n v="42.96"/>
    <s v="No Loss"/>
    <d v="2025-08-06T00:00:00"/>
    <n v="36"/>
    <s v="IN STOCK"/>
    <n v="1.1000000000000001"/>
    <n v="1.1000000000000001"/>
    <b v="0"/>
    <x v="0"/>
    <m/>
  </r>
  <r>
    <s v="FB001676"/>
    <x v="5"/>
    <x v="2"/>
    <x v="2"/>
    <s v="M"/>
    <m/>
    <s v="Brown"/>
    <n v="126.11"/>
    <n v="0"/>
    <n v="0"/>
    <n v="0"/>
    <s v="No Discount"/>
    <n v="126.11"/>
    <s v="No Loss"/>
    <d v="2025-08-06T00:00:00"/>
    <n v="16"/>
    <s v="IN STOCK"/>
    <n v="3.5"/>
    <n v="3.5"/>
    <b v="0"/>
    <x v="0"/>
    <m/>
  </r>
  <r>
    <s v="FB001677"/>
    <x v="2"/>
    <x v="2"/>
    <x v="3"/>
    <s v="OS"/>
    <m/>
    <s v="Beige"/>
    <n v="43.83"/>
    <n v="0"/>
    <n v="0"/>
    <n v="0"/>
    <s v="No Discount"/>
    <n v="43.83"/>
    <s v="No Loss"/>
    <d v="2025-08-06T00:00:00"/>
    <n v="31"/>
    <s v="IN STOCK"/>
    <n v="2.5"/>
    <n v="2.5"/>
    <b v="0"/>
    <x v="0"/>
    <m/>
  </r>
  <r>
    <s v="FB001678"/>
    <x v="3"/>
    <x v="2"/>
    <x v="2"/>
    <s v="M"/>
    <s v="S"/>
    <s v="Beige"/>
    <n v="94.1"/>
    <n v="0"/>
    <n v="0"/>
    <n v="0"/>
    <s v="No Discount"/>
    <n v="94.1"/>
    <s v="No Loss"/>
    <d v="2025-08-06T00:00:00"/>
    <n v="24"/>
    <s v="IN STOCK"/>
    <n v="1.4"/>
    <n v="1.4"/>
    <b v="0"/>
    <x v="0"/>
    <m/>
  </r>
  <r>
    <s v="FB001679"/>
    <x v="3"/>
    <x v="0"/>
    <x v="2"/>
    <s v="M"/>
    <s v="M"/>
    <s v="Red"/>
    <n v="151.27000000000001"/>
    <n v="0"/>
    <n v="0"/>
    <n v="0"/>
    <s v="No Discount"/>
    <n v="151.27000000000001"/>
    <s v="No Loss"/>
    <d v="2025-08-06T00:00:00"/>
    <n v="39"/>
    <s v="IN STOCK"/>
    <n v="4"/>
    <n v="4"/>
    <b v="1"/>
    <x v="3"/>
    <s v="Damaged"/>
  </r>
  <r>
    <s v="FB001680"/>
    <x v="2"/>
    <x v="6"/>
    <x v="0"/>
    <s v="L"/>
    <m/>
    <s v="Navy"/>
    <n v="61.47"/>
    <n v="0"/>
    <n v="0"/>
    <n v="0"/>
    <s v="No Discount"/>
    <n v="61.47"/>
    <s v="No Loss"/>
    <d v="2024-08-25T00:00:00"/>
    <n v="44"/>
    <s v="IN STOCK"/>
    <n v="0"/>
    <m/>
    <b v="0"/>
    <x v="0"/>
    <m/>
  </r>
  <r>
    <s v="FB001681"/>
    <x v="3"/>
    <x v="3"/>
    <x v="3"/>
    <s v="XXL"/>
    <s v="M"/>
    <s v="Navy"/>
    <n v="185.96"/>
    <n v="0"/>
    <n v="0"/>
    <n v="0"/>
    <s v="No Discount"/>
    <n v="185.96"/>
    <s v="No Loss"/>
    <d v="2025-08-06T00:00:00"/>
    <n v="35"/>
    <s v="IN STOCK"/>
    <n v="1.3"/>
    <n v="1.3"/>
    <b v="0"/>
    <x v="0"/>
    <m/>
  </r>
  <r>
    <s v="FB001682"/>
    <x v="5"/>
    <x v="6"/>
    <x v="2"/>
    <s v="XL"/>
    <s v="M"/>
    <s v="Red"/>
    <n v="113.05"/>
    <n v="0"/>
    <n v="0"/>
    <n v="0"/>
    <s v="No Discount"/>
    <n v="113.05"/>
    <s v="No Loss"/>
    <d v="2025-08-06T00:00:00"/>
    <n v="47"/>
    <s v="IN STOCK"/>
    <n v="2"/>
    <n v="2"/>
    <b v="0"/>
    <x v="0"/>
    <m/>
  </r>
  <r>
    <s v="FB001683"/>
    <x v="1"/>
    <x v="2"/>
    <x v="3"/>
    <s v="L"/>
    <s v="L"/>
    <s v="Brown"/>
    <n v="110.9"/>
    <n v="0.34700000000000003"/>
    <n v="34.700000000000003"/>
    <n v="38.482300000000002"/>
    <s v="high Discount"/>
    <n v="72.42"/>
    <s v="High Loss"/>
    <d v="2025-08-06T00:00:00"/>
    <n v="2"/>
    <s v="LOW STOCK"/>
    <n v="2.5"/>
    <n v="2.5"/>
    <b v="0"/>
    <x v="0"/>
    <m/>
  </r>
  <r>
    <s v="FB001684"/>
    <x v="1"/>
    <x v="1"/>
    <x v="3"/>
    <s v="XXL"/>
    <s v="XXL"/>
    <s v="White"/>
    <n v="29.04"/>
    <n v="0"/>
    <n v="0"/>
    <n v="0"/>
    <s v="No Discount"/>
    <n v="29.04"/>
    <s v="No Loss"/>
    <d v="2025-08-06T00:00:00"/>
    <n v="4"/>
    <s v="LOW STOCK"/>
    <n v="5"/>
    <n v="5"/>
    <b v="0"/>
    <x v="0"/>
    <m/>
  </r>
  <r>
    <s v="FB001685"/>
    <x v="3"/>
    <x v="7"/>
    <x v="0"/>
    <s v="XS"/>
    <s v="XL"/>
    <s v="Gray"/>
    <n v="164.48"/>
    <n v="0.51500000000000001"/>
    <n v="51.5"/>
    <n v="84.7072"/>
    <s v="high Discount"/>
    <n v="79.77"/>
    <s v="High Loss"/>
    <d v="2024-09-07T00:00:00"/>
    <n v="27"/>
    <s v="IN STOCK"/>
    <n v="3.4"/>
    <n v="3.4"/>
    <b v="0"/>
    <x v="0"/>
    <m/>
  </r>
  <r>
    <s v="FB001686"/>
    <x v="4"/>
    <x v="2"/>
    <x v="1"/>
    <s v="L"/>
    <s v="L"/>
    <s v="White"/>
    <n v="52.51"/>
    <n v="0.49399999999999999"/>
    <n v="49.4"/>
    <n v="25.93994"/>
    <s v="high Discount"/>
    <n v="26.57"/>
    <s v="High Loss"/>
    <d v="2025-08-06T00:00:00"/>
    <n v="37"/>
    <s v="IN STOCK"/>
    <n v="3.5"/>
    <n v="3.5"/>
    <b v="1"/>
    <x v="5"/>
    <s v="Changed Mind"/>
  </r>
  <r>
    <s v="FB001687"/>
    <x v="5"/>
    <x v="5"/>
    <x v="1"/>
    <s v="OS"/>
    <s v="XXL"/>
    <s v="Gray"/>
    <n v="175.74"/>
    <n v="0.42899999999999999"/>
    <n v="42.9"/>
    <n v="75.39246"/>
    <s v="high Discount"/>
    <n v="100.35"/>
    <s v="High Loss"/>
    <d v="2025-08-06T00:00:00"/>
    <n v="48"/>
    <s v="IN STOCK"/>
    <n v="0"/>
    <m/>
    <b v="1"/>
    <x v="5"/>
    <s v="Changed Mind"/>
  </r>
  <r>
    <s v="FB001688"/>
    <x v="1"/>
    <x v="5"/>
    <x v="0"/>
    <s v="OS"/>
    <s v="XS"/>
    <s v="Beige"/>
    <n v="57.06"/>
    <n v="0.27500000000000002"/>
    <n v="27.5"/>
    <n v="15.691500000000001"/>
    <s v="Medium Discount"/>
    <n v="41.37"/>
    <s v="Medium Loss"/>
    <d v="2024-12-25T00:00:00"/>
    <n v="43"/>
    <s v="IN STOCK"/>
    <n v="1.8"/>
    <n v="1.8"/>
    <b v="0"/>
    <x v="0"/>
    <m/>
  </r>
  <r>
    <s v="FB001689"/>
    <x v="5"/>
    <x v="5"/>
    <x v="1"/>
    <s v="OS"/>
    <s v="L"/>
    <s v="Black"/>
    <n v="158.24"/>
    <n v="0"/>
    <n v="0"/>
    <n v="0"/>
    <s v="No Discount"/>
    <n v="158.24"/>
    <s v="No Loss"/>
    <d v="2025-08-06T00:00:00"/>
    <n v="41"/>
    <s v="IN STOCK"/>
    <n v="3.1"/>
    <n v="3.1"/>
    <b v="0"/>
    <x v="0"/>
    <m/>
  </r>
  <r>
    <s v="FB001690"/>
    <x v="0"/>
    <x v="3"/>
    <x v="2"/>
    <s v="OS"/>
    <m/>
    <s v="Pink"/>
    <n v="153.46"/>
    <n v="0"/>
    <n v="0"/>
    <n v="0"/>
    <s v="No Discount"/>
    <n v="153.46"/>
    <s v="No Loss"/>
    <d v="2025-08-06T00:00:00"/>
    <n v="27"/>
    <s v="IN STOCK"/>
    <n v="1.7"/>
    <n v="1.7"/>
    <b v="0"/>
    <x v="0"/>
    <m/>
  </r>
  <r>
    <s v="FB001691"/>
    <x v="2"/>
    <x v="0"/>
    <x v="0"/>
    <s v="OS"/>
    <m/>
    <s v="Brown"/>
    <n v="54.92"/>
    <n v="0"/>
    <n v="0"/>
    <n v="0"/>
    <s v="No Discount"/>
    <n v="54.92"/>
    <s v="No Loss"/>
    <d v="2025-04-12T00:00:00"/>
    <n v="44"/>
    <s v="IN STOCK"/>
    <n v="3.1"/>
    <n v="3.1"/>
    <b v="0"/>
    <x v="0"/>
    <m/>
  </r>
  <r>
    <s v="FB001692"/>
    <x v="2"/>
    <x v="1"/>
    <x v="0"/>
    <s v="OS"/>
    <m/>
    <s v="Purple"/>
    <n v="32.200000000000003"/>
    <n v="0.192"/>
    <n v="19.2"/>
    <n v="6.1824000000000003"/>
    <s v="Low Discount"/>
    <n v="26.02"/>
    <s v="Low Loss"/>
    <d v="2025-07-27T00:00:00"/>
    <n v="8"/>
    <s v="LOW STOCK"/>
    <n v="4.3"/>
    <n v="4.3"/>
    <b v="0"/>
    <x v="0"/>
    <m/>
  </r>
  <r>
    <s v="FB001693"/>
    <x v="2"/>
    <x v="3"/>
    <x v="2"/>
    <s v="OS"/>
    <m/>
    <s v="Brown"/>
    <n v="66.489999999999995"/>
    <n v="0.29100000000000004"/>
    <n v="29.1"/>
    <n v="19.348590000000002"/>
    <s v="Medium Discount"/>
    <n v="47.14"/>
    <s v="Medium Loss"/>
    <d v="2025-08-06T00:00:00"/>
    <n v="37"/>
    <s v="IN STOCK"/>
    <n v="1.3"/>
    <n v="1.3"/>
    <b v="0"/>
    <x v="0"/>
    <m/>
  </r>
  <r>
    <s v="FB001694"/>
    <x v="2"/>
    <x v="3"/>
    <x v="1"/>
    <s v="XS"/>
    <m/>
    <s v="Blue"/>
    <n v="32.950000000000003"/>
    <n v="0.502"/>
    <n v="50.2"/>
    <n v="16.540900000000001"/>
    <s v="high Discount"/>
    <n v="16.41"/>
    <s v="Medium Loss"/>
    <d v="2025-08-06T00:00:00"/>
    <n v="46"/>
    <s v="IN STOCK"/>
    <n v="0"/>
    <m/>
    <b v="0"/>
    <x v="0"/>
    <m/>
  </r>
  <r>
    <s v="FB001695"/>
    <x v="2"/>
    <x v="4"/>
    <x v="2"/>
    <s v="OS"/>
    <m/>
    <s v="Gray"/>
    <n v="54.31"/>
    <n v="0.192"/>
    <n v="19.2"/>
    <n v="10.427520000000001"/>
    <s v="Low Discount"/>
    <n v="43.88"/>
    <s v="Medium Loss"/>
    <d v="2025-08-06T00:00:00"/>
    <n v="19"/>
    <s v="IN STOCK"/>
    <n v="1.8"/>
    <n v="1.8"/>
    <b v="0"/>
    <x v="0"/>
    <m/>
  </r>
  <r>
    <s v="FB001696"/>
    <x v="2"/>
    <x v="2"/>
    <x v="3"/>
    <s v="S"/>
    <m/>
    <s v="Navy"/>
    <n v="19.68"/>
    <n v="0"/>
    <n v="0"/>
    <n v="0"/>
    <s v="No Discount"/>
    <n v="19.68"/>
    <s v="No Loss"/>
    <d v="2025-08-06T00:00:00"/>
    <n v="29"/>
    <s v="IN STOCK"/>
    <n v="1.5"/>
    <n v="1.5"/>
    <b v="1"/>
    <x v="2"/>
    <s v="Size Issue"/>
  </r>
  <r>
    <s v="FB001697"/>
    <x v="1"/>
    <x v="0"/>
    <x v="0"/>
    <s v="XS"/>
    <s v="XS"/>
    <s v="Gray"/>
    <n v="105.19"/>
    <n v="0.24299999999999999"/>
    <n v="24.3"/>
    <n v="25.561169999999997"/>
    <s v="Medium Discount"/>
    <n v="79.63"/>
    <s v="High Loss"/>
    <d v="2025-06-14T00:00:00"/>
    <n v="47"/>
    <s v="IN STOCK"/>
    <n v="5"/>
    <n v="5"/>
    <b v="0"/>
    <x v="0"/>
    <m/>
  </r>
  <r>
    <s v="FB001698"/>
    <x v="2"/>
    <x v="2"/>
    <x v="3"/>
    <s v="XS"/>
    <m/>
    <s v="Green"/>
    <n v="20.3"/>
    <n v="0.19600000000000001"/>
    <n v="19.600000000000001"/>
    <n v="3.9788000000000001"/>
    <s v="Low Discount"/>
    <n v="16.32"/>
    <s v="Low Loss"/>
    <d v="2025-08-06T00:00:00"/>
    <n v="47"/>
    <s v="IN STOCK"/>
    <n v="2.9"/>
    <n v="2.9"/>
    <b v="1"/>
    <x v="5"/>
    <s v="Changed Mind"/>
  </r>
  <r>
    <s v="FB001699"/>
    <x v="4"/>
    <x v="3"/>
    <x v="3"/>
    <s v="M"/>
    <s v="S"/>
    <s v="Brown"/>
    <n v="105.37"/>
    <n v="0.19600000000000001"/>
    <n v="19.600000000000001"/>
    <n v="20.652520000000003"/>
    <s v="Low Discount"/>
    <n v="84.72"/>
    <s v="High Loss"/>
    <d v="2025-08-06T00:00:00"/>
    <n v="39"/>
    <s v="IN STOCK"/>
    <n v="4.3"/>
    <n v="4.3"/>
    <b v="0"/>
    <x v="0"/>
    <m/>
  </r>
  <r>
    <s v="FB001700"/>
    <x v="5"/>
    <x v="5"/>
    <x v="1"/>
    <s v="OS"/>
    <s v="XS"/>
    <s v="Green"/>
    <n v="156.24"/>
    <n v="0"/>
    <n v="0"/>
    <n v="0"/>
    <s v="No Discount"/>
    <n v="156.24"/>
    <s v="No Loss"/>
    <d v="2025-08-06T00:00:00"/>
    <n v="15"/>
    <s v="IN STOCK"/>
    <n v="5"/>
    <n v="5"/>
    <b v="0"/>
    <x v="0"/>
    <m/>
  </r>
  <r>
    <s v="FB001701"/>
    <x v="3"/>
    <x v="3"/>
    <x v="1"/>
    <s v="M"/>
    <s v="XS"/>
    <s v="Brown"/>
    <n v="162.19"/>
    <n v="5.7000000000000002E-2"/>
    <n v="5.7"/>
    <n v="9.2448300000000003"/>
    <s v="Low Discount"/>
    <n v="152.94999999999999"/>
    <s v="Low Loss"/>
    <d v="2025-08-06T00:00:00"/>
    <n v="39"/>
    <s v="IN STOCK"/>
    <n v="1.4"/>
    <n v="1.4"/>
    <b v="0"/>
    <x v="0"/>
    <m/>
  </r>
  <r>
    <s v="FB001702"/>
    <x v="1"/>
    <x v="4"/>
    <x v="0"/>
    <s v="M"/>
    <s v="M"/>
    <s v="Beige"/>
    <n v="75.790000000000006"/>
    <n v="7.0999999999999994E-2"/>
    <n v="7.1"/>
    <n v="5.3810900000000004"/>
    <s v="Low Discount"/>
    <n v="70.41"/>
    <s v="Low Loss"/>
    <d v="2025-03-29T00:00:00"/>
    <n v="13"/>
    <s v="IN STOCK"/>
    <n v="3.3"/>
    <n v="3.3"/>
    <b v="0"/>
    <x v="0"/>
    <m/>
  </r>
  <r>
    <s v="FB001703"/>
    <x v="2"/>
    <x v="7"/>
    <x v="3"/>
    <s v="XXL"/>
    <m/>
    <s v="Pink"/>
    <n v="32.04"/>
    <n v="0"/>
    <n v="0"/>
    <n v="0"/>
    <s v="No Discount"/>
    <n v="32.04"/>
    <s v="No Loss"/>
    <d v="2025-08-06T00:00:00"/>
    <n v="41"/>
    <s v="IN STOCK"/>
    <n v="1.8"/>
    <n v="1.8"/>
    <b v="0"/>
    <x v="0"/>
    <m/>
  </r>
  <r>
    <s v="FB001704"/>
    <x v="1"/>
    <x v="6"/>
    <x v="2"/>
    <s v="XL"/>
    <s v="M"/>
    <s v="Black"/>
    <n v="27.65"/>
    <n v="0.318"/>
    <n v="31.8"/>
    <n v="8.7927"/>
    <s v="high Discount"/>
    <n v="18.86"/>
    <s v="Low Loss"/>
    <d v="2025-08-06T00:00:00"/>
    <n v="2"/>
    <s v="LOW STOCK"/>
    <n v="3.7"/>
    <n v="3.7"/>
    <b v="1"/>
    <x v="2"/>
    <s v="Size Issue"/>
  </r>
  <r>
    <s v="FB001705"/>
    <x v="4"/>
    <x v="2"/>
    <x v="0"/>
    <s v="M"/>
    <s v="M"/>
    <s v="Purple"/>
    <n v="31.54"/>
    <n v="0"/>
    <n v="0"/>
    <n v="0"/>
    <s v="No Discount"/>
    <n v="31.54"/>
    <s v="No Loss"/>
    <d v="2025-08-03T00:00:00"/>
    <n v="45"/>
    <s v="IN STOCK"/>
    <n v="1.3"/>
    <n v="1.3"/>
    <b v="0"/>
    <x v="0"/>
    <m/>
  </r>
  <r>
    <s v="FB001706"/>
    <x v="4"/>
    <x v="0"/>
    <x v="3"/>
    <s v="XXL"/>
    <s v="XXL"/>
    <s v="Beige"/>
    <n v="77.64"/>
    <n v="0.39100000000000001"/>
    <n v="39.1"/>
    <n v="30.357240000000001"/>
    <s v="high Discount"/>
    <n v="47.28"/>
    <s v="High Loss"/>
    <d v="2025-08-06T00:00:00"/>
    <n v="19"/>
    <s v="IN STOCK"/>
    <n v="2.6"/>
    <n v="2.6"/>
    <b v="0"/>
    <x v="0"/>
    <m/>
  </r>
  <r>
    <s v="FB001707"/>
    <x v="5"/>
    <x v="4"/>
    <x v="1"/>
    <s v="L"/>
    <s v="XL"/>
    <s v="Pink"/>
    <n v="51.48"/>
    <n v="0"/>
    <n v="0"/>
    <n v="0"/>
    <s v="No Discount"/>
    <n v="51.48"/>
    <s v="No Loss"/>
    <d v="2025-08-06T00:00:00"/>
    <n v="10"/>
    <s v="LOW STOCK"/>
    <n v="1"/>
    <n v="1"/>
    <b v="0"/>
    <x v="0"/>
    <m/>
  </r>
  <r>
    <s v="FB001708"/>
    <x v="0"/>
    <x v="0"/>
    <x v="2"/>
    <s v="OS"/>
    <s v="M"/>
    <s v="Pink"/>
    <n v="108.58"/>
    <n v="0"/>
    <n v="0"/>
    <n v="0"/>
    <s v="No Discount"/>
    <n v="108.58"/>
    <s v="No Loss"/>
    <d v="2025-08-06T00:00:00"/>
    <n v="44"/>
    <s v="IN STOCK"/>
    <n v="2.4"/>
    <n v="2.4"/>
    <b v="0"/>
    <x v="0"/>
    <m/>
  </r>
  <r>
    <s v="FB001709"/>
    <x v="1"/>
    <x v="7"/>
    <x v="1"/>
    <s v="S"/>
    <s v="XXL"/>
    <s v="Black"/>
    <n v="84.17"/>
    <n v="0"/>
    <n v="0"/>
    <n v="0"/>
    <s v="No Discount"/>
    <n v="84.17"/>
    <s v="No Loss"/>
    <d v="2025-08-06T00:00:00"/>
    <n v="20"/>
    <s v="IN STOCK"/>
    <n v="3.7"/>
    <n v="3.7"/>
    <b v="0"/>
    <x v="0"/>
    <m/>
  </r>
  <r>
    <s v="FB001710"/>
    <x v="4"/>
    <x v="3"/>
    <x v="0"/>
    <s v="XL"/>
    <s v="L"/>
    <s v="Pink"/>
    <n v="76.45"/>
    <n v="0"/>
    <n v="0"/>
    <n v="0"/>
    <s v="No Discount"/>
    <n v="76.45"/>
    <s v="No Loss"/>
    <d v="2025-06-10T00:00:00"/>
    <n v="16"/>
    <s v="IN STOCK"/>
    <n v="1"/>
    <n v="1"/>
    <b v="1"/>
    <x v="1"/>
    <s v="Color Mismatch"/>
  </r>
  <r>
    <s v="FB001711"/>
    <x v="2"/>
    <x v="1"/>
    <x v="0"/>
    <s v="XS"/>
    <m/>
    <s v="Gray"/>
    <n v="50.31"/>
    <n v="0"/>
    <n v="0"/>
    <n v="0"/>
    <s v="No Discount"/>
    <n v="50.31"/>
    <s v="No Loss"/>
    <d v="2025-04-24T00:00:00"/>
    <n v="36"/>
    <s v="IN STOCK"/>
    <n v="0"/>
    <m/>
    <b v="0"/>
    <x v="0"/>
    <m/>
  </r>
  <r>
    <s v="FB001712"/>
    <x v="1"/>
    <x v="6"/>
    <x v="0"/>
    <s v="S"/>
    <s v="S"/>
    <s v="Pink"/>
    <n v="43.45"/>
    <n v="0"/>
    <n v="0"/>
    <n v="0"/>
    <s v="No Discount"/>
    <n v="43.45"/>
    <s v="No Loss"/>
    <d v="2025-07-17T00:00:00"/>
    <n v="30"/>
    <s v="IN STOCK"/>
    <n v="2.2999999999999998"/>
    <n v="2.2999999999999998"/>
    <b v="0"/>
    <x v="0"/>
    <m/>
  </r>
  <r>
    <s v="FB001713"/>
    <x v="5"/>
    <x v="1"/>
    <x v="2"/>
    <s v="XXL"/>
    <s v="XL"/>
    <s v="Gray"/>
    <n v="149.22"/>
    <n v="0.53900000000000003"/>
    <n v="53.9"/>
    <n v="80.429580000000001"/>
    <s v="high Discount"/>
    <n v="68.790000000000006"/>
    <s v="High Loss"/>
    <d v="2025-08-06T00:00:00"/>
    <n v="41"/>
    <s v="IN STOCK"/>
    <n v="2.2000000000000002"/>
    <n v="2.2000000000000002"/>
    <b v="0"/>
    <x v="0"/>
    <m/>
  </r>
  <r>
    <s v="FB001714"/>
    <x v="4"/>
    <x v="6"/>
    <x v="3"/>
    <s v="XXL"/>
    <s v="XS"/>
    <s v="Gray"/>
    <n v="48.24"/>
    <n v="0.317"/>
    <n v="31.7"/>
    <n v="15.29208"/>
    <s v="high Discount"/>
    <n v="32.950000000000003"/>
    <s v="Medium Loss"/>
    <d v="2025-08-06T00:00:00"/>
    <n v="46"/>
    <s v="IN STOCK"/>
    <n v="3.7"/>
    <n v="3.7"/>
    <b v="0"/>
    <x v="0"/>
    <m/>
  </r>
  <r>
    <s v="FB001715"/>
    <x v="4"/>
    <x v="4"/>
    <x v="3"/>
    <s v="M"/>
    <s v="S"/>
    <s v="Brown"/>
    <n v="66.27"/>
    <n v="0.217"/>
    <n v="21.7"/>
    <n v="14.38059"/>
    <s v="Medium Discount"/>
    <n v="51.89"/>
    <s v="Medium Loss"/>
    <d v="2025-08-06T00:00:00"/>
    <n v="28"/>
    <s v="IN STOCK"/>
    <n v="2.5"/>
    <n v="2.5"/>
    <b v="1"/>
    <x v="5"/>
    <s v="Changed Mind"/>
  </r>
  <r>
    <s v="FB001716"/>
    <x v="3"/>
    <x v="4"/>
    <x v="2"/>
    <s v="OS"/>
    <s v="XXL"/>
    <s v="Navy"/>
    <n v="82.65"/>
    <n v="0"/>
    <n v="0"/>
    <n v="0"/>
    <s v="No Discount"/>
    <n v="82.65"/>
    <s v="No Loss"/>
    <d v="2025-08-06T00:00:00"/>
    <n v="30"/>
    <s v="IN STOCK"/>
    <n v="4.0999999999999996"/>
    <n v="4.0999999999999996"/>
    <b v="0"/>
    <x v="0"/>
    <m/>
  </r>
  <r>
    <s v="FB001717"/>
    <x v="4"/>
    <x v="5"/>
    <x v="1"/>
    <s v="OS"/>
    <s v="XXL"/>
    <s v="Black"/>
    <n v="42.36"/>
    <n v="0"/>
    <n v="0"/>
    <n v="0"/>
    <s v="No Discount"/>
    <n v="42.36"/>
    <s v="No Loss"/>
    <d v="2025-08-06T00:00:00"/>
    <n v="37"/>
    <s v="IN STOCK"/>
    <n v="1.4"/>
    <n v="1.4"/>
    <b v="0"/>
    <x v="0"/>
    <m/>
  </r>
  <r>
    <s v="FB001718"/>
    <x v="4"/>
    <x v="5"/>
    <x v="3"/>
    <s v="XXL"/>
    <s v="M"/>
    <s v="Red"/>
    <n v="109.36"/>
    <n v="0"/>
    <n v="0"/>
    <n v="0"/>
    <s v="No Discount"/>
    <n v="109.36"/>
    <s v="No Loss"/>
    <d v="2025-08-06T00:00:00"/>
    <n v="24"/>
    <s v="IN STOCK"/>
    <n v="1.7"/>
    <n v="1.7"/>
    <b v="0"/>
    <x v="0"/>
    <m/>
  </r>
  <r>
    <s v="FB001719"/>
    <x v="2"/>
    <x v="5"/>
    <x v="1"/>
    <s v="OS"/>
    <m/>
    <s v="Beige"/>
    <n v="59.98"/>
    <n v="0"/>
    <n v="0"/>
    <n v="0"/>
    <s v="No Discount"/>
    <n v="59.98"/>
    <s v="No Loss"/>
    <d v="2025-08-06T00:00:00"/>
    <n v="28"/>
    <s v="IN STOCK"/>
    <n v="2.2000000000000002"/>
    <n v="2.2000000000000002"/>
    <b v="0"/>
    <x v="0"/>
    <m/>
  </r>
  <r>
    <s v="FB001720"/>
    <x v="5"/>
    <x v="6"/>
    <x v="0"/>
    <s v="XS"/>
    <m/>
    <s v="Purple"/>
    <n v="111.81"/>
    <n v="0"/>
    <n v="0"/>
    <n v="0"/>
    <s v="No Discount"/>
    <n v="111.81"/>
    <s v="No Loss"/>
    <d v="2024-08-21T00:00:00"/>
    <n v="45"/>
    <s v="IN STOCK"/>
    <n v="1.1000000000000001"/>
    <n v="1.1000000000000001"/>
    <b v="0"/>
    <x v="0"/>
    <m/>
  </r>
  <r>
    <s v="FB001721"/>
    <x v="4"/>
    <x v="2"/>
    <x v="1"/>
    <s v="OS"/>
    <s v="XXL"/>
    <s v="Red"/>
    <n v="70.78"/>
    <n v="0"/>
    <n v="0"/>
    <n v="0"/>
    <s v="No Discount"/>
    <n v="70.78"/>
    <s v="No Loss"/>
    <d v="2025-08-06T00:00:00"/>
    <n v="39"/>
    <s v="IN STOCK"/>
    <n v="3.4"/>
    <n v="3.4"/>
    <b v="1"/>
    <x v="1"/>
    <s v="Color Mismatch"/>
  </r>
  <r>
    <s v="FB001722"/>
    <x v="2"/>
    <x v="3"/>
    <x v="1"/>
    <s v="OS"/>
    <m/>
    <s v="Pink"/>
    <n v="76.13"/>
    <n v="0.58499999999999996"/>
    <n v="58.5"/>
    <n v="44.536049999999996"/>
    <s v="high Discount"/>
    <n v="31.59"/>
    <s v="High Loss"/>
    <d v="2025-08-06T00:00:00"/>
    <n v="40"/>
    <s v="IN STOCK"/>
    <n v="1.6"/>
    <n v="1.6"/>
    <b v="0"/>
    <x v="0"/>
    <m/>
  </r>
  <r>
    <s v="FB001723"/>
    <x v="4"/>
    <x v="2"/>
    <x v="2"/>
    <s v="XXL"/>
    <s v="XS"/>
    <s v="Pink"/>
    <n v="71.09"/>
    <n v="0.41499999999999998"/>
    <n v="41.5"/>
    <n v="29.50235"/>
    <s v="high Discount"/>
    <n v="41.59"/>
    <s v="High Loss"/>
    <d v="2025-08-06T00:00:00"/>
    <n v="20"/>
    <s v="IN STOCK"/>
    <n v="3.1"/>
    <n v="3.1"/>
    <b v="0"/>
    <x v="0"/>
    <m/>
  </r>
  <r>
    <s v="FB001724"/>
    <x v="4"/>
    <x v="3"/>
    <x v="2"/>
    <s v="XL"/>
    <m/>
    <s v="Gray"/>
    <n v="53.64"/>
    <n v="0.55899999999999994"/>
    <n v="55.9"/>
    <n v="29.984759999999998"/>
    <s v="high Discount"/>
    <n v="23.66"/>
    <s v="High Loss"/>
    <d v="2025-08-06T00:00:00"/>
    <n v="10"/>
    <s v="LOW STOCK"/>
    <n v="2.5"/>
    <n v="2.5"/>
    <b v="0"/>
    <x v="0"/>
    <m/>
  </r>
  <r>
    <s v="FB001725"/>
    <x v="3"/>
    <x v="5"/>
    <x v="2"/>
    <s v="OS"/>
    <m/>
    <s v="Brown"/>
    <n v="110.2"/>
    <n v="0.59699999999999998"/>
    <n v="59.7"/>
    <n v="65.789400000000001"/>
    <s v="high Discount"/>
    <n v="44.41"/>
    <s v="High Loss"/>
    <d v="2025-08-06T00:00:00"/>
    <n v="13"/>
    <s v="IN STOCK"/>
    <n v="3.5"/>
    <n v="3.5"/>
    <b v="1"/>
    <x v="1"/>
    <s v="Color Mismatch"/>
  </r>
  <r>
    <s v="FB001726"/>
    <x v="3"/>
    <x v="1"/>
    <x v="3"/>
    <s v="S"/>
    <s v="XXL"/>
    <s v="Green"/>
    <n v="80.63"/>
    <n v="0.17399999999999999"/>
    <n v="17.399999999999999"/>
    <n v="14.029619999999998"/>
    <s v="Low Discount"/>
    <n v="66.599999999999994"/>
    <s v="Medium Loss"/>
    <d v="2025-08-06T00:00:00"/>
    <n v="6"/>
    <s v="LOW STOCK"/>
    <n v="0"/>
    <m/>
    <b v="1"/>
    <x v="3"/>
    <s v="Damaged"/>
  </r>
  <r>
    <s v="FB001727"/>
    <x v="5"/>
    <x v="3"/>
    <x v="0"/>
    <s v="L"/>
    <s v="XL"/>
    <s v="Green"/>
    <n v="101.09"/>
    <n v="0.248"/>
    <n v="24.8"/>
    <n v="25.070320000000002"/>
    <s v="Medium Discount"/>
    <n v="76.02"/>
    <s v="High Loss"/>
    <d v="2024-09-02T00:00:00"/>
    <n v="7"/>
    <s v="LOW STOCK"/>
    <n v="4.5"/>
    <n v="4.5"/>
    <b v="1"/>
    <x v="3"/>
    <s v="Damaged"/>
  </r>
  <r>
    <s v="FB001728"/>
    <x v="2"/>
    <x v="0"/>
    <x v="0"/>
    <s v="XL"/>
    <m/>
    <s v="Navy"/>
    <n v="75.48"/>
    <n v="0"/>
    <n v="0"/>
    <n v="0"/>
    <s v="No Discount"/>
    <n v="75.48"/>
    <s v="No Loss"/>
    <d v="2025-05-27T00:00:00"/>
    <n v="16"/>
    <s v="IN STOCK"/>
    <n v="1.4"/>
    <n v="1.4"/>
    <b v="0"/>
    <x v="0"/>
    <m/>
  </r>
  <r>
    <s v="FB001729"/>
    <x v="3"/>
    <x v="2"/>
    <x v="3"/>
    <s v="S"/>
    <s v="S"/>
    <s v="Brown"/>
    <n v="159.94999999999999"/>
    <n v="6.4000000000000001E-2"/>
    <n v="6.4"/>
    <n v="10.236799999999999"/>
    <s v="Low Discount"/>
    <n v="149.71"/>
    <s v="Medium Loss"/>
    <d v="2025-08-06T00:00:00"/>
    <n v="39"/>
    <s v="IN STOCK"/>
    <n v="3"/>
    <n v="3"/>
    <b v="0"/>
    <x v="0"/>
    <m/>
  </r>
  <r>
    <s v="FB001730"/>
    <x v="5"/>
    <x v="6"/>
    <x v="3"/>
    <s v="S"/>
    <s v="L"/>
    <s v="Black"/>
    <n v="61.9"/>
    <n v="0"/>
    <n v="0"/>
    <n v="0"/>
    <s v="No Discount"/>
    <n v="61.9"/>
    <s v="No Loss"/>
    <d v="2025-08-06T00:00:00"/>
    <n v="29"/>
    <s v="IN STOCK"/>
    <n v="4.4000000000000004"/>
    <n v="4.4000000000000004"/>
    <b v="0"/>
    <x v="0"/>
    <m/>
  </r>
  <r>
    <s v="FB001731"/>
    <x v="1"/>
    <x v="2"/>
    <x v="2"/>
    <s v="XXL"/>
    <s v="XL"/>
    <s v="Purple"/>
    <n v="63.45"/>
    <n v="0.12300000000000001"/>
    <n v="12.3"/>
    <n v="7.8043500000000012"/>
    <s v="Low Discount"/>
    <n v="55.65"/>
    <s v="Low Loss"/>
    <d v="2025-08-06T00:00:00"/>
    <n v="23"/>
    <s v="IN STOCK"/>
    <n v="4.9000000000000004"/>
    <n v="4.9000000000000004"/>
    <b v="0"/>
    <x v="0"/>
    <m/>
  </r>
  <r>
    <s v="FB001732"/>
    <x v="1"/>
    <x v="3"/>
    <x v="3"/>
    <s v="XS"/>
    <s v="S"/>
    <s v="Red"/>
    <n v="43.22"/>
    <n v="0.46700000000000003"/>
    <n v="46.7"/>
    <n v="20.18374"/>
    <s v="high Discount"/>
    <n v="23.04"/>
    <s v="High Loss"/>
    <d v="2025-08-06T00:00:00"/>
    <n v="29"/>
    <s v="IN STOCK"/>
    <n v="1.3"/>
    <n v="1.3"/>
    <b v="0"/>
    <x v="0"/>
    <m/>
  </r>
  <r>
    <s v="FB001733"/>
    <x v="3"/>
    <x v="2"/>
    <x v="1"/>
    <s v="XS"/>
    <s v="S"/>
    <s v="Navy"/>
    <n v="64.650000000000006"/>
    <n v="0.26800000000000002"/>
    <n v="26.8"/>
    <n v="17.326200000000004"/>
    <s v="Medium Discount"/>
    <n v="47.32"/>
    <s v="Medium Loss"/>
    <d v="2025-08-06T00:00:00"/>
    <n v="28"/>
    <s v="IN STOCK"/>
    <n v="4.7"/>
    <n v="4.7"/>
    <b v="0"/>
    <x v="0"/>
    <m/>
  </r>
  <r>
    <s v="FB001734"/>
    <x v="3"/>
    <x v="1"/>
    <x v="0"/>
    <s v="XS"/>
    <s v="XXL"/>
    <s v="Purple"/>
    <n v="118.67"/>
    <n v="0.56000000000000005"/>
    <n v="56"/>
    <n v="66.455200000000005"/>
    <s v="high Discount"/>
    <n v="52.21"/>
    <s v="High Loss"/>
    <d v="2025-04-26T00:00:00"/>
    <n v="27"/>
    <s v="IN STOCK"/>
    <n v="3.5"/>
    <n v="3.5"/>
    <b v="0"/>
    <x v="0"/>
    <m/>
  </r>
  <r>
    <s v="FB001735"/>
    <x v="5"/>
    <x v="2"/>
    <x v="0"/>
    <s v="XXL"/>
    <s v="XS"/>
    <s v="White"/>
    <n v="169.32"/>
    <n v="0"/>
    <n v="0"/>
    <n v="0"/>
    <s v="No Discount"/>
    <n v="169.32"/>
    <s v="No Loss"/>
    <d v="2024-12-17T00:00:00"/>
    <n v="19"/>
    <s v="IN STOCK"/>
    <n v="2.2000000000000002"/>
    <n v="2.2000000000000002"/>
    <b v="0"/>
    <x v="0"/>
    <m/>
  </r>
  <r>
    <s v="FB001736"/>
    <x v="3"/>
    <x v="5"/>
    <x v="0"/>
    <s v="OS"/>
    <s v="XS"/>
    <s v="Gray"/>
    <n v="115.77"/>
    <n v="0"/>
    <n v="0"/>
    <n v="0"/>
    <s v="No Discount"/>
    <n v="115.77"/>
    <s v="No Loss"/>
    <d v="2024-11-24T00:00:00"/>
    <n v="43"/>
    <s v="IN STOCK"/>
    <n v="0"/>
    <m/>
    <b v="0"/>
    <x v="0"/>
    <m/>
  </r>
  <r>
    <s v="FB001737"/>
    <x v="3"/>
    <x v="3"/>
    <x v="2"/>
    <s v="XL"/>
    <s v="XS"/>
    <s v="Beige"/>
    <n v="139.91"/>
    <n v="0"/>
    <n v="0"/>
    <n v="0"/>
    <s v="No Discount"/>
    <n v="139.91"/>
    <s v="No Loss"/>
    <d v="2025-08-06T00:00:00"/>
    <n v="9"/>
    <s v="LOW STOCK"/>
    <n v="3.7"/>
    <n v="3.7"/>
    <b v="0"/>
    <x v="0"/>
    <m/>
  </r>
  <r>
    <s v="FB001738"/>
    <x v="4"/>
    <x v="2"/>
    <x v="3"/>
    <s v="S"/>
    <s v="XXL"/>
    <s v="Purple"/>
    <n v="101.73"/>
    <n v="0"/>
    <n v="0"/>
    <n v="0"/>
    <s v="No Discount"/>
    <n v="101.73"/>
    <s v="No Loss"/>
    <d v="2025-08-06T00:00:00"/>
    <n v="14"/>
    <s v="IN STOCK"/>
    <n v="4.7"/>
    <n v="4.7"/>
    <b v="0"/>
    <x v="0"/>
    <m/>
  </r>
  <r>
    <s v="FB001739"/>
    <x v="1"/>
    <x v="7"/>
    <x v="3"/>
    <s v="XS"/>
    <m/>
    <s v="Pink"/>
    <n v="105.85"/>
    <n v="0"/>
    <n v="0"/>
    <n v="0"/>
    <s v="No Discount"/>
    <n v="105.85"/>
    <s v="No Loss"/>
    <d v="2025-08-06T00:00:00"/>
    <n v="29"/>
    <s v="IN STOCK"/>
    <n v="2.1"/>
    <n v="2.1"/>
    <b v="0"/>
    <x v="0"/>
    <m/>
  </r>
  <r>
    <s v="FB001740"/>
    <x v="1"/>
    <x v="6"/>
    <x v="0"/>
    <s v="XXL"/>
    <s v="XL"/>
    <s v="Gray"/>
    <n v="105.37"/>
    <n v="0"/>
    <n v="0"/>
    <n v="0"/>
    <s v="No Discount"/>
    <n v="105.37"/>
    <s v="No Loss"/>
    <d v="2025-04-15T00:00:00"/>
    <n v="24"/>
    <s v="IN STOCK"/>
    <n v="1.2"/>
    <n v="1.2"/>
    <b v="0"/>
    <x v="0"/>
    <m/>
  </r>
  <r>
    <s v="FB001741"/>
    <x v="1"/>
    <x v="4"/>
    <x v="3"/>
    <s v="XS"/>
    <s v="S"/>
    <s v="Brown"/>
    <n v="44.42"/>
    <n v="0"/>
    <n v="0"/>
    <n v="0"/>
    <s v="No Discount"/>
    <n v="44.42"/>
    <s v="No Loss"/>
    <d v="2025-08-06T00:00:00"/>
    <n v="49"/>
    <s v="IN STOCK"/>
    <n v="0"/>
    <m/>
    <b v="0"/>
    <x v="0"/>
    <m/>
  </r>
  <r>
    <s v="FB001742"/>
    <x v="3"/>
    <x v="1"/>
    <x v="0"/>
    <s v="M"/>
    <s v="XS"/>
    <s v="Gray"/>
    <n v="164.86"/>
    <n v="0.14300000000000002"/>
    <n v="14.3"/>
    <n v="23.574980000000004"/>
    <s v="Low Discount"/>
    <n v="141.29"/>
    <s v="High Loss"/>
    <d v="2025-03-14T00:00:00"/>
    <n v="7"/>
    <s v="LOW STOCK"/>
    <n v="2.2999999999999998"/>
    <n v="2.2999999999999998"/>
    <b v="0"/>
    <x v="0"/>
    <m/>
  </r>
  <r>
    <s v="FB001743"/>
    <x v="3"/>
    <x v="3"/>
    <x v="2"/>
    <s v="XL"/>
    <s v="XXL"/>
    <s v="Black"/>
    <n v="163.88"/>
    <n v="5.9000000000000004E-2"/>
    <n v="5.9"/>
    <n v="9.66892"/>
    <s v="Low Discount"/>
    <n v="154.21"/>
    <s v="Low Loss"/>
    <d v="2025-08-06T00:00:00"/>
    <n v="39"/>
    <s v="IN STOCK"/>
    <n v="2.6"/>
    <n v="2.6"/>
    <b v="0"/>
    <x v="0"/>
    <m/>
  </r>
  <r>
    <s v="FB001744"/>
    <x v="4"/>
    <x v="0"/>
    <x v="2"/>
    <s v="XS"/>
    <s v="XS"/>
    <s v="Green"/>
    <n v="36.54"/>
    <n v="5.2999999999999999E-2"/>
    <n v="5.3"/>
    <n v="1.93662"/>
    <s v="Low Discount"/>
    <n v="34.6"/>
    <s v="Low Loss"/>
    <d v="2025-08-06T00:00:00"/>
    <n v="13"/>
    <s v="IN STOCK"/>
    <n v="2.5"/>
    <n v="2.5"/>
    <b v="0"/>
    <x v="0"/>
    <m/>
  </r>
  <r>
    <s v="FB001745"/>
    <x v="5"/>
    <x v="2"/>
    <x v="0"/>
    <s v="XS"/>
    <s v="M"/>
    <s v="Red"/>
    <n v="99.97"/>
    <n v="0"/>
    <n v="0"/>
    <n v="0"/>
    <s v="No Discount"/>
    <n v="99.97"/>
    <s v="No Loss"/>
    <d v="2024-10-16T00:00:00"/>
    <n v="38"/>
    <s v="IN STOCK"/>
    <n v="1.4"/>
    <n v="1.4"/>
    <b v="0"/>
    <x v="0"/>
    <m/>
  </r>
  <r>
    <s v="FB001746"/>
    <x v="0"/>
    <x v="5"/>
    <x v="3"/>
    <s v="OS"/>
    <s v="XL"/>
    <s v="Red"/>
    <n v="194.78"/>
    <n v="0"/>
    <n v="0"/>
    <n v="0"/>
    <s v="No Discount"/>
    <n v="194.78"/>
    <s v="No Loss"/>
    <d v="2025-08-06T00:00:00"/>
    <n v="31"/>
    <s v="IN STOCK"/>
    <n v="0"/>
    <m/>
    <b v="0"/>
    <x v="0"/>
    <m/>
  </r>
  <r>
    <s v="FB001747"/>
    <x v="0"/>
    <x v="1"/>
    <x v="2"/>
    <s v="XS"/>
    <s v="XS"/>
    <s v="Blue"/>
    <n v="208.93"/>
    <n v="0"/>
    <n v="0"/>
    <n v="0"/>
    <s v="No Discount"/>
    <n v="208.93"/>
    <s v="No Loss"/>
    <d v="2025-08-06T00:00:00"/>
    <n v="12"/>
    <s v="IN STOCK"/>
    <n v="2.2999999999999998"/>
    <n v="2.2999999999999998"/>
    <b v="0"/>
    <x v="0"/>
    <m/>
  </r>
  <r>
    <s v="FB001748"/>
    <x v="4"/>
    <x v="5"/>
    <x v="0"/>
    <s v="S"/>
    <s v="XS"/>
    <s v="Red"/>
    <n v="68.459999999999994"/>
    <n v="0.5"/>
    <n v="50"/>
    <n v="34.229999999999997"/>
    <s v="high Discount"/>
    <n v="34.229999999999997"/>
    <s v="High Loss"/>
    <d v="2025-01-26T00:00:00"/>
    <n v="24"/>
    <s v="IN STOCK"/>
    <n v="1.9"/>
    <n v="1.9"/>
    <b v="0"/>
    <x v="0"/>
    <m/>
  </r>
  <r>
    <s v="FB001749"/>
    <x v="2"/>
    <x v="2"/>
    <x v="1"/>
    <s v="M"/>
    <m/>
    <s v="Purple"/>
    <n v="30.26"/>
    <n v="0.5"/>
    <n v="50"/>
    <n v="15.13"/>
    <s v="high Discount"/>
    <n v="15.13"/>
    <s v="Medium Loss"/>
    <d v="2025-08-06T00:00:00"/>
    <n v="23"/>
    <s v="IN STOCK"/>
    <n v="1.4"/>
    <n v="1.4"/>
    <b v="0"/>
    <x v="0"/>
    <m/>
  </r>
  <r>
    <s v="FB001750"/>
    <x v="0"/>
    <x v="3"/>
    <x v="3"/>
    <s v="M"/>
    <s v="XS"/>
    <s v="Green"/>
    <n v="186.66"/>
    <n v="0.309"/>
    <n v="30.9"/>
    <n v="57.67794"/>
    <s v="high Discount"/>
    <n v="128.97999999999999"/>
    <s v="High Loss"/>
    <d v="2025-08-06T00:00:00"/>
    <n v="7"/>
    <s v="LOW STOCK"/>
    <n v="1"/>
    <n v="1"/>
    <b v="0"/>
    <x v="0"/>
    <m/>
  </r>
  <r>
    <s v="FB001751"/>
    <x v="1"/>
    <x v="0"/>
    <x v="1"/>
    <s v="XXL"/>
    <s v="S"/>
    <s v="Black"/>
    <n v="78.05"/>
    <n v="0.48100000000000004"/>
    <n v="48.1"/>
    <n v="37.542050000000003"/>
    <s v="high Discount"/>
    <n v="40.51"/>
    <s v="High Loss"/>
    <d v="2025-08-06T00:00:00"/>
    <n v="36"/>
    <s v="IN STOCK"/>
    <n v="2.9"/>
    <n v="2.9"/>
    <b v="1"/>
    <x v="5"/>
    <s v="Changed Mind"/>
  </r>
  <r>
    <s v="FB001752"/>
    <x v="1"/>
    <x v="1"/>
    <x v="0"/>
    <s v="XXL"/>
    <s v="M"/>
    <s v="Purple"/>
    <n v="104.75"/>
    <n v="0"/>
    <n v="0"/>
    <n v="0"/>
    <s v="No Discount"/>
    <n v="104.75"/>
    <s v="No Loss"/>
    <d v="2024-10-26T00:00:00"/>
    <n v="11"/>
    <s v="IN STOCK"/>
    <n v="0"/>
    <m/>
    <b v="0"/>
    <x v="0"/>
    <m/>
  </r>
  <r>
    <s v="FB001753"/>
    <x v="3"/>
    <x v="1"/>
    <x v="3"/>
    <s v="L"/>
    <s v="M"/>
    <s v="Brown"/>
    <n v="121.33"/>
    <n v="0"/>
    <n v="0"/>
    <n v="0"/>
    <s v="No Discount"/>
    <n v="121.33"/>
    <s v="No Loss"/>
    <d v="2025-08-06T00:00:00"/>
    <n v="30"/>
    <s v="IN STOCK"/>
    <n v="4.2"/>
    <n v="4.2"/>
    <b v="0"/>
    <x v="0"/>
    <m/>
  </r>
  <r>
    <s v="FB001754"/>
    <x v="5"/>
    <x v="3"/>
    <x v="2"/>
    <s v="XL"/>
    <s v="XXL"/>
    <s v="Green"/>
    <n v="78.09"/>
    <n v="0"/>
    <n v="0"/>
    <n v="0"/>
    <s v="No Discount"/>
    <n v="78.09"/>
    <s v="No Loss"/>
    <d v="2025-08-06T00:00:00"/>
    <n v="6"/>
    <s v="LOW STOCK"/>
    <n v="2"/>
    <n v="2"/>
    <b v="0"/>
    <x v="0"/>
    <m/>
  </r>
  <r>
    <s v="FB001755"/>
    <x v="1"/>
    <x v="1"/>
    <x v="2"/>
    <s v="S"/>
    <s v="XXL"/>
    <s v="Red"/>
    <n v="109.19"/>
    <n v="0"/>
    <n v="0"/>
    <n v="0"/>
    <s v="No Discount"/>
    <n v="109.19"/>
    <s v="No Loss"/>
    <d v="2025-08-06T00:00:00"/>
    <n v="47"/>
    <s v="IN STOCK"/>
    <n v="4.5"/>
    <n v="4.5"/>
    <b v="0"/>
    <x v="0"/>
    <m/>
  </r>
  <r>
    <s v="FB001756"/>
    <x v="3"/>
    <x v="5"/>
    <x v="1"/>
    <s v="XXL"/>
    <s v="L"/>
    <s v="Black"/>
    <n v="126.74"/>
    <n v="0"/>
    <n v="0"/>
    <n v="0"/>
    <s v="No Discount"/>
    <n v="126.74"/>
    <s v="No Loss"/>
    <d v="2025-08-06T00:00:00"/>
    <n v="2"/>
    <s v="LOW STOCK"/>
    <n v="2.9"/>
    <n v="2.9"/>
    <b v="0"/>
    <x v="0"/>
    <m/>
  </r>
  <r>
    <s v="FB001757"/>
    <x v="3"/>
    <x v="4"/>
    <x v="0"/>
    <s v="L"/>
    <s v="XL"/>
    <s v="Black"/>
    <n v="95.85"/>
    <n v="0"/>
    <n v="0"/>
    <n v="0"/>
    <s v="No Discount"/>
    <n v="95.85"/>
    <s v="No Loss"/>
    <d v="2025-02-15T00:00:00"/>
    <n v="45"/>
    <s v="IN STOCK"/>
    <n v="5"/>
    <n v="5"/>
    <b v="0"/>
    <x v="0"/>
    <m/>
  </r>
  <r>
    <s v="FB001758"/>
    <x v="0"/>
    <x v="3"/>
    <x v="3"/>
    <s v="OS"/>
    <s v="S"/>
    <s v="Blue"/>
    <n v="213.98"/>
    <n v="0"/>
    <n v="0"/>
    <n v="0"/>
    <s v="No Discount"/>
    <n v="213.98"/>
    <s v="No Loss"/>
    <d v="2025-08-06T00:00:00"/>
    <n v="38"/>
    <s v="IN STOCK"/>
    <n v="0"/>
    <m/>
    <b v="0"/>
    <x v="0"/>
    <m/>
  </r>
  <r>
    <s v="FB001759"/>
    <x v="3"/>
    <x v="7"/>
    <x v="0"/>
    <s v="XS"/>
    <s v="XXL"/>
    <s v="Beige"/>
    <n v="146.22999999999999"/>
    <n v="0.4"/>
    <n v="40"/>
    <n v="58.491999999999997"/>
    <s v="high Discount"/>
    <n v="87.74"/>
    <s v="High Loss"/>
    <d v="2025-01-27T00:00:00"/>
    <n v="17"/>
    <s v="IN STOCK"/>
    <n v="2.6"/>
    <n v="2.6"/>
    <b v="1"/>
    <x v="4"/>
    <s v="Quality Issue"/>
  </r>
  <r>
    <s v="FB001760"/>
    <x v="4"/>
    <x v="3"/>
    <x v="1"/>
    <s v="M"/>
    <s v="L"/>
    <s v="Pink"/>
    <n v="115.57"/>
    <n v="0.161"/>
    <n v="16.100000000000001"/>
    <n v="18.606770000000001"/>
    <s v="Low Discount"/>
    <n v="96.96"/>
    <s v="Medium Loss"/>
    <d v="2025-08-06T00:00:00"/>
    <n v="32"/>
    <s v="IN STOCK"/>
    <n v="3.1"/>
    <n v="3.1"/>
    <b v="1"/>
    <x v="2"/>
    <s v="Size Issue"/>
  </r>
  <r>
    <s v="FB001761"/>
    <x v="2"/>
    <x v="2"/>
    <x v="0"/>
    <s v="S"/>
    <m/>
    <s v="Blue"/>
    <n v="66.62"/>
    <n v="0"/>
    <n v="0"/>
    <n v="0"/>
    <s v="No Discount"/>
    <n v="66.62"/>
    <s v="No Loss"/>
    <d v="2024-10-27T00:00:00"/>
    <n v="37"/>
    <s v="IN STOCK"/>
    <n v="0"/>
    <m/>
    <b v="0"/>
    <x v="0"/>
    <m/>
  </r>
  <r>
    <s v="FB001762"/>
    <x v="5"/>
    <x v="2"/>
    <x v="0"/>
    <s v="OS"/>
    <s v="XS"/>
    <s v="Purple"/>
    <n v="60.37"/>
    <n v="0.23100000000000001"/>
    <n v="23.1"/>
    <n v="13.94547"/>
    <s v="Medium Discount"/>
    <n v="46.42"/>
    <s v="Medium Loss"/>
    <d v="2025-03-14T00:00:00"/>
    <n v="30"/>
    <s v="IN STOCK"/>
    <n v="4.8"/>
    <n v="4.8"/>
    <b v="0"/>
    <x v="0"/>
    <m/>
  </r>
  <r>
    <s v="FB001763"/>
    <x v="3"/>
    <x v="4"/>
    <x v="1"/>
    <s v="XXL"/>
    <s v="M"/>
    <s v="Blue"/>
    <n v="83.2"/>
    <n v="0.57100000000000006"/>
    <n v="57.1"/>
    <n v="47.507200000000005"/>
    <s v="high Discount"/>
    <n v="35.69"/>
    <s v="High Loss"/>
    <d v="2025-08-06T00:00:00"/>
    <n v="10"/>
    <s v="LOW STOCK"/>
    <n v="3.3"/>
    <n v="3.3"/>
    <b v="0"/>
    <x v="0"/>
    <m/>
  </r>
  <r>
    <s v="FB001764"/>
    <x v="0"/>
    <x v="1"/>
    <x v="3"/>
    <s v="S"/>
    <s v="S"/>
    <s v="Navy"/>
    <n v="204.47"/>
    <n v="3.6000000000000004E-2"/>
    <n v="3.6"/>
    <n v="7.360920000000001"/>
    <s v="Low Discount"/>
    <n v="197.11"/>
    <s v="Low Loss"/>
    <d v="2025-08-06T00:00:00"/>
    <n v="26"/>
    <s v="IN STOCK"/>
    <n v="0"/>
    <m/>
    <b v="0"/>
    <x v="0"/>
    <m/>
  </r>
  <r>
    <s v="FB001765"/>
    <x v="2"/>
    <x v="3"/>
    <x v="2"/>
    <s v="L"/>
    <m/>
    <s v="Purple"/>
    <n v="52.73"/>
    <n v="0"/>
    <n v="0"/>
    <n v="0"/>
    <s v="No Discount"/>
    <n v="52.73"/>
    <s v="No Loss"/>
    <d v="2025-08-06T00:00:00"/>
    <n v="42"/>
    <s v="IN STOCK"/>
    <n v="0"/>
    <m/>
    <b v="0"/>
    <x v="0"/>
    <m/>
  </r>
  <r>
    <s v="FB001766"/>
    <x v="4"/>
    <x v="7"/>
    <x v="2"/>
    <s v="XS"/>
    <s v="XXL"/>
    <s v="Beige"/>
    <n v="61.1"/>
    <n v="0"/>
    <n v="0"/>
    <n v="0"/>
    <s v="No Discount"/>
    <n v="61.1"/>
    <s v="No Loss"/>
    <d v="2025-08-06T00:00:00"/>
    <n v="30"/>
    <s v="IN STOCK"/>
    <n v="4.5999999999999996"/>
    <n v="4.5999999999999996"/>
    <b v="0"/>
    <x v="0"/>
    <m/>
  </r>
  <r>
    <s v="FB001767"/>
    <x v="0"/>
    <x v="0"/>
    <x v="3"/>
    <s v="M"/>
    <s v="S"/>
    <s v="Gray"/>
    <n v="227.92"/>
    <n v="0"/>
    <n v="0"/>
    <n v="0"/>
    <s v="No Discount"/>
    <n v="227.92"/>
    <s v="No Loss"/>
    <d v="2025-08-06T00:00:00"/>
    <n v="34"/>
    <s v="IN STOCK"/>
    <n v="0"/>
    <m/>
    <b v="0"/>
    <x v="0"/>
    <m/>
  </r>
  <r>
    <s v="FB001768"/>
    <x v="5"/>
    <x v="4"/>
    <x v="2"/>
    <s v="OS"/>
    <s v="L"/>
    <s v="Blue"/>
    <n v="111.55"/>
    <n v="0"/>
    <n v="0"/>
    <n v="0"/>
    <s v="No Discount"/>
    <n v="111.55"/>
    <s v="No Loss"/>
    <d v="2025-08-06T00:00:00"/>
    <n v="14"/>
    <s v="IN STOCK"/>
    <n v="0"/>
    <m/>
    <b v="0"/>
    <x v="0"/>
    <m/>
  </r>
  <r>
    <s v="FB001769"/>
    <x v="4"/>
    <x v="7"/>
    <x v="2"/>
    <s v="OS"/>
    <s v="XS"/>
    <s v="Pink"/>
    <n v="29.09"/>
    <n v="0.29600000000000004"/>
    <n v="29.6"/>
    <n v="8.6106400000000018"/>
    <s v="Medium Discount"/>
    <n v="20.48"/>
    <s v="Low Loss"/>
    <d v="2025-08-06T00:00:00"/>
    <n v="25"/>
    <s v="IN STOCK"/>
    <n v="4.8"/>
    <n v="4.8"/>
    <b v="0"/>
    <x v="0"/>
    <m/>
  </r>
  <r>
    <s v="FB001770"/>
    <x v="5"/>
    <x v="4"/>
    <x v="2"/>
    <s v="OS"/>
    <s v="M"/>
    <s v="Pink"/>
    <n v="179.71"/>
    <n v="0"/>
    <n v="0"/>
    <n v="0"/>
    <s v="No Discount"/>
    <n v="179.71"/>
    <s v="No Loss"/>
    <d v="2025-08-06T00:00:00"/>
    <n v="9"/>
    <s v="LOW STOCK"/>
    <n v="3.9"/>
    <n v="3.9"/>
    <b v="0"/>
    <x v="0"/>
    <m/>
  </r>
  <r>
    <s v="FB001771"/>
    <x v="2"/>
    <x v="4"/>
    <x v="3"/>
    <s v="XL"/>
    <m/>
    <s v="Pink"/>
    <n v="52.76"/>
    <n v="0.39399999999999996"/>
    <n v="39.4"/>
    <n v="20.787439999999997"/>
    <s v="high Discount"/>
    <n v="31.97"/>
    <s v="High Loss"/>
    <d v="2025-08-06T00:00:00"/>
    <n v="0"/>
    <s v="NO STOCK"/>
    <n v="1.4"/>
    <n v="1.4"/>
    <b v="0"/>
    <x v="0"/>
    <m/>
  </r>
  <r>
    <s v="FB001772"/>
    <x v="2"/>
    <x v="1"/>
    <x v="0"/>
    <s v="XS"/>
    <m/>
    <s v="Green"/>
    <n v="67.900000000000006"/>
    <n v="0"/>
    <n v="0"/>
    <n v="0"/>
    <s v="No Discount"/>
    <n v="67.900000000000006"/>
    <s v="No Loss"/>
    <d v="2024-12-31T00:00:00"/>
    <n v="1"/>
    <s v="LOW STOCK"/>
    <n v="1.3"/>
    <n v="1.3"/>
    <b v="0"/>
    <x v="0"/>
    <m/>
  </r>
  <r>
    <s v="FB001773"/>
    <x v="2"/>
    <x v="1"/>
    <x v="2"/>
    <s v="M"/>
    <m/>
    <s v="Navy"/>
    <n v="46.77"/>
    <n v="0.40799999999999997"/>
    <n v="40.799999999999997"/>
    <n v="19.082160000000002"/>
    <s v="high Discount"/>
    <n v="27.69"/>
    <s v="Medium Loss"/>
    <d v="2025-08-06T00:00:00"/>
    <n v="25"/>
    <s v="IN STOCK"/>
    <n v="2.6"/>
    <n v="2.6"/>
    <b v="0"/>
    <x v="0"/>
    <m/>
  </r>
  <r>
    <s v="FB001774"/>
    <x v="1"/>
    <x v="1"/>
    <x v="1"/>
    <s v="M"/>
    <s v="XL"/>
    <s v="Navy"/>
    <n v="91.6"/>
    <n v="0"/>
    <n v="0"/>
    <n v="0"/>
    <s v="No Discount"/>
    <n v="91.6"/>
    <s v="No Loss"/>
    <d v="2025-08-06T00:00:00"/>
    <n v="6"/>
    <s v="LOW STOCK"/>
    <n v="2.7"/>
    <n v="2.7"/>
    <b v="0"/>
    <x v="0"/>
    <m/>
  </r>
  <r>
    <s v="FB001775"/>
    <x v="0"/>
    <x v="1"/>
    <x v="0"/>
    <s v="OS"/>
    <s v="XS"/>
    <s v="Pink"/>
    <n v="230.39"/>
    <n v="4.2000000000000003E-2"/>
    <n v="4.2"/>
    <n v="9.67638"/>
    <s v="Low Discount"/>
    <n v="220.71"/>
    <s v="Low Loss"/>
    <d v="2024-10-15T00:00:00"/>
    <n v="34"/>
    <s v="IN STOCK"/>
    <n v="3.5"/>
    <n v="3.5"/>
    <b v="0"/>
    <x v="0"/>
    <m/>
  </r>
  <r>
    <s v="FB001776"/>
    <x v="0"/>
    <x v="5"/>
    <x v="2"/>
    <s v="XL"/>
    <s v="M"/>
    <s v="Blue"/>
    <n v="118.37"/>
    <n v="0"/>
    <n v="0"/>
    <n v="0"/>
    <s v="No Discount"/>
    <n v="118.37"/>
    <s v="No Loss"/>
    <d v="2025-08-06T00:00:00"/>
    <n v="45"/>
    <s v="IN STOCK"/>
    <n v="0"/>
    <m/>
    <b v="0"/>
    <x v="0"/>
    <m/>
  </r>
  <r>
    <s v="FB001777"/>
    <x v="3"/>
    <x v="6"/>
    <x v="1"/>
    <s v="M"/>
    <s v="M"/>
    <s v="Red"/>
    <n v="81.260000000000005"/>
    <n v="0.32700000000000001"/>
    <n v="32.700000000000003"/>
    <n v="26.572020000000002"/>
    <s v="high Discount"/>
    <n v="54.69"/>
    <s v="High Loss"/>
    <d v="2025-08-06T00:00:00"/>
    <n v="2"/>
    <s v="LOW STOCK"/>
    <n v="3.3"/>
    <n v="3.3"/>
    <b v="0"/>
    <x v="0"/>
    <m/>
  </r>
  <r>
    <s v="FB001778"/>
    <x v="2"/>
    <x v="4"/>
    <x v="2"/>
    <s v="XL"/>
    <m/>
    <s v="Purple"/>
    <n v="57.21"/>
    <n v="0.18"/>
    <n v="18"/>
    <n v="10.297800000000001"/>
    <s v="Low Discount"/>
    <n v="46.91"/>
    <s v="Medium Loss"/>
    <d v="2025-08-06T00:00:00"/>
    <n v="7"/>
    <s v="LOW STOCK"/>
    <n v="2.5"/>
    <n v="2.5"/>
    <b v="0"/>
    <x v="0"/>
    <m/>
  </r>
  <r>
    <s v="FB001779"/>
    <x v="5"/>
    <x v="7"/>
    <x v="3"/>
    <s v="L"/>
    <s v="XL"/>
    <s v="Brown"/>
    <n v="74.53"/>
    <n v="0"/>
    <n v="0"/>
    <n v="0"/>
    <s v="No Discount"/>
    <n v="74.53"/>
    <s v="No Loss"/>
    <d v="2025-08-06T00:00:00"/>
    <n v="9"/>
    <s v="LOW STOCK"/>
    <n v="0"/>
    <m/>
    <b v="0"/>
    <x v="0"/>
    <m/>
  </r>
  <r>
    <s v="FB001780"/>
    <x v="5"/>
    <x v="2"/>
    <x v="3"/>
    <s v="OS"/>
    <s v="M"/>
    <s v="Red"/>
    <n v="69.540000000000006"/>
    <n v="0"/>
    <n v="0"/>
    <n v="0"/>
    <s v="No Discount"/>
    <n v="69.540000000000006"/>
    <s v="No Loss"/>
    <d v="2025-08-06T00:00:00"/>
    <n v="40"/>
    <s v="IN STOCK"/>
    <n v="3.2"/>
    <n v="3.2"/>
    <b v="1"/>
    <x v="2"/>
    <s v="Size Issue"/>
  </r>
  <r>
    <s v="FB001781"/>
    <x v="5"/>
    <x v="5"/>
    <x v="3"/>
    <s v="XL"/>
    <s v="XL"/>
    <s v="Brown"/>
    <n v="102.71"/>
    <n v="0.55899999999999994"/>
    <n v="55.9"/>
    <n v="57.414889999999993"/>
    <s v="high Discount"/>
    <n v="45.3"/>
    <s v="High Loss"/>
    <d v="2025-08-06T00:00:00"/>
    <n v="31"/>
    <s v="IN STOCK"/>
    <n v="4.5999999999999996"/>
    <n v="4.5999999999999996"/>
    <b v="0"/>
    <x v="0"/>
    <m/>
  </r>
  <r>
    <s v="FB001782"/>
    <x v="3"/>
    <x v="6"/>
    <x v="3"/>
    <s v="L"/>
    <s v="L"/>
    <s v="Beige"/>
    <n v="117.82"/>
    <n v="0"/>
    <n v="0"/>
    <n v="0"/>
    <s v="No Discount"/>
    <n v="117.82"/>
    <s v="No Loss"/>
    <d v="2025-08-06T00:00:00"/>
    <n v="7"/>
    <s v="LOW STOCK"/>
    <n v="4.9000000000000004"/>
    <n v="4.9000000000000004"/>
    <b v="0"/>
    <x v="0"/>
    <m/>
  </r>
  <r>
    <s v="FB001783"/>
    <x v="2"/>
    <x v="6"/>
    <x v="0"/>
    <s v="OS"/>
    <m/>
    <s v="Purple"/>
    <n v="61.01"/>
    <n v="0"/>
    <n v="0"/>
    <n v="0"/>
    <s v="No Discount"/>
    <n v="61.01"/>
    <s v="No Loss"/>
    <d v="2025-04-25T00:00:00"/>
    <n v="30"/>
    <s v="IN STOCK"/>
    <n v="3.4"/>
    <n v="3.4"/>
    <b v="0"/>
    <x v="0"/>
    <m/>
  </r>
  <r>
    <s v="FB001784"/>
    <x v="0"/>
    <x v="7"/>
    <x v="1"/>
    <s v="XXL"/>
    <s v="XL"/>
    <s v="Pink"/>
    <n v="222.01"/>
    <n v="0"/>
    <n v="0"/>
    <n v="0"/>
    <s v="No Discount"/>
    <n v="222.01"/>
    <s v="No Loss"/>
    <d v="2025-08-06T00:00:00"/>
    <n v="27"/>
    <s v="IN STOCK"/>
    <n v="2.1"/>
    <n v="2.1"/>
    <b v="0"/>
    <x v="0"/>
    <m/>
  </r>
  <r>
    <s v="FB001785"/>
    <x v="0"/>
    <x v="4"/>
    <x v="3"/>
    <s v="S"/>
    <s v="L"/>
    <s v="Brown"/>
    <n v="123.55"/>
    <n v="0"/>
    <n v="0"/>
    <n v="0"/>
    <s v="No Discount"/>
    <n v="123.55"/>
    <s v="No Loss"/>
    <d v="2025-08-06T00:00:00"/>
    <n v="28"/>
    <s v="IN STOCK"/>
    <n v="1.2"/>
    <n v="1.2"/>
    <b v="0"/>
    <x v="0"/>
    <m/>
  </r>
  <r>
    <s v="FB001786"/>
    <x v="2"/>
    <x v="0"/>
    <x v="2"/>
    <s v="OS"/>
    <m/>
    <s v="Black"/>
    <n v="24.65"/>
    <n v="0"/>
    <n v="0"/>
    <n v="0"/>
    <s v="No Discount"/>
    <n v="24.65"/>
    <s v="No Loss"/>
    <d v="2025-08-06T00:00:00"/>
    <n v="43"/>
    <s v="IN STOCK"/>
    <n v="1.1000000000000001"/>
    <n v="1.1000000000000001"/>
    <b v="0"/>
    <x v="0"/>
    <m/>
  </r>
  <r>
    <s v="FB001787"/>
    <x v="0"/>
    <x v="2"/>
    <x v="2"/>
    <s v="OS"/>
    <s v="XXL"/>
    <s v="Navy"/>
    <n v="168.8"/>
    <n v="0"/>
    <n v="0"/>
    <n v="0"/>
    <s v="No Discount"/>
    <n v="168.8"/>
    <s v="No Loss"/>
    <d v="2025-08-06T00:00:00"/>
    <n v="1"/>
    <s v="LOW STOCK"/>
    <n v="1"/>
    <n v="1"/>
    <b v="0"/>
    <x v="0"/>
    <m/>
  </r>
  <r>
    <s v="FB001788"/>
    <x v="1"/>
    <x v="6"/>
    <x v="2"/>
    <s v="OS"/>
    <s v="S"/>
    <s v="Green"/>
    <n v="39.159999999999997"/>
    <n v="0.40100000000000002"/>
    <n v="40.1"/>
    <n v="15.703159999999999"/>
    <s v="high Discount"/>
    <n v="23.46"/>
    <s v="Medium Loss"/>
    <d v="2025-08-06T00:00:00"/>
    <n v="4"/>
    <s v="LOW STOCK"/>
    <n v="2.8"/>
    <n v="2.8"/>
    <b v="0"/>
    <x v="0"/>
    <m/>
  </r>
  <r>
    <s v="FB001789"/>
    <x v="4"/>
    <x v="4"/>
    <x v="2"/>
    <s v="XS"/>
    <m/>
    <s v="Brown"/>
    <n v="74.760000000000005"/>
    <n v="0"/>
    <n v="0"/>
    <n v="0"/>
    <s v="No Discount"/>
    <n v="74.760000000000005"/>
    <s v="No Loss"/>
    <d v="2025-08-06T00:00:00"/>
    <n v="50"/>
    <s v="IN STOCK"/>
    <n v="4.4000000000000004"/>
    <n v="4.4000000000000004"/>
    <b v="1"/>
    <x v="1"/>
    <s v="Color Mismatch"/>
  </r>
  <r>
    <s v="FB001790"/>
    <x v="2"/>
    <x v="6"/>
    <x v="1"/>
    <s v="XS"/>
    <m/>
    <s v="Navy"/>
    <n v="37"/>
    <n v="0"/>
    <n v="0"/>
    <n v="0"/>
    <s v="No Discount"/>
    <n v="37"/>
    <s v="No Loss"/>
    <d v="2025-08-06T00:00:00"/>
    <n v="5"/>
    <s v="LOW STOCK"/>
    <n v="4.9000000000000004"/>
    <n v="4.9000000000000004"/>
    <b v="0"/>
    <x v="0"/>
    <m/>
  </r>
  <r>
    <s v="FB001791"/>
    <x v="2"/>
    <x v="3"/>
    <x v="1"/>
    <s v="XS"/>
    <m/>
    <s v="Black"/>
    <n v="67.38"/>
    <n v="0"/>
    <n v="0"/>
    <n v="0"/>
    <s v="No Discount"/>
    <n v="67.38"/>
    <s v="No Loss"/>
    <d v="2025-08-06T00:00:00"/>
    <n v="15"/>
    <s v="IN STOCK"/>
    <n v="1.6"/>
    <n v="1.6"/>
    <b v="0"/>
    <x v="0"/>
    <m/>
  </r>
  <r>
    <s v="FB001792"/>
    <x v="4"/>
    <x v="4"/>
    <x v="3"/>
    <s v="XXL"/>
    <s v="XS"/>
    <s v="White"/>
    <n v="77.44"/>
    <n v="1.3999999999999999E-2"/>
    <n v="1.4"/>
    <n v="1.0841599999999998"/>
    <s v="Low Discount"/>
    <n v="76.36"/>
    <s v="Low Loss"/>
    <d v="2025-08-06T00:00:00"/>
    <n v="18"/>
    <s v="IN STOCK"/>
    <n v="3.3"/>
    <n v="3.3"/>
    <b v="0"/>
    <x v="0"/>
    <m/>
  </r>
  <r>
    <s v="FB001793"/>
    <x v="0"/>
    <x v="4"/>
    <x v="3"/>
    <s v="XL"/>
    <s v="XS"/>
    <s v="Gray"/>
    <n v="215.06"/>
    <n v="0"/>
    <n v="0"/>
    <n v="0"/>
    <s v="No Discount"/>
    <n v="215.06"/>
    <s v="No Loss"/>
    <d v="2025-08-06T00:00:00"/>
    <n v="50"/>
    <s v="IN STOCK"/>
    <n v="1.6"/>
    <n v="1.6"/>
    <b v="0"/>
    <x v="0"/>
    <m/>
  </r>
  <r>
    <s v="FB001794"/>
    <x v="0"/>
    <x v="2"/>
    <x v="1"/>
    <s v="XXL"/>
    <s v="XS"/>
    <s v="Gray"/>
    <n v="141.44"/>
    <n v="0"/>
    <n v="0"/>
    <n v="0"/>
    <s v="No Discount"/>
    <n v="141.44"/>
    <s v="No Loss"/>
    <d v="2025-08-06T00:00:00"/>
    <n v="34"/>
    <s v="IN STOCK"/>
    <n v="2.4"/>
    <n v="2.4"/>
    <b v="0"/>
    <x v="0"/>
    <m/>
  </r>
  <r>
    <s v="FB001795"/>
    <x v="5"/>
    <x v="5"/>
    <x v="0"/>
    <s v="OS"/>
    <s v="XXL"/>
    <s v="White"/>
    <n v="151.83000000000001"/>
    <n v="0"/>
    <n v="0"/>
    <n v="0"/>
    <s v="No Discount"/>
    <n v="151.83000000000001"/>
    <s v="No Loss"/>
    <d v="2025-06-17T00:00:00"/>
    <n v="24"/>
    <s v="IN STOCK"/>
    <n v="4.3"/>
    <n v="4.3"/>
    <b v="1"/>
    <x v="6"/>
    <s v="Wrong Item"/>
  </r>
  <r>
    <s v="FB001796"/>
    <x v="0"/>
    <x v="6"/>
    <x v="1"/>
    <s v="OS"/>
    <s v="XL"/>
    <s v="Gray"/>
    <n v="140.07"/>
    <n v="0"/>
    <n v="0"/>
    <n v="0"/>
    <s v="No Discount"/>
    <n v="140.07"/>
    <s v="No Loss"/>
    <d v="2025-08-06T00:00:00"/>
    <n v="23"/>
    <s v="IN STOCK"/>
    <n v="2.7"/>
    <n v="2.7"/>
    <b v="0"/>
    <x v="0"/>
    <m/>
  </r>
  <r>
    <s v="FB001797"/>
    <x v="5"/>
    <x v="3"/>
    <x v="3"/>
    <s v="XXL"/>
    <s v="XXL"/>
    <s v="Pink"/>
    <n v="94.26"/>
    <n v="0.28899999999999998"/>
    <n v="28.9"/>
    <n v="27.241139999999998"/>
    <s v="Medium Discount"/>
    <n v="67.02"/>
    <s v="High Loss"/>
    <d v="2025-08-06T00:00:00"/>
    <n v="44"/>
    <s v="IN STOCK"/>
    <n v="3.6"/>
    <n v="3.6"/>
    <b v="0"/>
    <x v="0"/>
    <m/>
  </r>
  <r>
    <s v="FB001798"/>
    <x v="2"/>
    <x v="5"/>
    <x v="1"/>
    <s v="L"/>
    <m/>
    <s v="Green"/>
    <n v="55.79"/>
    <n v="0.27300000000000002"/>
    <n v="27.3"/>
    <n v="15.230670000000002"/>
    <s v="Medium Discount"/>
    <n v="40.56"/>
    <s v="Medium Loss"/>
    <d v="2025-08-06T00:00:00"/>
    <n v="39"/>
    <s v="IN STOCK"/>
    <n v="4.9000000000000004"/>
    <n v="4.9000000000000004"/>
    <b v="0"/>
    <x v="0"/>
    <m/>
  </r>
  <r>
    <s v="FB001799"/>
    <x v="2"/>
    <x v="6"/>
    <x v="1"/>
    <s v="L"/>
    <m/>
    <s v="Black"/>
    <n v="58.99"/>
    <n v="0"/>
    <n v="0"/>
    <n v="0"/>
    <s v="No Discount"/>
    <n v="58.99"/>
    <s v="No Loss"/>
    <d v="2025-08-06T00:00:00"/>
    <n v="50"/>
    <s v="IN STOCK"/>
    <n v="2.7"/>
    <n v="2.7"/>
    <b v="0"/>
    <x v="0"/>
    <m/>
  </r>
  <r>
    <s v="FB001800"/>
    <x v="4"/>
    <x v="7"/>
    <x v="3"/>
    <s v="XXL"/>
    <s v="XXL"/>
    <s v="Purple"/>
    <n v="61.96"/>
    <n v="0"/>
    <n v="0"/>
    <n v="0"/>
    <s v="No Discount"/>
    <n v="61.96"/>
    <s v="No Loss"/>
    <d v="2025-08-06T00:00:00"/>
    <n v="13"/>
    <s v="IN STOCK"/>
    <n v="3.9"/>
    <n v="3.9"/>
    <b v="0"/>
    <x v="0"/>
    <m/>
  </r>
  <r>
    <s v="FB001801"/>
    <x v="4"/>
    <x v="0"/>
    <x v="2"/>
    <s v="XS"/>
    <s v="L"/>
    <s v="Brown"/>
    <n v="104.25"/>
    <n v="0"/>
    <n v="0"/>
    <n v="0"/>
    <s v="No Discount"/>
    <n v="104.25"/>
    <s v="No Loss"/>
    <d v="2025-08-06T00:00:00"/>
    <n v="35"/>
    <s v="IN STOCK"/>
    <n v="3.1"/>
    <n v="3.1"/>
    <b v="0"/>
    <x v="0"/>
    <m/>
  </r>
  <r>
    <s v="FB001802"/>
    <x v="0"/>
    <x v="4"/>
    <x v="1"/>
    <s v="OS"/>
    <s v="L"/>
    <s v="Gray"/>
    <n v="102.68"/>
    <n v="0"/>
    <n v="0"/>
    <n v="0"/>
    <s v="No Discount"/>
    <n v="102.68"/>
    <s v="No Loss"/>
    <d v="2025-08-06T00:00:00"/>
    <n v="18"/>
    <s v="IN STOCK"/>
    <n v="1.9"/>
    <n v="1.9"/>
    <b v="0"/>
    <x v="0"/>
    <m/>
  </r>
  <r>
    <s v="FB001803"/>
    <x v="5"/>
    <x v="6"/>
    <x v="1"/>
    <s v="L"/>
    <s v="XXL"/>
    <s v="Beige"/>
    <n v="131.05000000000001"/>
    <n v="0.32600000000000001"/>
    <n v="32.6"/>
    <n v="42.722300000000004"/>
    <s v="high Discount"/>
    <n v="88.33"/>
    <s v="High Loss"/>
    <d v="2025-08-06T00:00:00"/>
    <n v="9"/>
    <s v="LOW STOCK"/>
    <n v="0"/>
    <m/>
    <b v="0"/>
    <x v="0"/>
    <m/>
  </r>
  <r>
    <s v="FB001804"/>
    <x v="0"/>
    <x v="2"/>
    <x v="0"/>
    <s v="OS"/>
    <s v="XS"/>
    <s v="Navy"/>
    <n v="139.72999999999999"/>
    <n v="0.54299999999999993"/>
    <n v="54.3"/>
    <n v="75.873389999999986"/>
    <s v="high Discount"/>
    <n v="63.86"/>
    <s v="High Loss"/>
    <d v="2025-03-27T00:00:00"/>
    <n v="38"/>
    <s v="IN STOCK"/>
    <n v="0"/>
    <m/>
    <b v="1"/>
    <x v="5"/>
    <s v="Changed Mind"/>
  </r>
  <r>
    <s v="FB001805"/>
    <x v="2"/>
    <x v="7"/>
    <x v="1"/>
    <s v="OS"/>
    <m/>
    <s v="Navy"/>
    <n v="17.59"/>
    <n v="0"/>
    <n v="0"/>
    <n v="0"/>
    <s v="No Discount"/>
    <n v="17.59"/>
    <s v="No Loss"/>
    <d v="2025-08-06T00:00:00"/>
    <n v="14"/>
    <s v="IN STOCK"/>
    <n v="0"/>
    <m/>
    <b v="0"/>
    <x v="0"/>
    <m/>
  </r>
  <r>
    <s v="FB001806"/>
    <x v="3"/>
    <x v="0"/>
    <x v="2"/>
    <s v="L"/>
    <s v="L"/>
    <s v="Red"/>
    <n v="115.09"/>
    <n v="0"/>
    <n v="0"/>
    <n v="0"/>
    <s v="No Discount"/>
    <n v="115.09"/>
    <s v="No Loss"/>
    <d v="2025-08-06T00:00:00"/>
    <n v="10"/>
    <s v="LOW STOCK"/>
    <n v="2.5"/>
    <n v="2.5"/>
    <b v="0"/>
    <x v="0"/>
    <m/>
  </r>
  <r>
    <s v="FB001807"/>
    <x v="2"/>
    <x v="0"/>
    <x v="3"/>
    <s v="OS"/>
    <m/>
    <s v="Black"/>
    <n v="73.75"/>
    <n v="0"/>
    <n v="0"/>
    <n v="0"/>
    <s v="No Discount"/>
    <n v="73.75"/>
    <s v="No Loss"/>
    <d v="2025-08-06T00:00:00"/>
    <n v="23"/>
    <s v="IN STOCK"/>
    <n v="4.5"/>
    <n v="4.5"/>
    <b v="0"/>
    <x v="0"/>
    <m/>
  </r>
  <r>
    <s v="FB001808"/>
    <x v="2"/>
    <x v="5"/>
    <x v="1"/>
    <s v="OS"/>
    <m/>
    <s v="Navy"/>
    <n v="66.77"/>
    <n v="0"/>
    <n v="0"/>
    <n v="0"/>
    <s v="No Discount"/>
    <n v="66.77"/>
    <s v="No Loss"/>
    <d v="2025-08-06T00:00:00"/>
    <n v="28"/>
    <s v="IN STOCK"/>
    <n v="5"/>
    <n v="5"/>
    <b v="1"/>
    <x v="2"/>
    <s v="Size Issue"/>
  </r>
  <r>
    <s v="FB001809"/>
    <x v="1"/>
    <x v="4"/>
    <x v="2"/>
    <s v="S"/>
    <s v="L"/>
    <s v="White"/>
    <n v="63.92"/>
    <n v="0"/>
    <n v="0"/>
    <n v="0"/>
    <s v="No Discount"/>
    <n v="63.92"/>
    <s v="No Loss"/>
    <d v="2025-08-06T00:00:00"/>
    <n v="10"/>
    <s v="LOW STOCK"/>
    <n v="4.4000000000000004"/>
    <n v="4.4000000000000004"/>
    <b v="0"/>
    <x v="0"/>
    <m/>
  </r>
  <r>
    <s v="FB001810"/>
    <x v="2"/>
    <x v="4"/>
    <x v="2"/>
    <s v="XL"/>
    <m/>
    <s v="Green"/>
    <n v="26.26"/>
    <n v="0"/>
    <n v="0"/>
    <n v="0"/>
    <s v="No Discount"/>
    <n v="26.26"/>
    <s v="No Loss"/>
    <d v="2025-08-06T00:00:00"/>
    <n v="27"/>
    <s v="IN STOCK"/>
    <n v="0"/>
    <m/>
    <b v="0"/>
    <x v="0"/>
    <m/>
  </r>
  <r>
    <s v="FB001811"/>
    <x v="2"/>
    <x v="4"/>
    <x v="0"/>
    <s v="XXL"/>
    <m/>
    <s v="White"/>
    <n v="62.58"/>
    <n v="8.8000000000000009E-2"/>
    <n v="8.8000000000000007"/>
    <n v="5.5070400000000008"/>
    <s v="Low Discount"/>
    <n v="57.07"/>
    <s v="Low Loss"/>
    <d v="2024-11-06T00:00:00"/>
    <n v="1"/>
    <s v="LOW STOCK"/>
    <n v="1.7"/>
    <n v="1.7"/>
    <b v="0"/>
    <x v="0"/>
    <m/>
  </r>
  <r>
    <s v="FB001812"/>
    <x v="3"/>
    <x v="2"/>
    <x v="3"/>
    <s v="L"/>
    <s v="S"/>
    <s v="Green"/>
    <n v="143.88"/>
    <n v="0"/>
    <n v="0"/>
    <n v="0"/>
    <s v="No Discount"/>
    <n v="143.88"/>
    <s v="No Loss"/>
    <d v="2025-08-06T00:00:00"/>
    <n v="1"/>
    <s v="LOW STOCK"/>
    <n v="3.1"/>
    <n v="3.1"/>
    <b v="0"/>
    <x v="0"/>
    <m/>
  </r>
  <r>
    <s v="FB001813"/>
    <x v="0"/>
    <x v="0"/>
    <x v="0"/>
    <s v="OS"/>
    <s v="XL"/>
    <s v="Blue"/>
    <n v="226.24"/>
    <n v="1.2E-2"/>
    <n v="1.2"/>
    <n v="2.71488"/>
    <s v="Low Discount"/>
    <n v="223.53"/>
    <s v="Low Loss"/>
    <d v="2025-02-20T00:00:00"/>
    <n v="24"/>
    <s v="IN STOCK"/>
    <n v="4.5"/>
    <n v="4.5"/>
    <b v="0"/>
    <x v="0"/>
    <m/>
  </r>
  <r>
    <s v="FB001814"/>
    <x v="3"/>
    <x v="6"/>
    <x v="0"/>
    <s v="L"/>
    <s v="XXL"/>
    <s v="Black"/>
    <n v="164.75"/>
    <n v="0"/>
    <n v="0"/>
    <n v="0"/>
    <s v="No Discount"/>
    <n v="164.75"/>
    <s v="No Loss"/>
    <d v="2025-05-02T00:00:00"/>
    <n v="8"/>
    <s v="LOW STOCK"/>
    <n v="3.7"/>
    <n v="3.7"/>
    <b v="0"/>
    <x v="0"/>
    <m/>
  </r>
  <r>
    <s v="FB001815"/>
    <x v="4"/>
    <x v="0"/>
    <x v="3"/>
    <s v="XXL"/>
    <s v="L"/>
    <s v="Navy"/>
    <n v="56.14"/>
    <n v="0"/>
    <n v="0"/>
    <n v="0"/>
    <s v="No Discount"/>
    <n v="56.14"/>
    <s v="No Loss"/>
    <d v="2025-08-06T00:00:00"/>
    <n v="16"/>
    <s v="IN STOCK"/>
    <n v="4.3"/>
    <n v="4.3"/>
    <b v="0"/>
    <x v="0"/>
    <m/>
  </r>
  <r>
    <s v="FB001816"/>
    <x v="2"/>
    <x v="4"/>
    <x v="1"/>
    <s v="XL"/>
    <m/>
    <s v="Red"/>
    <n v="39.96"/>
    <n v="0"/>
    <n v="0"/>
    <n v="0"/>
    <s v="No Discount"/>
    <n v="39.96"/>
    <s v="No Loss"/>
    <d v="2025-08-06T00:00:00"/>
    <n v="49"/>
    <s v="IN STOCK"/>
    <n v="0"/>
    <m/>
    <b v="0"/>
    <x v="0"/>
    <m/>
  </r>
  <r>
    <s v="FB001817"/>
    <x v="4"/>
    <x v="5"/>
    <x v="3"/>
    <s v="S"/>
    <s v="L"/>
    <s v="Navy"/>
    <n v="26.5"/>
    <n v="0.57899999999999996"/>
    <n v="57.9"/>
    <n v="15.343499999999999"/>
    <s v="high Discount"/>
    <n v="11.16"/>
    <s v="Medium Loss"/>
    <d v="2025-08-06T00:00:00"/>
    <n v="8"/>
    <s v="LOW STOCK"/>
    <n v="1.7"/>
    <n v="1.7"/>
    <b v="0"/>
    <x v="0"/>
    <m/>
  </r>
  <r>
    <s v="FB001818"/>
    <x v="3"/>
    <x v="4"/>
    <x v="0"/>
    <s v="XS"/>
    <s v="XXL"/>
    <s v="Brown"/>
    <n v="118.53"/>
    <n v="0.55000000000000004"/>
    <n v="55"/>
    <n v="65.191500000000005"/>
    <s v="high Discount"/>
    <n v="53.34"/>
    <s v="High Loss"/>
    <d v="2025-04-25T00:00:00"/>
    <n v="2"/>
    <s v="LOW STOCK"/>
    <n v="4.9000000000000004"/>
    <n v="4.9000000000000004"/>
    <b v="0"/>
    <x v="0"/>
    <m/>
  </r>
  <r>
    <s v="FB001819"/>
    <x v="5"/>
    <x v="3"/>
    <x v="3"/>
    <s v="S"/>
    <s v="XL"/>
    <s v="Purple"/>
    <n v="58.08"/>
    <n v="0"/>
    <n v="0"/>
    <n v="0"/>
    <s v="No Discount"/>
    <n v="58.08"/>
    <s v="No Loss"/>
    <d v="2025-08-06T00:00:00"/>
    <n v="42"/>
    <s v="IN STOCK"/>
    <n v="1.6"/>
    <n v="1.6"/>
    <b v="0"/>
    <x v="0"/>
    <m/>
  </r>
  <r>
    <s v="FB001820"/>
    <x v="3"/>
    <x v="4"/>
    <x v="3"/>
    <s v="XXL"/>
    <s v="S"/>
    <s v="Navy"/>
    <n v="138.85"/>
    <n v="0.15"/>
    <n v="15"/>
    <n v="20.827499999999997"/>
    <s v="Low Discount"/>
    <n v="118.02"/>
    <s v="High Loss"/>
    <d v="2025-08-06T00:00:00"/>
    <n v="17"/>
    <s v="IN STOCK"/>
    <n v="0"/>
    <m/>
    <b v="0"/>
    <x v="0"/>
    <m/>
  </r>
  <r>
    <s v="FB001821"/>
    <x v="4"/>
    <x v="2"/>
    <x v="3"/>
    <s v="XL"/>
    <s v="XS"/>
    <s v="Gray"/>
    <n v="73.33"/>
    <n v="0"/>
    <n v="0"/>
    <n v="0"/>
    <s v="No Discount"/>
    <n v="73.33"/>
    <s v="No Loss"/>
    <d v="2025-08-06T00:00:00"/>
    <n v="3"/>
    <s v="LOW STOCK"/>
    <n v="3.1"/>
    <n v="3.1"/>
    <b v="1"/>
    <x v="5"/>
    <s v="Changed Mind"/>
  </r>
  <r>
    <s v="FB001822"/>
    <x v="0"/>
    <x v="7"/>
    <x v="1"/>
    <s v="S"/>
    <s v="S"/>
    <s v="Green"/>
    <n v="167.73"/>
    <n v="0"/>
    <n v="0"/>
    <n v="0"/>
    <s v="No Discount"/>
    <n v="167.73"/>
    <s v="No Loss"/>
    <d v="2025-08-06T00:00:00"/>
    <n v="4"/>
    <s v="LOW STOCK"/>
    <n v="4.9000000000000004"/>
    <n v="4.9000000000000004"/>
    <b v="0"/>
    <x v="0"/>
    <m/>
  </r>
  <r>
    <s v="FB001823"/>
    <x v="1"/>
    <x v="4"/>
    <x v="1"/>
    <s v="XS"/>
    <s v="XXL"/>
    <s v="Black"/>
    <n v="79.47"/>
    <n v="0"/>
    <n v="0"/>
    <n v="0"/>
    <s v="No Discount"/>
    <n v="79.47"/>
    <s v="No Loss"/>
    <d v="2025-08-06T00:00:00"/>
    <n v="31"/>
    <s v="IN STOCK"/>
    <n v="3.7"/>
    <n v="3.7"/>
    <b v="0"/>
    <x v="0"/>
    <m/>
  </r>
  <r>
    <s v="FB001824"/>
    <x v="5"/>
    <x v="7"/>
    <x v="3"/>
    <s v="OS"/>
    <s v="XL"/>
    <s v="White"/>
    <n v="69.12"/>
    <n v="0.49399999999999999"/>
    <n v="49.4"/>
    <n v="34.14528"/>
    <s v="high Discount"/>
    <n v="34.97"/>
    <s v="High Loss"/>
    <d v="2025-08-06T00:00:00"/>
    <n v="45"/>
    <s v="IN STOCK"/>
    <n v="2.2999999999999998"/>
    <n v="2.2999999999999998"/>
    <b v="0"/>
    <x v="0"/>
    <m/>
  </r>
  <r>
    <s v="FB001825"/>
    <x v="4"/>
    <x v="3"/>
    <x v="3"/>
    <s v="XXL"/>
    <s v="S"/>
    <s v="Purple"/>
    <n v="56.18"/>
    <n v="6.7000000000000004E-2"/>
    <n v="6.7"/>
    <n v="3.7640600000000002"/>
    <s v="Low Discount"/>
    <n v="52.42"/>
    <s v="Low Loss"/>
    <d v="2025-08-06T00:00:00"/>
    <n v="35"/>
    <s v="IN STOCK"/>
    <n v="2.6"/>
    <n v="2.6"/>
    <b v="1"/>
    <x v="5"/>
    <s v="Changed Mind"/>
  </r>
  <r>
    <s v="FB001826"/>
    <x v="1"/>
    <x v="6"/>
    <x v="1"/>
    <s v="M"/>
    <s v="XS"/>
    <s v="Gray"/>
    <n v="51.28"/>
    <n v="0.48299999999999998"/>
    <n v="48.3"/>
    <n v="24.768239999999999"/>
    <s v="high Discount"/>
    <n v="26.51"/>
    <s v="High Loss"/>
    <d v="2025-08-06T00:00:00"/>
    <n v="9"/>
    <s v="LOW STOCK"/>
    <n v="1.1000000000000001"/>
    <n v="1.1000000000000001"/>
    <b v="1"/>
    <x v="5"/>
    <s v="Changed Mind"/>
  </r>
  <r>
    <s v="FB001827"/>
    <x v="0"/>
    <x v="6"/>
    <x v="0"/>
    <s v="XS"/>
    <m/>
    <s v="Green"/>
    <n v="111.73"/>
    <n v="0.16800000000000001"/>
    <n v="16.8"/>
    <n v="18.77064"/>
    <s v="Low Discount"/>
    <n v="92.96"/>
    <s v="Medium Loss"/>
    <d v="2025-05-29T00:00:00"/>
    <n v="41"/>
    <s v="IN STOCK"/>
    <n v="1.2"/>
    <n v="1.2"/>
    <b v="0"/>
    <x v="0"/>
    <m/>
  </r>
  <r>
    <s v="FB001828"/>
    <x v="4"/>
    <x v="5"/>
    <x v="2"/>
    <s v="XXL"/>
    <s v="XXL"/>
    <s v="Gray"/>
    <n v="49.08"/>
    <n v="0.19899999999999998"/>
    <n v="19.899999999999999"/>
    <n v="9.7669199999999989"/>
    <s v="Low Discount"/>
    <n v="39.31"/>
    <s v="Low Loss"/>
    <d v="2025-08-06T00:00:00"/>
    <n v="46"/>
    <s v="IN STOCK"/>
    <n v="1"/>
    <n v="1"/>
    <b v="1"/>
    <x v="5"/>
    <s v="Changed Mind"/>
  </r>
  <r>
    <s v="FB001829"/>
    <x v="3"/>
    <x v="7"/>
    <x v="1"/>
    <s v="M"/>
    <s v="M"/>
    <s v="Pink"/>
    <n v="182.47"/>
    <n v="0.27100000000000002"/>
    <n v="27.1"/>
    <n v="49.449370000000002"/>
    <s v="Medium Discount"/>
    <n v="133.02000000000001"/>
    <s v="High Loss"/>
    <d v="2025-08-06T00:00:00"/>
    <n v="40"/>
    <s v="IN STOCK"/>
    <n v="0"/>
    <m/>
    <b v="0"/>
    <x v="0"/>
    <m/>
  </r>
  <r>
    <s v="FB001830"/>
    <x v="0"/>
    <x v="7"/>
    <x v="3"/>
    <s v="XXL"/>
    <s v="XS"/>
    <s v="Purple"/>
    <n v="241.22"/>
    <n v="5.9000000000000004E-2"/>
    <n v="5.9"/>
    <n v="14.23198"/>
    <s v="Low Discount"/>
    <n v="226.99"/>
    <s v="Medium Loss"/>
    <d v="2025-08-06T00:00:00"/>
    <n v="13"/>
    <s v="IN STOCK"/>
    <n v="1.2"/>
    <n v="1.2"/>
    <b v="0"/>
    <x v="0"/>
    <m/>
  </r>
  <r>
    <s v="FB001831"/>
    <x v="5"/>
    <x v="5"/>
    <x v="0"/>
    <s v="XS"/>
    <s v="XXL"/>
    <s v="Blue"/>
    <n v="78.3"/>
    <n v="0"/>
    <n v="0"/>
    <n v="0"/>
    <s v="No Discount"/>
    <n v="78.3"/>
    <s v="No Loss"/>
    <d v="2025-03-14T00:00:00"/>
    <n v="19"/>
    <s v="IN STOCK"/>
    <n v="3"/>
    <n v="3"/>
    <b v="0"/>
    <x v="0"/>
    <m/>
  </r>
  <r>
    <s v="FB001832"/>
    <x v="3"/>
    <x v="2"/>
    <x v="1"/>
    <s v="S"/>
    <s v="M"/>
    <s v="Purple"/>
    <n v="73.930000000000007"/>
    <n v="0"/>
    <n v="0"/>
    <n v="0"/>
    <s v="No Discount"/>
    <n v="73.930000000000007"/>
    <s v="No Loss"/>
    <d v="2025-08-06T00:00:00"/>
    <n v="0"/>
    <s v="NO STOCK"/>
    <n v="0"/>
    <m/>
    <b v="0"/>
    <x v="0"/>
    <m/>
  </r>
  <r>
    <s v="FB001833"/>
    <x v="4"/>
    <x v="4"/>
    <x v="3"/>
    <s v="M"/>
    <s v="XXL"/>
    <s v="Green"/>
    <n v="97.5"/>
    <n v="0"/>
    <n v="0"/>
    <n v="0"/>
    <s v="No Discount"/>
    <n v="97.5"/>
    <s v="No Loss"/>
    <d v="2025-08-06T00:00:00"/>
    <n v="43"/>
    <s v="IN STOCK"/>
    <n v="1.6"/>
    <n v="1.6"/>
    <b v="0"/>
    <x v="0"/>
    <m/>
  </r>
  <r>
    <s v="FB001834"/>
    <x v="1"/>
    <x v="5"/>
    <x v="3"/>
    <s v="XL"/>
    <s v="XS"/>
    <s v="Green"/>
    <n v="38.9"/>
    <n v="0"/>
    <n v="0"/>
    <n v="0"/>
    <s v="No Discount"/>
    <n v="38.9"/>
    <s v="No Loss"/>
    <d v="2025-08-06T00:00:00"/>
    <n v="1"/>
    <s v="LOW STOCK"/>
    <n v="5"/>
    <n v="5"/>
    <b v="0"/>
    <x v="0"/>
    <m/>
  </r>
  <r>
    <s v="FB001835"/>
    <x v="3"/>
    <x v="2"/>
    <x v="3"/>
    <s v="OS"/>
    <s v="S"/>
    <s v="Blue"/>
    <n v="95.52"/>
    <n v="0"/>
    <n v="0"/>
    <n v="0"/>
    <s v="No Discount"/>
    <n v="95.52"/>
    <s v="No Loss"/>
    <d v="2025-08-06T00:00:00"/>
    <n v="47"/>
    <s v="IN STOCK"/>
    <n v="3.9"/>
    <n v="3.9"/>
    <b v="0"/>
    <x v="0"/>
    <m/>
  </r>
  <r>
    <s v="FB001836"/>
    <x v="0"/>
    <x v="0"/>
    <x v="2"/>
    <s v="OS"/>
    <s v="M"/>
    <s v="Red"/>
    <n v="158.63999999999999"/>
    <n v="0.502"/>
    <n v="50.2"/>
    <n v="79.63727999999999"/>
    <s v="high Discount"/>
    <n v="79"/>
    <s v="High Loss"/>
    <d v="2025-08-06T00:00:00"/>
    <n v="7"/>
    <s v="LOW STOCK"/>
    <n v="3"/>
    <n v="3"/>
    <b v="1"/>
    <x v="5"/>
    <s v="Changed Mind"/>
  </r>
  <r>
    <s v="FB001837"/>
    <x v="1"/>
    <x v="3"/>
    <x v="2"/>
    <s v="XL"/>
    <s v="XL"/>
    <s v="Navy"/>
    <n v="26.11"/>
    <n v="0"/>
    <n v="0"/>
    <n v="0"/>
    <s v="No Discount"/>
    <n v="26.11"/>
    <s v="No Loss"/>
    <d v="2025-08-06T00:00:00"/>
    <n v="41"/>
    <s v="IN STOCK"/>
    <n v="4.3"/>
    <n v="4.3"/>
    <b v="0"/>
    <x v="0"/>
    <m/>
  </r>
  <r>
    <s v="FB001838"/>
    <x v="3"/>
    <x v="7"/>
    <x v="0"/>
    <s v="L"/>
    <m/>
    <s v="White"/>
    <n v="107.09"/>
    <n v="0.43099999999999999"/>
    <n v="43.1"/>
    <n v="46.155790000000003"/>
    <s v="high Discount"/>
    <n v="60.93"/>
    <s v="High Loss"/>
    <d v="2025-02-14T00:00:00"/>
    <n v="16"/>
    <s v="IN STOCK"/>
    <n v="4.7"/>
    <n v="4.7"/>
    <b v="1"/>
    <x v="5"/>
    <s v="Changed Mind"/>
  </r>
  <r>
    <s v="FB001839"/>
    <x v="2"/>
    <x v="6"/>
    <x v="3"/>
    <s v="XS"/>
    <m/>
    <s v="Black"/>
    <n v="71.42"/>
    <n v="0.38"/>
    <n v="38"/>
    <n v="27.139600000000002"/>
    <s v="high Discount"/>
    <n v="44.28"/>
    <s v="High Loss"/>
    <d v="2025-08-06T00:00:00"/>
    <n v="49"/>
    <s v="IN STOCK"/>
    <n v="2.8"/>
    <n v="2.8"/>
    <b v="0"/>
    <x v="0"/>
    <m/>
  </r>
  <r>
    <s v="FB001840"/>
    <x v="3"/>
    <x v="0"/>
    <x v="3"/>
    <s v="XL"/>
    <s v="XL"/>
    <s v="Red"/>
    <n v="124.56"/>
    <n v="0"/>
    <n v="0"/>
    <n v="0"/>
    <s v="No Discount"/>
    <n v="124.56"/>
    <s v="No Loss"/>
    <d v="2025-08-06T00:00:00"/>
    <n v="18"/>
    <s v="IN STOCK"/>
    <n v="3"/>
    <n v="3"/>
    <b v="0"/>
    <x v="0"/>
    <m/>
  </r>
  <r>
    <s v="FB001841"/>
    <x v="4"/>
    <x v="1"/>
    <x v="3"/>
    <s v="S"/>
    <s v="L"/>
    <s v="Purple"/>
    <n v="30.91"/>
    <n v="0"/>
    <n v="0"/>
    <n v="0"/>
    <s v="No Discount"/>
    <n v="30.91"/>
    <s v="No Loss"/>
    <d v="2025-08-06T00:00:00"/>
    <n v="45"/>
    <s v="IN STOCK"/>
    <n v="1.8"/>
    <n v="1.8"/>
    <b v="0"/>
    <x v="0"/>
    <m/>
  </r>
  <r>
    <s v="FB001842"/>
    <x v="1"/>
    <x v="0"/>
    <x v="1"/>
    <s v="OS"/>
    <s v="XS"/>
    <s v="Beige"/>
    <n v="53.37"/>
    <n v="0"/>
    <n v="0"/>
    <n v="0"/>
    <s v="No Discount"/>
    <n v="53.37"/>
    <s v="No Loss"/>
    <d v="2025-08-06T00:00:00"/>
    <n v="15"/>
    <s v="IN STOCK"/>
    <n v="1.1000000000000001"/>
    <n v="1.1000000000000001"/>
    <b v="0"/>
    <x v="0"/>
    <m/>
  </r>
  <r>
    <s v="FB001843"/>
    <x v="3"/>
    <x v="6"/>
    <x v="3"/>
    <s v="XL"/>
    <s v="XL"/>
    <s v="Green"/>
    <n v="159.16"/>
    <n v="0"/>
    <n v="0"/>
    <n v="0"/>
    <s v="No Discount"/>
    <n v="159.16"/>
    <s v="No Loss"/>
    <d v="2025-08-06T00:00:00"/>
    <n v="40"/>
    <s v="IN STOCK"/>
    <n v="0"/>
    <m/>
    <b v="1"/>
    <x v="5"/>
    <s v="Changed Mind"/>
  </r>
  <r>
    <s v="FB001844"/>
    <x v="5"/>
    <x v="3"/>
    <x v="2"/>
    <s v="S"/>
    <s v="S"/>
    <s v="Pink"/>
    <n v="169.64"/>
    <n v="0"/>
    <n v="0"/>
    <n v="0"/>
    <s v="No Discount"/>
    <n v="169.64"/>
    <s v="No Loss"/>
    <d v="2025-08-06T00:00:00"/>
    <n v="5"/>
    <s v="LOW STOCK"/>
    <n v="1.6"/>
    <n v="1.6"/>
    <b v="0"/>
    <x v="0"/>
    <m/>
  </r>
  <r>
    <s v="FB001845"/>
    <x v="2"/>
    <x v="6"/>
    <x v="3"/>
    <s v="XS"/>
    <m/>
    <s v="Blue"/>
    <n v="59.94"/>
    <n v="0"/>
    <n v="0"/>
    <n v="0"/>
    <s v="No Discount"/>
    <n v="59.94"/>
    <s v="No Loss"/>
    <d v="2025-08-06T00:00:00"/>
    <n v="7"/>
    <s v="LOW STOCK"/>
    <n v="4"/>
    <n v="4"/>
    <b v="0"/>
    <x v="0"/>
    <m/>
  </r>
  <r>
    <s v="FB001846"/>
    <x v="5"/>
    <x v="6"/>
    <x v="2"/>
    <s v="M"/>
    <s v="XL"/>
    <s v="Purple"/>
    <n v="92.59"/>
    <n v="0"/>
    <n v="0"/>
    <n v="0"/>
    <s v="No Discount"/>
    <n v="92.59"/>
    <s v="No Loss"/>
    <d v="2025-08-06T00:00:00"/>
    <n v="29"/>
    <s v="IN STOCK"/>
    <n v="3.5"/>
    <n v="3.5"/>
    <b v="1"/>
    <x v="2"/>
    <s v="Size Issue"/>
  </r>
  <r>
    <s v="FB001847"/>
    <x v="4"/>
    <x v="4"/>
    <x v="0"/>
    <s v="XXL"/>
    <s v="S"/>
    <s v="White"/>
    <n v="64.069999999999993"/>
    <n v="0"/>
    <n v="0"/>
    <n v="0"/>
    <s v="No Discount"/>
    <n v="64.069999999999993"/>
    <s v="No Loss"/>
    <d v="2025-03-18T00:00:00"/>
    <n v="10"/>
    <s v="LOW STOCK"/>
    <n v="0"/>
    <m/>
    <b v="0"/>
    <x v="0"/>
    <m/>
  </r>
  <r>
    <s v="FB001848"/>
    <x v="5"/>
    <x v="7"/>
    <x v="2"/>
    <s v="OS"/>
    <s v="XS"/>
    <s v="Blue"/>
    <n v="127.87"/>
    <n v="0.54600000000000004"/>
    <n v="54.6"/>
    <n v="69.817020000000014"/>
    <s v="high Discount"/>
    <n v="58.05"/>
    <s v="High Loss"/>
    <d v="2025-08-06T00:00:00"/>
    <n v="14"/>
    <s v="IN STOCK"/>
    <n v="4.4000000000000004"/>
    <n v="4.4000000000000004"/>
    <b v="0"/>
    <x v="0"/>
    <m/>
  </r>
  <r>
    <s v="FB001849"/>
    <x v="4"/>
    <x v="2"/>
    <x v="2"/>
    <s v="XS"/>
    <s v="M"/>
    <s v="Blue"/>
    <n v="32.46"/>
    <n v="0.129"/>
    <n v="12.9"/>
    <n v="4.1873399999999998"/>
    <s v="Low Discount"/>
    <n v="28.27"/>
    <s v="Low Loss"/>
    <d v="2025-08-06T00:00:00"/>
    <n v="9"/>
    <s v="LOW STOCK"/>
    <n v="0"/>
    <m/>
    <b v="0"/>
    <x v="0"/>
    <m/>
  </r>
  <r>
    <s v="FB001850"/>
    <x v="4"/>
    <x v="4"/>
    <x v="3"/>
    <s v="OS"/>
    <s v="XXL"/>
    <s v="Pink"/>
    <n v="40.31"/>
    <n v="0.43"/>
    <n v="43"/>
    <n v="17.333300000000001"/>
    <s v="high Discount"/>
    <n v="22.98"/>
    <s v="Medium Loss"/>
    <d v="2025-08-06T00:00:00"/>
    <n v="30"/>
    <s v="IN STOCK"/>
    <n v="3.5"/>
    <n v="3.5"/>
    <b v="1"/>
    <x v="1"/>
    <s v="Color Mismatch"/>
  </r>
  <r>
    <s v="FB001851"/>
    <x v="2"/>
    <x v="5"/>
    <x v="1"/>
    <s v="S"/>
    <m/>
    <s v="Green"/>
    <n v="51.3"/>
    <n v="6.0999999999999999E-2"/>
    <n v="6.1"/>
    <n v="3.1292999999999997"/>
    <s v="Low Discount"/>
    <n v="48.17"/>
    <s v="Low Loss"/>
    <d v="2025-08-06T00:00:00"/>
    <n v="31"/>
    <s v="IN STOCK"/>
    <n v="0"/>
    <m/>
    <b v="0"/>
    <x v="0"/>
    <m/>
  </r>
  <r>
    <s v="FB001852"/>
    <x v="4"/>
    <x v="6"/>
    <x v="1"/>
    <s v="OS"/>
    <s v="XS"/>
    <s v="Pink"/>
    <n v="28.62"/>
    <n v="0"/>
    <n v="0"/>
    <n v="0"/>
    <s v="No Discount"/>
    <n v="28.62"/>
    <s v="No Loss"/>
    <d v="2025-08-06T00:00:00"/>
    <n v="41"/>
    <s v="IN STOCK"/>
    <n v="4"/>
    <n v="4"/>
    <b v="0"/>
    <x v="0"/>
    <m/>
  </r>
  <r>
    <s v="FB001853"/>
    <x v="2"/>
    <x v="6"/>
    <x v="2"/>
    <s v="L"/>
    <m/>
    <s v="Green"/>
    <n v="59.03"/>
    <n v="6.4000000000000001E-2"/>
    <n v="6.4"/>
    <n v="3.7779199999999999"/>
    <s v="Low Discount"/>
    <n v="55.25"/>
    <s v="Low Loss"/>
    <d v="2025-08-06T00:00:00"/>
    <n v="45"/>
    <s v="IN STOCK"/>
    <n v="0"/>
    <m/>
    <b v="0"/>
    <x v="0"/>
    <m/>
  </r>
  <r>
    <s v="FB001854"/>
    <x v="1"/>
    <x v="5"/>
    <x v="3"/>
    <s v="XXL"/>
    <s v="S"/>
    <s v="Brown"/>
    <n v="99.65"/>
    <n v="7.400000000000001E-2"/>
    <n v="7.4"/>
    <n v="7.3741000000000012"/>
    <s v="Low Discount"/>
    <n v="92.28"/>
    <s v="Low Loss"/>
    <d v="2025-08-06T00:00:00"/>
    <n v="31"/>
    <s v="IN STOCK"/>
    <n v="3.8"/>
    <n v="3.8"/>
    <b v="0"/>
    <x v="0"/>
    <m/>
  </r>
  <r>
    <s v="FB001855"/>
    <x v="5"/>
    <x v="7"/>
    <x v="1"/>
    <s v="OS"/>
    <m/>
    <s v="Blue"/>
    <n v="128.55000000000001"/>
    <n v="0"/>
    <n v="0"/>
    <n v="0"/>
    <s v="No Discount"/>
    <n v="128.55000000000001"/>
    <s v="No Loss"/>
    <d v="2025-08-06T00:00:00"/>
    <n v="1"/>
    <s v="LOW STOCK"/>
    <n v="3.7"/>
    <n v="3.7"/>
    <b v="0"/>
    <x v="0"/>
    <m/>
  </r>
  <r>
    <s v="FB001856"/>
    <x v="4"/>
    <x v="3"/>
    <x v="0"/>
    <s v="XXL"/>
    <s v="L"/>
    <s v="Purple"/>
    <n v="78.09"/>
    <n v="0.56299999999999994"/>
    <n v="56.3"/>
    <n v="43.964669999999998"/>
    <s v="high Discount"/>
    <n v="34.130000000000003"/>
    <s v="High Loss"/>
    <d v="2025-04-23T00:00:00"/>
    <n v="20"/>
    <s v="IN STOCK"/>
    <n v="1.3"/>
    <n v="1.3"/>
    <b v="0"/>
    <x v="0"/>
    <m/>
  </r>
  <r>
    <s v="FB001857"/>
    <x v="4"/>
    <x v="3"/>
    <x v="3"/>
    <s v="S"/>
    <s v="XXL"/>
    <s v="Navy"/>
    <n v="108.89"/>
    <n v="0"/>
    <n v="0"/>
    <n v="0"/>
    <s v="No Discount"/>
    <n v="108.89"/>
    <s v="No Loss"/>
    <d v="2025-08-06T00:00:00"/>
    <n v="50"/>
    <s v="IN STOCK"/>
    <n v="2.9"/>
    <n v="2.9"/>
    <b v="0"/>
    <x v="0"/>
    <m/>
  </r>
  <r>
    <s v="FB001858"/>
    <x v="4"/>
    <x v="5"/>
    <x v="0"/>
    <s v="OS"/>
    <m/>
    <s v="Gray"/>
    <n v="35.21"/>
    <n v="0.14699999999999999"/>
    <n v="14.7"/>
    <n v="5.1758699999999997"/>
    <s v="Low Discount"/>
    <n v="30.03"/>
    <s v="Low Loss"/>
    <d v="2024-12-23T00:00:00"/>
    <n v="15"/>
    <s v="IN STOCK"/>
    <n v="3.1"/>
    <n v="3.1"/>
    <b v="1"/>
    <x v="4"/>
    <s v="Quality Issue"/>
  </r>
  <r>
    <s v="FB001859"/>
    <x v="5"/>
    <x v="6"/>
    <x v="3"/>
    <s v="S"/>
    <s v="XXL"/>
    <s v="Brown"/>
    <n v="129.16"/>
    <n v="0.34"/>
    <n v="34"/>
    <n v="43.914400000000001"/>
    <s v="high Discount"/>
    <n v="85.25"/>
    <s v="High Loss"/>
    <d v="2025-08-06T00:00:00"/>
    <n v="24"/>
    <s v="IN STOCK"/>
    <n v="1.7"/>
    <n v="1.7"/>
    <b v="0"/>
    <x v="0"/>
    <m/>
  </r>
  <r>
    <s v="FB001860"/>
    <x v="5"/>
    <x v="5"/>
    <x v="3"/>
    <s v="XS"/>
    <s v="S"/>
    <s v="Gray"/>
    <n v="142.43"/>
    <n v="0"/>
    <n v="0"/>
    <n v="0"/>
    <s v="No Discount"/>
    <n v="142.43"/>
    <s v="No Loss"/>
    <d v="2025-08-06T00:00:00"/>
    <n v="15"/>
    <s v="IN STOCK"/>
    <n v="4.0999999999999996"/>
    <n v="4.0999999999999996"/>
    <b v="1"/>
    <x v="2"/>
    <s v="Size Issue"/>
  </r>
  <r>
    <s v="FB001861"/>
    <x v="2"/>
    <x v="7"/>
    <x v="0"/>
    <s v="XL"/>
    <m/>
    <s v="Navy"/>
    <n v="45.19"/>
    <n v="0"/>
    <n v="0"/>
    <n v="0"/>
    <s v="No Discount"/>
    <n v="45.19"/>
    <s v="No Loss"/>
    <d v="2025-02-28T00:00:00"/>
    <n v="38"/>
    <s v="IN STOCK"/>
    <n v="1.6"/>
    <n v="1.6"/>
    <b v="1"/>
    <x v="6"/>
    <s v="Wrong Item"/>
  </r>
  <r>
    <s v="FB001862"/>
    <x v="4"/>
    <x v="4"/>
    <x v="2"/>
    <s v="S"/>
    <s v="S"/>
    <s v="Purple"/>
    <n v="47.66"/>
    <n v="0"/>
    <n v="0"/>
    <n v="0"/>
    <s v="No Discount"/>
    <n v="47.66"/>
    <s v="No Loss"/>
    <d v="2025-08-06T00:00:00"/>
    <n v="0"/>
    <s v="NO STOCK"/>
    <n v="4.8"/>
    <n v="4.8"/>
    <b v="1"/>
    <x v="2"/>
    <s v="Size Issue"/>
  </r>
  <r>
    <s v="FB001863"/>
    <x v="4"/>
    <x v="1"/>
    <x v="3"/>
    <s v="L"/>
    <s v="XS"/>
    <s v="Beige"/>
    <n v="115.05"/>
    <n v="0.4"/>
    <n v="40"/>
    <n v="46.02"/>
    <s v="high Discount"/>
    <n v="69.03"/>
    <s v="High Loss"/>
    <d v="2025-08-06T00:00:00"/>
    <n v="48"/>
    <s v="IN STOCK"/>
    <n v="3.1"/>
    <n v="3.1"/>
    <b v="0"/>
    <x v="0"/>
    <m/>
  </r>
  <r>
    <s v="FB001864"/>
    <x v="4"/>
    <x v="2"/>
    <x v="3"/>
    <s v="L"/>
    <s v="XL"/>
    <s v="Brown"/>
    <n v="87.84"/>
    <n v="0"/>
    <n v="0"/>
    <n v="0"/>
    <s v="No Discount"/>
    <n v="87.84"/>
    <s v="No Loss"/>
    <d v="2025-08-06T00:00:00"/>
    <n v="29"/>
    <s v="IN STOCK"/>
    <n v="1.3"/>
    <n v="1.3"/>
    <b v="0"/>
    <x v="0"/>
    <m/>
  </r>
  <r>
    <s v="FB001865"/>
    <x v="5"/>
    <x v="7"/>
    <x v="2"/>
    <s v="XXL"/>
    <s v="S"/>
    <s v="Blue"/>
    <n v="73.42"/>
    <n v="0.35"/>
    <n v="35"/>
    <n v="25.696999999999999"/>
    <s v="high Discount"/>
    <n v="47.72"/>
    <s v="High Loss"/>
    <d v="2025-08-06T00:00:00"/>
    <n v="44"/>
    <s v="IN STOCK"/>
    <n v="0"/>
    <m/>
    <b v="0"/>
    <x v="0"/>
    <m/>
  </r>
  <r>
    <s v="FB001866"/>
    <x v="3"/>
    <x v="6"/>
    <x v="2"/>
    <s v="OS"/>
    <s v="L"/>
    <s v="Navy"/>
    <n v="181.58"/>
    <n v="0.21600000000000003"/>
    <n v="21.6"/>
    <n v="39.221280000000007"/>
    <s v="Medium Discount"/>
    <n v="142.36000000000001"/>
    <s v="High Loss"/>
    <d v="2025-08-06T00:00:00"/>
    <n v="14"/>
    <s v="IN STOCK"/>
    <n v="4.7"/>
    <n v="4.7"/>
    <b v="0"/>
    <x v="0"/>
    <m/>
  </r>
  <r>
    <s v="FB001867"/>
    <x v="1"/>
    <x v="4"/>
    <x v="0"/>
    <s v="L"/>
    <s v="L"/>
    <s v="Black"/>
    <n v="71.680000000000007"/>
    <n v="0"/>
    <n v="0"/>
    <n v="0"/>
    <s v="No Discount"/>
    <n v="71.680000000000007"/>
    <s v="No Loss"/>
    <d v="2025-08-05T00:00:00"/>
    <n v="0"/>
    <s v="NO STOCK"/>
    <n v="1.5"/>
    <n v="1.5"/>
    <b v="0"/>
    <x v="0"/>
    <m/>
  </r>
  <r>
    <s v="FB001868"/>
    <x v="1"/>
    <x v="2"/>
    <x v="1"/>
    <s v="OS"/>
    <s v="XXL"/>
    <s v="Beige"/>
    <n v="25.63"/>
    <n v="0"/>
    <n v="0"/>
    <n v="0"/>
    <s v="No Discount"/>
    <n v="25.63"/>
    <s v="No Loss"/>
    <d v="2025-08-06T00:00:00"/>
    <n v="27"/>
    <s v="IN STOCK"/>
    <n v="1.2"/>
    <n v="1.2"/>
    <b v="0"/>
    <x v="0"/>
    <m/>
  </r>
  <r>
    <s v="FB001869"/>
    <x v="1"/>
    <x v="7"/>
    <x v="1"/>
    <s v="M"/>
    <m/>
    <s v="Brown"/>
    <n v="31.34"/>
    <n v="0.48499999999999999"/>
    <n v="48.5"/>
    <n v="15.1999"/>
    <s v="high Discount"/>
    <n v="16.14"/>
    <s v="Medium Loss"/>
    <d v="2025-08-06T00:00:00"/>
    <n v="36"/>
    <s v="IN STOCK"/>
    <n v="1.6"/>
    <n v="1.6"/>
    <b v="1"/>
    <x v="2"/>
    <s v="Size Issue"/>
  </r>
  <r>
    <s v="FB001870"/>
    <x v="5"/>
    <x v="4"/>
    <x v="2"/>
    <s v="S"/>
    <s v="L"/>
    <s v="Beige"/>
    <n v="98.91"/>
    <n v="0.33799999999999997"/>
    <n v="33.799999999999997"/>
    <n v="33.431579999999997"/>
    <s v="high Discount"/>
    <n v="65.48"/>
    <s v="High Loss"/>
    <d v="2025-08-06T00:00:00"/>
    <n v="33"/>
    <s v="IN STOCK"/>
    <n v="0"/>
    <m/>
    <b v="1"/>
    <x v="1"/>
    <s v="Color Mismatch"/>
  </r>
  <r>
    <s v="FB001871"/>
    <x v="2"/>
    <x v="0"/>
    <x v="1"/>
    <s v="XL"/>
    <m/>
    <s v="Red"/>
    <n v="43.33"/>
    <n v="7.8E-2"/>
    <n v="7.8"/>
    <n v="3.37974"/>
    <s v="Low Discount"/>
    <n v="39.950000000000003"/>
    <s v="Low Loss"/>
    <d v="2025-08-06T00:00:00"/>
    <n v="4"/>
    <s v="LOW STOCK"/>
    <n v="1.3"/>
    <n v="1.3"/>
    <b v="0"/>
    <x v="0"/>
    <m/>
  </r>
  <r>
    <s v="FB001872"/>
    <x v="3"/>
    <x v="6"/>
    <x v="3"/>
    <s v="XS"/>
    <s v="M"/>
    <s v="Black"/>
    <n v="70.709999999999994"/>
    <n v="0"/>
    <n v="0"/>
    <n v="0"/>
    <s v="No Discount"/>
    <n v="70.709999999999994"/>
    <s v="No Loss"/>
    <d v="2025-08-06T00:00:00"/>
    <n v="8"/>
    <s v="LOW STOCK"/>
    <n v="2.2999999999999998"/>
    <n v="2.2999999999999998"/>
    <b v="0"/>
    <x v="0"/>
    <m/>
  </r>
  <r>
    <s v="FB001873"/>
    <x v="0"/>
    <x v="4"/>
    <x v="1"/>
    <s v="XS"/>
    <s v="S"/>
    <s v="Purple"/>
    <n v="215.99"/>
    <n v="0.38100000000000001"/>
    <n v="38.1"/>
    <n v="82.292190000000005"/>
    <s v="high Discount"/>
    <n v="133.69999999999999"/>
    <s v="High Loss"/>
    <d v="2025-08-06T00:00:00"/>
    <n v="14"/>
    <s v="IN STOCK"/>
    <n v="3.9"/>
    <n v="3.9"/>
    <b v="0"/>
    <x v="0"/>
    <m/>
  </r>
  <r>
    <s v="FB001874"/>
    <x v="5"/>
    <x v="2"/>
    <x v="1"/>
    <s v="L"/>
    <s v="XL"/>
    <s v="Green"/>
    <n v="145.57"/>
    <n v="5.0999999999999997E-2"/>
    <n v="5.0999999999999996"/>
    <n v="7.4240699999999995"/>
    <s v="Low Discount"/>
    <n v="138.15"/>
    <s v="Low Loss"/>
    <d v="2025-08-06T00:00:00"/>
    <n v="8"/>
    <s v="LOW STOCK"/>
    <n v="4.4000000000000004"/>
    <n v="4.4000000000000004"/>
    <b v="0"/>
    <x v="0"/>
    <m/>
  </r>
  <r>
    <s v="FB001875"/>
    <x v="3"/>
    <x v="2"/>
    <x v="2"/>
    <s v="XXL"/>
    <s v="XS"/>
    <s v="Navy"/>
    <n v="195.03"/>
    <n v="0"/>
    <n v="0"/>
    <n v="0"/>
    <s v="No Discount"/>
    <n v="195.03"/>
    <s v="No Loss"/>
    <d v="2025-08-06T00:00:00"/>
    <n v="44"/>
    <s v="IN STOCK"/>
    <n v="4.4000000000000004"/>
    <n v="4.4000000000000004"/>
    <b v="0"/>
    <x v="0"/>
    <m/>
  </r>
  <r>
    <s v="FB001876"/>
    <x v="4"/>
    <x v="5"/>
    <x v="1"/>
    <s v="XXL"/>
    <s v="XS"/>
    <s v="Black"/>
    <n v="74.88"/>
    <n v="9.6999999999999989E-2"/>
    <n v="9.6999999999999993"/>
    <n v="7.2633599999999987"/>
    <s v="Low Discount"/>
    <n v="67.62"/>
    <s v="Low Loss"/>
    <d v="2025-08-06T00:00:00"/>
    <n v="23"/>
    <s v="IN STOCK"/>
    <n v="2.6"/>
    <n v="2.6"/>
    <b v="0"/>
    <x v="0"/>
    <m/>
  </r>
  <r>
    <s v="FB001877"/>
    <x v="1"/>
    <x v="6"/>
    <x v="0"/>
    <s v="S"/>
    <s v="L"/>
    <s v="Pink"/>
    <n v="50.3"/>
    <n v="0"/>
    <n v="0"/>
    <n v="0"/>
    <s v="No Discount"/>
    <n v="50.3"/>
    <s v="No Loss"/>
    <d v="2024-08-18T00:00:00"/>
    <n v="23"/>
    <s v="IN STOCK"/>
    <n v="1.3"/>
    <n v="1.3"/>
    <b v="0"/>
    <x v="0"/>
    <m/>
  </r>
  <r>
    <s v="FB001878"/>
    <x v="0"/>
    <x v="5"/>
    <x v="3"/>
    <s v="OS"/>
    <s v="XXL"/>
    <s v="Red"/>
    <n v="130.65"/>
    <n v="0"/>
    <n v="0"/>
    <n v="0"/>
    <s v="No Discount"/>
    <n v="130.65"/>
    <s v="No Loss"/>
    <d v="2025-08-06T00:00:00"/>
    <n v="20"/>
    <s v="IN STOCK"/>
    <n v="2.6"/>
    <n v="2.6"/>
    <b v="0"/>
    <x v="0"/>
    <m/>
  </r>
  <r>
    <s v="FB001879"/>
    <x v="5"/>
    <x v="7"/>
    <x v="0"/>
    <s v="OS"/>
    <s v="XXL"/>
    <s v="Green"/>
    <n v="94.56"/>
    <n v="0.40299999999999997"/>
    <n v="40.299999999999997"/>
    <n v="38.107679999999995"/>
    <s v="high Discount"/>
    <n v="56.45"/>
    <s v="High Loss"/>
    <d v="2025-06-14T00:00:00"/>
    <n v="41"/>
    <s v="IN STOCK"/>
    <n v="4.7"/>
    <n v="4.7"/>
    <b v="0"/>
    <x v="0"/>
    <m/>
  </r>
  <r>
    <s v="FB001880"/>
    <x v="0"/>
    <x v="1"/>
    <x v="0"/>
    <s v="OS"/>
    <s v="S"/>
    <s v="Brown"/>
    <n v="138.97999999999999"/>
    <n v="0.10199999999999999"/>
    <n v="10.199999999999999"/>
    <n v="14.175959999999998"/>
    <s v="Low Discount"/>
    <n v="124.8"/>
    <s v="Medium Loss"/>
    <d v="2025-07-22T00:00:00"/>
    <n v="36"/>
    <s v="IN STOCK"/>
    <n v="1.4"/>
    <n v="1.4"/>
    <b v="0"/>
    <x v="0"/>
    <m/>
  </r>
  <r>
    <s v="FB001881"/>
    <x v="2"/>
    <x v="4"/>
    <x v="1"/>
    <s v="S"/>
    <m/>
    <s v="Green"/>
    <n v="52.57"/>
    <n v="0"/>
    <n v="0"/>
    <n v="0"/>
    <s v="No Discount"/>
    <n v="52.57"/>
    <s v="No Loss"/>
    <d v="2025-08-06T00:00:00"/>
    <n v="50"/>
    <s v="IN STOCK"/>
    <n v="2.5"/>
    <n v="2.5"/>
    <b v="1"/>
    <x v="3"/>
    <s v="Damaged"/>
  </r>
  <r>
    <s v="FB001882"/>
    <x v="0"/>
    <x v="4"/>
    <x v="0"/>
    <s v="S"/>
    <m/>
    <s v="White"/>
    <n v="151.62"/>
    <n v="0"/>
    <n v="0"/>
    <n v="0"/>
    <s v="No Discount"/>
    <n v="151.62"/>
    <s v="No Loss"/>
    <d v="2025-07-11T00:00:00"/>
    <n v="41"/>
    <s v="IN STOCK"/>
    <n v="3.5"/>
    <n v="3.5"/>
    <b v="0"/>
    <x v="0"/>
    <m/>
  </r>
  <r>
    <s v="FB001883"/>
    <x v="2"/>
    <x v="1"/>
    <x v="0"/>
    <s v="XS"/>
    <m/>
    <s v="Blue"/>
    <n v="26.7"/>
    <n v="0"/>
    <n v="0"/>
    <n v="0"/>
    <s v="No Discount"/>
    <n v="26.7"/>
    <s v="No Loss"/>
    <d v="2025-05-27T00:00:00"/>
    <n v="48"/>
    <s v="IN STOCK"/>
    <n v="3.1"/>
    <n v="3.1"/>
    <b v="0"/>
    <x v="0"/>
    <m/>
  </r>
  <r>
    <s v="FB001884"/>
    <x v="0"/>
    <x v="5"/>
    <x v="3"/>
    <s v="L"/>
    <s v="S"/>
    <s v="Brown"/>
    <n v="147.5"/>
    <n v="0"/>
    <n v="0"/>
    <n v="0"/>
    <s v="No Discount"/>
    <n v="147.5"/>
    <s v="No Loss"/>
    <d v="2025-08-06T00:00:00"/>
    <n v="4"/>
    <s v="LOW STOCK"/>
    <n v="2.4"/>
    <n v="2.4"/>
    <b v="0"/>
    <x v="0"/>
    <m/>
  </r>
  <r>
    <s v="FB001885"/>
    <x v="1"/>
    <x v="3"/>
    <x v="2"/>
    <s v="S"/>
    <s v="S"/>
    <s v="Navy"/>
    <n v="66"/>
    <n v="2.7000000000000003E-2"/>
    <n v="2.7"/>
    <n v="1.7820000000000003"/>
    <s v="Low Discount"/>
    <n v="64.22"/>
    <s v="Low Loss"/>
    <d v="2025-08-06T00:00:00"/>
    <n v="42"/>
    <s v="IN STOCK"/>
    <n v="4.4000000000000004"/>
    <n v="4.4000000000000004"/>
    <b v="0"/>
    <x v="0"/>
    <m/>
  </r>
  <r>
    <s v="FB001886"/>
    <x v="0"/>
    <x v="0"/>
    <x v="2"/>
    <s v="XL"/>
    <s v="XS"/>
    <s v="Red"/>
    <n v="183.6"/>
    <n v="0"/>
    <n v="0"/>
    <n v="0"/>
    <s v="No Discount"/>
    <n v="183.6"/>
    <s v="No Loss"/>
    <d v="2025-08-06T00:00:00"/>
    <n v="10"/>
    <s v="LOW STOCK"/>
    <n v="0"/>
    <m/>
    <b v="0"/>
    <x v="0"/>
    <m/>
  </r>
  <r>
    <s v="FB001887"/>
    <x v="3"/>
    <x v="1"/>
    <x v="3"/>
    <s v="L"/>
    <s v="L"/>
    <s v="Blue"/>
    <n v="195.83"/>
    <n v="0"/>
    <n v="0"/>
    <n v="0"/>
    <s v="No Discount"/>
    <n v="195.83"/>
    <s v="No Loss"/>
    <d v="2025-08-06T00:00:00"/>
    <n v="14"/>
    <s v="IN STOCK"/>
    <n v="2.1"/>
    <n v="2.1"/>
    <b v="0"/>
    <x v="0"/>
    <m/>
  </r>
  <r>
    <s v="FB001888"/>
    <x v="4"/>
    <x v="5"/>
    <x v="1"/>
    <s v="L"/>
    <s v="S"/>
    <s v="Beige"/>
    <n v="75.53"/>
    <n v="0.58099999999999996"/>
    <n v="58.1"/>
    <n v="43.882929999999995"/>
    <s v="high Discount"/>
    <n v="31.65"/>
    <s v="High Loss"/>
    <d v="2025-08-06T00:00:00"/>
    <n v="33"/>
    <s v="IN STOCK"/>
    <n v="4"/>
    <n v="4"/>
    <b v="0"/>
    <x v="0"/>
    <m/>
  </r>
  <r>
    <s v="FB001889"/>
    <x v="1"/>
    <x v="3"/>
    <x v="0"/>
    <s v="L"/>
    <s v="XL"/>
    <s v="Beige"/>
    <n v="30.78"/>
    <n v="0"/>
    <n v="0"/>
    <n v="0"/>
    <s v="No Discount"/>
    <n v="30.78"/>
    <s v="No Loss"/>
    <d v="2025-06-13T00:00:00"/>
    <n v="28"/>
    <s v="IN STOCK"/>
    <n v="3.9"/>
    <n v="3.9"/>
    <b v="0"/>
    <x v="0"/>
    <m/>
  </r>
  <r>
    <s v="FB001890"/>
    <x v="3"/>
    <x v="2"/>
    <x v="1"/>
    <s v="XL"/>
    <s v="L"/>
    <s v="White"/>
    <n v="150.96"/>
    <n v="0"/>
    <n v="0"/>
    <n v="0"/>
    <s v="No Discount"/>
    <n v="150.96"/>
    <s v="No Loss"/>
    <d v="2025-08-06T00:00:00"/>
    <n v="18"/>
    <s v="IN STOCK"/>
    <n v="4.5999999999999996"/>
    <n v="4.5999999999999996"/>
    <b v="0"/>
    <x v="0"/>
    <m/>
  </r>
  <r>
    <s v="FB001891"/>
    <x v="4"/>
    <x v="7"/>
    <x v="3"/>
    <s v="XL"/>
    <s v="L"/>
    <s v="Black"/>
    <n v="58.98"/>
    <n v="0.18100000000000002"/>
    <n v="18.100000000000001"/>
    <n v="10.675380000000001"/>
    <s v="Low Discount"/>
    <n v="48.3"/>
    <s v="Medium Loss"/>
    <d v="2025-08-06T00:00:00"/>
    <n v="23"/>
    <s v="IN STOCK"/>
    <n v="2.8"/>
    <n v="2.8"/>
    <b v="0"/>
    <x v="0"/>
    <m/>
  </r>
  <r>
    <s v="FB001892"/>
    <x v="0"/>
    <x v="7"/>
    <x v="0"/>
    <s v="L"/>
    <s v="L"/>
    <s v="Purple"/>
    <n v="224.91"/>
    <n v="0.18899999999999997"/>
    <n v="18.899999999999999"/>
    <n v="42.507989999999992"/>
    <s v="Low Discount"/>
    <n v="182.4"/>
    <s v="High Loss"/>
    <d v="2024-09-19T00:00:00"/>
    <n v="50"/>
    <s v="IN STOCK"/>
    <n v="0"/>
    <m/>
    <b v="0"/>
    <x v="0"/>
    <m/>
  </r>
  <r>
    <s v="FB001893"/>
    <x v="0"/>
    <x v="2"/>
    <x v="0"/>
    <s v="OS"/>
    <s v="XL"/>
    <s v="Brown"/>
    <n v="155.75"/>
    <n v="0"/>
    <n v="0"/>
    <n v="0"/>
    <s v="No Discount"/>
    <n v="155.75"/>
    <s v="No Loss"/>
    <d v="2025-03-25T00:00:00"/>
    <n v="0"/>
    <s v="NO STOCK"/>
    <n v="2.4"/>
    <n v="2.4"/>
    <b v="0"/>
    <x v="0"/>
    <m/>
  </r>
  <r>
    <s v="FB001894"/>
    <x v="3"/>
    <x v="4"/>
    <x v="1"/>
    <s v="S"/>
    <s v="XL"/>
    <s v="Blue"/>
    <n v="194.4"/>
    <n v="0.16200000000000001"/>
    <n v="16.2"/>
    <n v="31.492800000000003"/>
    <s v="Low Discount"/>
    <n v="162.91"/>
    <s v="High Loss"/>
    <d v="2025-08-06T00:00:00"/>
    <n v="36"/>
    <s v="IN STOCK"/>
    <n v="1.5"/>
    <n v="1.5"/>
    <b v="0"/>
    <x v="0"/>
    <m/>
  </r>
  <r>
    <s v="FB001895"/>
    <x v="3"/>
    <x v="2"/>
    <x v="2"/>
    <s v="S"/>
    <s v="L"/>
    <s v="Red"/>
    <n v="169.77"/>
    <n v="0"/>
    <n v="0"/>
    <n v="0"/>
    <s v="No Discount"/>
    <n v="169.77"/>
    <s v="No Loss"/>
    <d v="2025-08-06T00:00:00"/>
    <n v="39"/>
    <s v="IN STOCK"/>
    <n v="4.4000000000000004"/>
    <n v="4.4000000000000004"/>
    <b v="0"/>
    <x v="0"/>
    <m/>
  </r>
  <r>
    <s v="FB001896"/>
    <x v="2"/>
    <x v="1"/>
    <x v="1"/>
    <s v="S"/>
    <m/>
    <s v="Blue"/>
    <n v="41.52"/>
    <n v="0.27300000000000002"/>
    <n v="27.3"/>
    <n v="11.334960000000002"/>
    <s v="Medium Discount"/>
    <n v="30.19"/>
    <s v="Medium Loss"/>
    <d v="2025-08-06T00:00:00"/>
    <n v="48"/>
    <s v="IN STOCK"/>
    <n v="3.4"/>
    <n v="3.4"/>
    <b v="0"/>
    <x v="0"/>
    <m/>
  </r>
  <r>
    <s v="FB001897"/>
    <x v="4"/>
    <x v="1"/>
    <x v="1"/>
    <s v="XXL"/>
    <s v="S"/>
    <s v="Green"/>
    <n v="29.5"/>
    <n v="0"/>
    <n v="0"/>
    <n v="0"/>
    <s v="No Discount"/>
    <n v="29.5"/>
    <s v="No Loss"/>
    <d v="2025-08-06T00:00:00"/>
    <n v="36"/>
    <s v="IN STOCK"/>
    <n v="2.6"/>
    <n v="2.6"/>
    <b v="0"/>
    <x v="0"/>
    <m/>
  </r>
  <r>
    <s v="FB001898"/>
    <x v="0"/>
    <x v="2"/>
    <x v="0"/>
    <s v="S"/>
    <s v="S"/>
    <s v="Gray"/>
    <n v="224.47"/>
    <n v="2.7000000000000003E-2"/>
    <n v="2.7"/>
    <n v="6.060690000000001"/>
    <s v="Low Discount"/>
    <n v="218.41"/>
    <s v="Low Loss"/>
    <d v="2025-01-27T00:00:00"/>
    <n v="15"/>
    <s v="IN STOCK"/>
    <n v="3.5"/>
    <n v="3.5"/>
    <b v="0"/>
    <x v="0"/>
    <m/>
  </r>
  <r>
    <s v="FB001899"/>
    <x v="4"/>
    <x v="7"/>
    <x v="3"/>
    <s v="XL"/>
    <s v="S"/>
    <s v="Gray"/>
    <n v="101.45"/>
    <n v="7.8E-2"/>
    <n v="7.8"/>
    <n v="7.9131"/>
    <s v="Low Discount"/>
    <n v="93.54"/>
    <s v="Low Loss"/>
    <d v="2025-08-06T00:00:00"/>
    <n v="4"/>
    <s v="LOW STOCK"/>
    <n v="1.1000000000000001"/>
    <n v="1.1000000000000001"/>
    <b v="0"/>
    <x v="0"/>
    <m/>
  </r>
  <r>
    <s v="FB001900"/>
    <x v="3"/>
    <x v="2"/>
    <x v="0"/>
    <s v="L"/>
    <s v="XXL"/>
    <s v="Red"/>
    <n v="84.65"/>
    <n v="0"/>
    <n v="0"/>
    <n v="0"/>
    <s v="No Discount"/>
    <n v="84.65"/>
    <s v="No Loss"/>
    <d v="2025-07-26T00:00:00"/>
    <n v="49"/>
    <s v="IN STOCK"/>
    <n v="3.6"/>
    <n v="3.6"/>
    <b v="0"/>
    <x v="0"/>
    <m/>
  </r>
  <r>
    <s v="FB001901"/>
    <x v="0"/>
    <x v="5"/>
    <x v="3"/>
    <s v="XL"/>
    <s v="S"/>
    <s v="Beige"/>
    <n v="155.85"/>
    <n v="0"/>
    <n v="0"/>
    <n v="0"/>
    <s v="No Discount"/>
    <n v="155.85"/>
    <s v="No Loss"/>
    <d v="2025-08-06T00:00:00"/>
    <n v="38"/>
    <s v="IN STOCK"/>
    <n v="0"/>
    <m/>
    <b v="0"/>
    <x v="0"/>
    <m/>
  </r>
  <r>
    <s v="FB001902"/>
    <x v="1"/>
    <x v="0"/>
    <x v="1"/>
    <s v="XL"/>
    <s v="XL"/>
    <s v="Blue"/>
    <n v="89.62"/>
    <n v="0"/>
    <n v="0"/>
    <n v="0"/>
    <s v="No Discount"/>
    <n v="89.62"/>
    <s v="No Loss"/>
    <d v="2025-08-06T00:00:00"/>
    <n v="0"/>
    <s v="NO STOCK"/>
    <n v="4.5999999999999996"/>
    <n v="4.5999999999999996"/>
    <b v="1"/>
    <x v="1"/>
    <s v="Color Mismatch"/>
  </r>
  <r>
    <s v="FB001903"/>
    <x v="1"/>
    <x v="6"/>
    <x v="3"/>
    <s v="OS"/>
    <s v="L"/>
    <s v="Green"/>
    <n v="62.79"/>
    <n v="0.377"/>
    <n v="37.700000000000003"/>
    <n v="23.67183"/>
    <s v="high Discount"/>
    <n v="39.119999999999997"/>
    <s v="High Loss"/>
    <d v="2025-08-06T00:00:00"/>
    <n v="5"/>
    <s v="LOW STOCK"/>
    <n v="2.6"/>
    <n v="2.6"/>
    <b v="0"/>
    <x v="0"/>
    <m/>
  </r>
  <r>
    <s v="FB001904"/>
    <x v="4"/>
    <x v="6"/>
    <x v="3"/>
    <s v="XXL"/>
    <s v="XL"/>
    <s v="Beige"/>
    <n v="84.72"/>
    <n v="0.24199999999999999"/>
    <n v="24.2"/>
    <n v="20.50224"/>
    <s v="Medium Discount"/>
    <n v="64.22"/>
    <s v="High Loss"/>
    <d v="2025-08-06T00:00:00"/>
    <n v="44"/>
    <s v="IN STOCK"/>
    <n v="0"/>
    <m/>
    <b v="1"/>
    <x v="1"/>
    <s v="Color Mismatch"/>
  </r>
  <r>
    <s v="FB001905"/>
    <x v="1"/>
    <x v="3"/>
    <x v="2"/>
    <s v="XS"/>
    <s v="XL"/>
    <s v="Pink"/>
    <n v="50.9"/>
    <n v="0"/>
    <n v="0"/>
    <n v="0"/>
    <s v="No Discount"/>
    <n v="50.9"/>
    <s v="No Loss"/>
    <d v="2025-08-06T00:00:00"/>
    <n v="1"/>
    <s v="LOW STOCK"/>
    <n v="1.8"/>
    <n v="1.8"/>
    <b v="0"/>
    <x v="0"/>
    <m/>
  </r>
  <r>
    <s v="FB001906"/>
    <x v="2"/>
    <x v="0"/>
    <x v="1"/>
    <s v="XS"/>
    <m/>
    <s v="Pink"/>
    <n v="31.23"/>
    <n v="0"/>
    <n v="0"/>
    <n v="0"/>
    <s v="No Discount"/>
    <n v="31.23"/>
    <s v="No Loss"/>
    <d v="2025-08-06T00:00:00"/>
    <n v="25"/>
    <s v="IN STOCK"/>
    <n v="2.8"/>
    <n v="2.8"/>
    <b v="0"/>
    <x v="0"/>
    <m/>
  </r>
  <r>
    <s v="FB001907"/>
    <x v="1"/>
    <x v="0"/>
    <x v="0"/>
    <s v="OS"/>
    <s v="XXL"/>
    <s v="Red"/>
    <n v="105.1"/>
    <n v="0"/>
    <n v="0"/>
    <n v="0"/>
    <s v="No Discount"/>
    <n v="105.1"/>
    <s v="No Loss"/>
    <d v="2024-08-28T00:00:00"/>
    <n v="39"/>
    <s v="IN STOCK"/>
    <n v="4.4000000000000004"/>
    <n v="4.4000000000000004"/>
    <b v="0"/>
    <x v="0"/>
    <m/>
  </r>
  <r>
    <s v="FB001908"/>
    <x v="5"/>
    <x v="7"/>
    <x v="3"/>
    <s v="S"/>
    <s v="XS"/>
    <s v="Brown"/>
    <n v="160.38"/>
    <n v="0"/>
    <n v="0"/>
    <n v="0"/>
    <s v="No Discount"/>
    <n v="160.38"/>
    <s v="No Loss"/>
    <d v="2025-08-06T00:00:00"/>
    <n v="27"/>
    <s v="IN STOCK"/>
    <n v="2.7"/>
    <n v="2.7"/>
    <b v="1"/>
    <x v="6"/>
    <s v="Wrong Item"/>
  </r>
  <r>
    <s v="FB001909"/>
    <x v="4"/>
    <x v="1"/>
    <x v="0"/>
    <s v="OS"/>
    <s v="XS"/>
    <s v="Pink"/>
    <n v="96.68"/>
    <n v="0.26"/>
    <n v="26"/>
    <n v="25.136800000000001"/>
    <s v="Medium Discount"/>
    <n v="71.540000000000006"/>
    <s v="High Loss"/>
    <d v="2024-09-21T00:00:00"/>
    <n v="16"/>
    <s v="IN STOCK"/>
    <n v="0"/>
    <m/>
    <b v="0"/>
    <x v="0"/>
    <m/>
  </r>
  <r>
    <s v="FB001910"/>
    <x v="2"/>
    <x v="7"/>
    <x v="3"/>
    <s v="XS"/>
    <m/>
    <s v="Beige"/>
    <n v="16.64"/>
    <n v="0"/>
    <n v="0"/>
    <n v="0"/>
    <s v="No Discount"/>
    <n v="16.64"/>
    <s v="No Loss"/>
    <d v="2025-08-06T00:00:00"/>
    <n v="8"/>
    <s v="LOW STOCK"/>
    <n v="4.8"/>
    <n v="4.8"/>
    <b v="0"/>
    <x v="0"/>
    <m/>
  </r>
  <r>
    <s v="FB001911"/>
    <x v="0"/>
    <x v="5"/>
    <x v="2"/>
    <s v="S"/>
    <s v="S"/>
    <s v="Beige"/>
    <n v="160.05000000000001"/>
    <n v="0.53700000000000003"/>
    <n v="53.7"/>
    <n v="85.946850000000012"/>
    <s v="high Discount"/>
    <n v="74.099999999999994"/>
    <s v="High Loss"/>
    <d v="2025-08-06T00:00:00"/>
    <n v="2"/>
    <s v="LOW STOCK"/>
    <n v="3.2"/>
    <n v="3.2"/>
    <b v="1"/>
    <x v="4"/>
    <s v="Quality Issue"/>
  </r>
  <r>
    <s v="FB001912"/>
    <x v="2"/>
    <x v="3"/>
    <x v="2"/>
    <s v="XS"/>
    <m/>
    <s v="Gray"/>
    <n v="23.56"/>
    <n v="0"/>
    <n v="0"/>
    <n v="0"/>
    <s v="No Discount"/>
    <n v="23.56"/>
    <s v="No Loss"/>
    <d v="2025-08-06T00:00:00"/>
    <n v="16"/>
    <s v="IN STOCK"/>
    <n v="4.4000000000000004"/>
    <n v="4.4000000000000004"/>
    <b v="0"/>
    <x v="0"/>
    <m/>
  </r>
  <r>
    <s v="FB001913"/>
    <x v="3"/>
    <x v="0"/>
    <x v="2"/>
    <s v="M"/>
    <s v="XS"/>
    <s v="Black"/>
    <n v="68.37"/>
    <n v="0.24199999999999999"/>
    <n v="24.2"/>
    <n v="16.545539999999999"/>
    <s v="Medium Discount"/>
    <n v="51.82"/>
    <s v="Medium Loss"/>
    <d v="2025-08-06T00:00:00"/>
    <n v="8"/>
    <s v="LOW STOCK"/>
    <n v="3.7"/>
    <n v="3.7"/>
    <b v="0"/>
    <x v="0"/>
    <m/>
  </r>
  <r>
    <s v="FB001914"/>
    <x v="0"/>
    <x v="3"/>
    <x v="2"/>
    <s v="XXL"/>
    <s v="S"/>
    <s v="Green"/>
    <n v="184.24"/>
    <n v="0"/>
    <n v="0"/>
    <n v="0"/>
    <s v="No Discount"/>
    <n v="184.24"/>
    <s v="No Loss"/>
    <d v="2025-08-06T00:00:00"/>
    <n v="49"/>
    <s v="IN STOCK"/>
    <n v="4"/>
    <n v="4"/>
    <b v="0"/>
    <x v="0"/>
    <m/>
  </r>
  <r>
    <s v="FB001915"/>
    <x v="3"/>
    <x v="2"/>
    <x v="0"/>
    <s v="OS"/>
    <s v="XS"/>
    <s v="Green"/>
    <n v="94.83"/>
    <n v="0"/>
    <n v="0"/>
    <n v="0"/>
    <s v="No Discount"/>
    <n v="94.83"/>
    <s v="No Loss"/>
    <d v="2024-09-08T00:00:00"/>
    <n v="23"/>
    <s v="IN STOCK"/>
    <n v="2.9"/>
    <n v="2.9"/>
    <b v="0"/>
    <x v="0"/>
    <m/>
  </r>
  <r>
    <s v="FB001916"/>
    <x v="1"/>
    <x v="5"/>
    <x v="3"/>
    <s v="OS"/>
    <s v="M"/>
    <s v="Pink"/>
    <n v="115.58"/>
    <n v="0"/>
    <n v="0"/>
    <n v="0"/>
    <s v="No Discount"/>
    <n v="115.58"/>
    <s v="No Loss"/>
    <d v="2025-08-06T00:00:00"/>
    <n v="37"/>
    <s v="IN STOCK"/>
    <n v="2.2000000000000002"/>
    <n v="2.2000000000000002"/>
    <b v="0"/>
    <x v="0"/>
    <m/>
  </r>
  <r>
    <s v="FB001917"/>
    <x v="0"/>
    <x v="0"/>
    <x v="1"/>
    <s v="M"/>
    <s v="XXL"/>
    <s v="Green"/>
    <n v="116.29"/>
    <n v="0.58700000000000008"/>
    <n v="58.7"/>
    <n v="68.262230000000017"/>
    <s v="high Discount"/>
    <n v="48.03"/>
    <s v="High Loss"/>
    <d v="2025-08-06T00:00:00"/>
    <n v="34"/>
    <s v="IN STOCK"/>
    <n v="3.3"/>
    <n v="3.3"/>
    <b v="0"/>
    <x v="0"/>
    <m/>
  </r>
  <r>
    <s v="FB001918"/>
    <x v="2"/>
    <x v="2"/>
    <x v="3"/>
    <s v="OS"/>
    <m/>
    <s v="Green"/>
    <n v="24.55"/>
    <n v="0"/>
    <n v="0"/>
    <n v="0"/>
    <s v="No Discount"/>
    <n v="24.55"/>
    <s v="No Loss"/>
    <d v="2025-08-06T00:00:00"/>
    <n v="43"/>
    <s v="IN STOCK"/>
    <n v="2.2999999999999998"/>
    <n v="2.2999999999999998"/>
    <b v="0"/>
    <x v="0"/>
    <m/>
  </r>
  <r>
    <s v="FB001919"/>
    <x v="5"/>
    <x v="0"/>
    <x v="0"/>
    <s v="XS"/>
    <m/>
    <s v="Navy"/>
    <n v="81.56"/>
    <n v="0"/>
    <n v="0"/>
    <n v="0"/>
    <s v="No Discount"/>
    <n v="81.56"/>
    <s v="No Loss"/>
    <d v="2025-01-09T00:00:00"/>
    <n v="28"/>
    <s v="IN STOCK"/>
    <n v="3"/>
    <n v="3"/>
    <b v="0"/>
    <x v="0"/>
    <m/>
  </r>
  <r>
    <s v="FB001920"/>
    <x v="0"/>
    <x v="2"/>
    <x v="0"/>
    <s v="S"/>
    <s v="M"/>
    <s v="White"/>
    <n v="234.63"/>
    <n v="0"/>
    <n v="0"/>
    <n v="0"/>
    <s v="No Discount"/>
    <n v="234.63"/>
    <s v="No Loss"/>
    <d v="2025-02-07T00:00:00"/>
    <n v="30"/>
    <s v="IN STOCK"/>
    <n v="4.3"/>
    <n v="4.3"/>
    <b v="0"/>
    <x v="0"/>
    <m/>
  </r>
  <r>
    <s v="FB001921"/>
    <x v="2"/>
    <x v="0"/>
    <x v="2"/>
    <s v="XS"/>
    <m/>
    <s v="White"/>
    <n v="27.6"/>
    <n v="0"/>
    <n v="0"/>
    <n v="0"/>
    <s v="No Discount"/>
    <n v="27.6"/>
    <s v="No Loss"/>
    <d v="2025-08-06T00:00:00"/>
    <n v="33"/>
    <s v="IN STOCK"/>
    <n v="2.8"/>
    <n v="2.8"/>
    <b v="0"/>
    <x v="0"/>
    <m/>
  </r>
  <r>
    <s v="FB001922"/>
    <x v="1"/>
    <x v="5"/>
    <x v="2"/>
    <s v="L"/>
    <s v="XS"/>
    <s v="Gray"/>
    <n v="114.76"/>
    <n v="0.24299999999999999"/>
    <n v="24.3"/>
    <n v="27.886680000000002"/>
    <s v="Medium Discount"/>
    <n v="86.87"/>
    <s v="High Loss"/>
    <d v="2025-08-06T00:00:00"/>
    <n v="10"/>
    <s v="LOW STOCK"/>
    <n v="3.4"/>
    <n v="3.4"/>
    <b v="0"/>
    <x v="0"/>
    <m/>
  </r>
  <r>
    <s v="FB001923"/>
    <x v="3"/>
    <x v="0"/>
    <x v="0"/>
    <s v="OS"/>
    <s v="S"/>
    <s v="Green"/>
    <n v="133.52000000000001"/>
    <n v="0"/>
    <n v="0"/>
    <n v="0"/>
    <s v="No Discount"/>
    <n v="133.52000000000001"/>
    <s v="No Loss"/>
    <d v="2024-10-04T00:00:00"/>
    <n v="32"/>
    <s v="IN STOCK"/>
    <n v="0"/>
    <m/>
    <b v="0"/>
    <x v="0"/>
    <m/>
  </r>
  <r>
    <s v="FB001924"/>
    <x v="1"/>
    <x v="2"/>
    <x v="1"/>
    <s v="M"/>
    <s v="XS"/>
    <s v="Blue"/>
    <n v="64.34"/>
    <n v="0.59299999999999997"/>
    <n v="59.3"/>
    <n v="38.153620000000004"/>
    <s v="high Discount"/>
    <n v="26.19"/>
    <s v="High Loss"/>
    <d v="2025-08-06T00:00:00"/>
    <n v="34"/>
    <s v="IN STOCK"/>
    <n v="1.2"/>
    <n v="1.2"/>
    <b v="0"/>
    <x v="0"/>
    <m/>
  </r>
  <r>
    <s v="FB001925"/>
    <x v="4"/>
    <x v="7"/>
    <x v="2"/>
    <s v="XL"/>
    <s v="L"/>
    <s v="Purple"/>
    <n v="117.81"/>
    <n v="0"/>
    <n v="0"/>
    <n v="0"/>
    <s v="No Discount"/>
    <n v="117.81"/>
    <s v="No Loss"/>
    <d v="2025-08-06T00:00:00"/>
    <n v="22"/>
    <s v="IN STOCK"/>
    <n v="4.9000000000000004"/>
    <n v="4.9000000000000004"/>
    <b v="0"/>
    <x v="0"/>
    <m/>
  </r>
  <r>
    <s v="FB001926"/>
    <x v="2"/>
    <x v="5"/>
    <x v="0"/>
    <s v="XXL"/>
    <m/>
    <s v="Blue"/>
    <n v="29.19"/>
    <n v="0"/>
    <n v="0"/>
    <n v="0"/>
    <s v="No Discount"/>
    <n v="29.19"/>
    <s v="No Loss"/>
    <d v="2025-03-15T00:00:00"/>
    <n v="20"/>
    <s v="IN STOCK"/>
    <n v="1.9"/>
    <n v="1.9"/>
    <b v="0"/>
    <x v="0"/>
    <m/>
  </r>
  <r>
    <s v="FB001927"/>
    <x v="1"/>
    <x v="1"/>
    <x v="2"/>
    <s v="XS"/>
    <s v="M"/>
    <s v="Purple"/>
    <n v="34.72"/>
    <n v="0"/>
    <n v="0"/>
    <n v="0"/>
    <s v="No Discount"/>
    <n v="34.72"/>
    <s v="No Loss"/>
    <d v="2025-08-06T00:00:00"/>
    <n v="7"/>
    <s v="LOW STOCK"/>
    <n v="0"/>
    <m/>
    <b v="0"/>
    <x v="0"/>
    <m/>
  </r>
  <r>
    <s v="FB001928"/>
    <x v="5"/>
    <x v="6"/>
    <x v="2"/>
    <s v="XS"/>
    <s v="XL"/>
    <s v="Gray"/>
    <n v="107.49"/>
    <n v="0"/>
    <n v="0"/>
    <n v="0"/>
    <s v="No Discount"/>
    <n v="107.49"/>
    <s v="No Loss"/>
    <d v="2025-08-06T00:00:00"/>
    <n v="49"/>
    <s v="IN STOCK"/>
    <n v="3.3"/>
    <n v="3.3"/>
    <b v="0"/>
    <x v="0"/>
    <m/>
  </r>
  <r>
    <s v="FB001929"/>
    <x v="4"/>
    <x v="1"/>
    <x v="1"/>
    <s v="XL"/>
    <s v="XXL"/>
    <s v="Blue"/>
    <n v="38.700000000000003"/>
    <n v="0"/>
    <n v="0"/>
    <n v="0"/>
    <s v="No Discount"/>
    <n v="38.700000000000003"/>
    <s v="No Loss"/>
    <d v="2025-08-06T00:00:00"/>
    <n v="11"/>
    <s v="IN STOCK"/>
    <n v="4"/>
    <n v="4"/>
    <b v="0"/>
    <x v="0"/>
    <m/>
  </r>
  <r>
    <s v="FB001930"/>
    <x v="0"/>
    <x v="5"/>
    <x v="0"/>
    <s v="XXL"/>
    <s v="XS"/>
    <s v="Brown"/>
    <n v="152.63999999999999"/>
    <n v="0"/>
    <n v="0"/>
    <n v="0"/>
    <s v="No Discount"/>
    <n v="152.63999999999999"/>
    <s v="No Loss"/>
    <d v="2025-04-05T00:00:00"/>
    <n v="19"/>
    <s v="IN STOCK"/>
    <n v="4.0999999999999996"/>
    <n v="4.0999999999999996"/>
    <b v="0"/>
    <x v="0"/>
    <m/>
  </r>
  <r>
    <s v="FB001931"/>
    <x v="0"/>
    <x v="3"/>
    <x v="2"/>
    <s v="XXL"/>
    <s v="XS"/>
    <s v="Purple"/>
    <n v="181.66"/>
    <n v="0.56399999999999995"/>
    <n v="56.4"/>
    <n v="102.45623999999999"/>
    <s v="high Discount"/>
    <n v="79.2"/>
    <s v="High Loss"/>
    <d v="2025-08-06T00:00:00"/>
    <n v="43"/>
    <s v="IN STOCK"/>
    <n v="1.2"/>
    <n v="1.2"/>
    <b v="0"/>
    <x v="0"/>
    <m/>
  </r>
  <r>
    <s v="FB001932"/>
    <x v="1"/>
    <x v="1"/>
    <x v="0"/>
    <s v="L"/>
    <s v="XL"/>
    <s v="Green"/>
    <n v="114.8"/>
    <n v="0.17399999999999999"/>
    <n v="17.399999999999999"/>
    <n v="19.975199999999997"/>
    <s v="Low Discount"/>
    <n v="94.82"/>
    <s v="Medium Loss"/>
    <d v="2025-05-17T00:00:00"/>
    <n v="4"/>
    <s v="LOW STOCK"/>
    <n v="1.8"/>
    <n v="1.8"/>
    <b v="0"/>
    <x v="0"/>
    <m/>
  </r>
  <r>
    <s v="FB001933"/>
    <x v="3"/>
    <x v="1"/>
    <x v="1"/>
    <s v="S"/>
    <s v="XXL"/>
    <s v="Green"/>
    <n v="102.95"/>
    <n v="0"/>
    <n v="0"/>
    <n v="0"/>
    <s v="No Discount"/>
    <n v="102.95"/>
    <s v="No Loss"/>
    <d v="2025-08-06T00:00:00"/>
    <n v="38"/>
    <s v="IN STOCK"/>
    <n v="3.8"/>
    <n v="3.8"/>
    <b v="0"/>
    <x v="0"/>
    <m/>
  </r>
  <r>
    <s v="FB001934"/>
    <x v="1"/>
    <x v="7"/>
    <x v="1"/>
    <s v="XS"/>
    <s v="XXL"/>
    <s v="Green"/>
    <n v="86.82"/>
    <n v="0"/>
    <n v="0"/>
    <n v="0"/>
    <s v="No Discount"/>
    <n v="86.82"/>
    <s v="No Loss"/>
    <d v="2025-08-06T00:00:00"/>
    <n v="0"/>
    <s v="NO STOCK"/>
    <n v="4.8"/>
    <n v="4.8"/>
    <b v="0"/>
    <x v="0"/>
    <m/>
  </r>
  <r>
    <s v="FB001935"/>
    <x v="0"/>
    <x v="4"/>
    <x v="3"/>
    <s v="XXL"/>
    <s v="L"/>
    <s v="Red"/>
    <n v="83.68"/>
    <n v="0.28100000000000003"/>
    <n v="28.1"/>
    <n v="23.514080000000003"/>
    <s v="Medium Discount"/>
    <n v="60.17"/>
    <s v="High Loss"/>
    <d v="2025-08-06T00:00:00"/>
    <n v="46"/>
    <s v="IN STOCK"/>
    <n v="0"/>
    <m/>
    <b v="1"/>
    <x v="4"/>
    <s v="Quality Issue"/>
  </r>
  <r>
    <s v="FB001936"/>
    <x v="0"/>
    <x v="2"/>
    <x v="2"/>
    <s v="OS"/>
    <s v="S"/>
    <s v="Pink"/>
    <n v="167.31"/>
    <n v="0.50700000000000001"/>
    <n v="50.7"/>
    <n v="84.826170000000005"/>
    <s v="high Discount"/>
    <n v="82.48"/>
    <s v="High Loss"/>
    <d v="2025-08-06T00:00:00"/>
    <n v="9"/>
    <s v="LOW STOCK"/>
    <n v="3.2"/>
    <n v="3.2"/>
    <b v="0"/>
    <x v="0"/>
    <m/>
  </r>
  <r>
    <s v="FB001937"/>
    <x v="4"/>
    <x v="4"/>
    <x v="2"/>
    <s v="M"/>
    <s v="XS"/>
    <s v="Gray"/>
    <n v="114.64"/>
    <n v="5.0999999999999997E-2"/>
    <n v="5.0999999999999996"/>
    <n v="5.8466399999999998"/>
    <s v="Low Discount"/>
    <n v="108.79"/>
    <s v="Low Loss"/>
    <d v="2025-08-06T00:00:00"/>
    <n v="21"/>
    <s v="IN STOCK"/>
    <n v="2"/>
    <n v="2"/>
    <b v="0"/>
    <x v="0"/>
    <m/>
  </r>
  <r>
    <s v="FB001938"/>
    <x v="0"/>
    <x v="4"/>
    <x v="0"/>
    <s v="XS"/>
    <s v="XXL"/>
    <s v="White"/>
    <n v="109.53"/>
    <n v="0.29299999999999998"/>
    <n v="29.3"/>
    <n v="32.092289999999998"/>
    <s v="Medium Discount"/>
    <n v="77.44"/>
    <s v="High Loss"/>
    <d v="2024-11-02T00:00:00"/>
    <n v="35"/>
    <s v="IN STOCK"/>
    <n v="1.3"/>
    <n v="1.3"/>
    <b v="0"/>
    <x v="0"/>
    <m/>
  </r>
  <r>
    <s v="FB001939"/>
    <x v="2"/>
    <x v="5"/>
    <x v="3"/>
    <s v="XS"/>
    <m/>
    <s v="Beige"/>
    <n v="51.02"/>
    <n v="0.57899999999999996"/>
    <n v="57.9"/>
    <n v="29.540579999999999"/>
    <s v="high Discount"/>
    <n v="21.48"/>
    <s v="High Loss"/>
    <d v="2025-08-06T00:00:00"/>
    <n v="36"/>
    <s v="IN STOCK"/>
    <n v="0"/>
    <m/>
    <b v="0"/>
    <x v="0"/>
    <m/>
  </r>
  <r>
    <s v="FB001940"/>
    <x v="3"/>
    <x v="4"/>
    <x v="2"/>
    <s v="S"/>
    <s v="M"/>
    <s v="Green"/>
    <n v="77.45"/>
    <n v="0.52800000000000002"/>
    <n v="52.8"/>
    <n v="40.893600000000006"/>
    <s v="high Discount"/>
    <n v="36.56"/>
    <s v="High Loss"/>
    <d v="2025-08-06T00:00:00"/>
    <n v="6"/>
    <s v="LOW STOCK"/>
    <n v="2.7"/>
    <n v="2.7"/>
    <b v="0"/>
    <x v="0"/>
    <m/>
  </r>
  <r>
    <s v="FB001941"/>
    <x v="3"/>
    <x v="5"/>
    <x v="2"/>
    <s v="L"/>
    <s v="XS"/>
    <s v="White"/>
    <n v="142.87"/>
    <n v="0.45399999999999996"/>
    <n v="45.4"/>
    <n v="64.862979999999993"/>
    <s v="high Discount"/>
    <n v="78.010000000000005"/>
    <s v="High Loss"/>
    <d v="2025-08-06T00:00:00"/>
    <n v="20"/>
    <s v="IN STOCK"/>
    <n v="1.7"/>
    <n v="1.7"/>
    <b v="0"/>
    <x v="0"/>
    <m/>
  </r>
  <r>
    <s v="FB001942"/>
    <x v="0"/>
    <x v="2"/>
    <x v="1"/>
    <s v="XL"/>
    <s v="XS"/>
    <s v="White"/>
    <n v="138.87"/>
    <n v="0"/>
    <n v="0"/>
    <n v="0"/>
    <s v="No Discount"/>
    <n v="138.87"/>
    <s v="No Loss"/>
    <d v="2025-08-06T00:00:00"/>
    <n v="37"/>
    <s v="IN STOCK"/>
    <n v="3.2"/>
    <n v="3.2"/>
    <b v="0"/>
    <x v="0"/>
    <m/>
  </r>
  <r>
    <s v="FB001943"/>
    <x v="3"/>
    <x v="5"/>
    <x v="0"/>
    <s v="S"/>
    <s v="S"/>
    <s v="Red"/>
    <n v="132.82"/>
    <n v="0"/>
    <n v="0"/>
    <n v="0"/>
    <s v="No Discount"/>
    <n v="132.82"/>
    <s v="No Loss"/>
    <d v="2025-03-17T00:00:00"/>
    <n v="40"/>
    <s v="IN STOCK"/>
    <n v="0"/>
    <m/>
    <b v="1"/>
    <x v="5"/>
    <s v="Changed Mind"/>
  </r>
  <r>
    <s v="FB001944"/>
    <x v="3"/>
    <x v="4"/>
    <x v="3"/>
    <s v="XL"/>
    <s v="L"/>
    <s v="Navy"/>
    <n v="110.54"/>
    <n v="0"/>
    <n v="0"/>
    <n v="0"/>
    <s v="No Discount"/>
    <n v="110.54"/>
    <s v="No Loss"/>
    <d v="2025-08-06T00:00:00"/>
    <n v="24"/>
    <s v="IN STOCK"/>
    <n v="0"/>
    <m/>
    <b v="1"/>
    <x v="2"/>
    <s v="Size Issue"/>
  </r>
  <r>
    <s v="FB001945"/>
    <x v="4"/>
    <x v="0"/>
    <x v="3"/>
    <s v="S"/>
    <s v="XL"/>
    <s v="Beige"/>
    <n v="29.07"/>
    <n v="0"/>
    <n v="0"/>
    <n v="0"/>
    <s v="No Discount"/>
    <n v="29.07"/>
    <s v="No Loss"/>
    <d v="2025-08-06T00:00:00"/>
    <n v="41"/>
    <s v="IN STOCK"/>
    <n v="2.8"/>
    <n v="2.8"/>
    <b v="0"/>
    <x v="0"/>
    <m/>
  </r>
  <r>
    <s v="FB001946"/>
    <x v="0"/>
    <x v="6"/>
    <x v="3"/>
    <s v="OS"/>
    <s v="S"/>
    <s v="Navy"/>
    <n v="141.91999999999999"/>
    <n v="0"/>
    <n v="0"/>
    <n v="0"/>
    <s v="No Discount"/>
    <n v="141.91999999999999"/>
    <s v="No Loss"/>
    <d v="2025-08-06T00:00:00"/>
    <n v="37"/>
    <s v="IN STOCK"/>
    <n v="1.7"/>
    <n v="1.7"/>
    <b v="0"/>
    <x v="0"/>
    <m/>
  </r>
  <r>
    <s v="FB001947"/>
    <x v="3"/>
    <x v="2"/>
    <x v="3"/>
    <s v="XL"/>
    <s v="XL"/>
    <s v="Red"/>
    <n v="67.84"/>
    <n v="0"/>
    <n v="0"/>
    <n v="0"/>
    <s v="No Discount"/>
    <n v="67.84"/>
    <s v="No Loss"/>
    <d v="2025-08-06T00:00:00"/>
    <n v="24"/>
    <s v="IN STOCK"/>
    <n v="1.2"/>
    <n v="1.2"/>
    <b v="0"/>
    <x v="0"/>
    <m/>
  </r>
  <r>
    <s v="FB001948"/>
    <x v="3"/>
    <x v="3"/>
    <x v="1"/>
    <s v="XXL"/>
    <s v="S"/>
    <s v="Brown"/>
    <n v="143.27000000000001"/>
    <n v="0"/>
    <n v="0"/>
    <n v="0"/>
    <s v="No Discount"/>
    <n v="143.27000000000001"/>
    <s v="No Loss"/>
    <d v="2025-08-06T00:00:00"/>
    <n v="0"/>
    <s v="NO STOCK"/>
    <n v="0"/>
    <m/>
    <b v="0"/>
    <x v="0"/>
    <m/>
  </r>
  <r>
    <s v="FB001949"/>
    <x v="2"/>
    <x v="2"/>
    <x v="1"/>
    <s v="XS"/>
    <m/>
    <s v="Brown"/>
    <n v="20.97"/>
    <n v="0"/>
    <n v="0"/>
    <n v="0"/>
    <s v="No Discount"/>
    <n v="20.97"/>
    <s v="No Loss"/>
    <d v="2025-08-06T00:00:00"/>
    <n v="44"/>
    <s v="IN STOCK"/>
    <n v="4.5999999999999996"/>
    <n v="4.5999999999999996"/>
    <b v="0"/>
    <x v="0"/>
    <m/>
  </r>
  <r>
    <s v="FB001950"/>
    <x v="5"/>
    <x v="0"/>
    <x v="3"/>
    <s v="L"/>
    <s v="XL"/>
    <s v="Purple"/>
    <n v="105.5"/>
    <n v="0.59799999999999998"/>
    <n v="59.8"/>
    <n v="63.088999999999999"/>
    <s v="high Discount"/>
    <n v="42.41"/>
    <s v="High Loss"/>
    <d v="2025-08-06T00:00:00"/>
    <n v="34"/>
    <s v="IN STOCK"/>
    <n v="0"/>
    <m/>
    <b v="0"/>
    <x v="0"/>
    <m/>
  </r>
  <r>
    <s v="FB001951"/>
    <x v="3"/>
    <x v="2"/>
    <x v="0"/>
    <s v="XL"/>
    <s v="XXL"/>
    <s v="Green"/>
    <n v="184.7"/>
    <n v="0"/>
    <n v="0"/>
    <n v="0"/>
    <s v="No Discount"/>
    <n v="184.7"/>
    <s v="No Loss"/>
    <d v="2024-09-19T00:00:00"/>
    <n v="39"/>
    <s v="IN STOCK"/>
    <n v="2.1"/>
    <n v="2.1"/>
    <b v="1"/>
    <x v="2"/>
    <s v="Size Issue"/>
  </r>
  <r>
    <s v="FB001952"/>
    <x v="3"/>
    <x v="4"/>
    <x v="0"/>
    <s v="OS"/>
    <s v="XS"/>
    <s v="Blue"/>
    <n v="81.47"/>
    <n v="0.32"/>
    <n v="32"/>
    <n v="26.070399999999999"/>
    <s v="high Discount"/>
    <n v="55.4"/>
    <s v="High Loss"/>
    <d v="2024-09-01T00:00:00"/>
    <n v="2"/>
    <s v="LOW STOCK"/>
    <n v="1.1000000000000001"/>
    <n v="1.1000000000000001"/>
    <b v="0"/>
    <x v="0"/>
    <m/>
  </r>
  <r>
    <s v="FB001953"/>
    <x v="0"/>
    <x v="2"/>
    <x v="1"/>
    <s v="XL"/>
    <s v="L"/>
    <s v="Blue"/>
    <n v="107.67"/>
    <n v="0.20300000000000001"/>
    <n v="20.3"/>
    <n v="21.857010000000002"/>
    <s v="Medium Discount"/>
    <n v="85.81"/>
    <s v="High Loss"/>
    <d v="2025-08-06T00:00:00"/>
    <n v="16"/>
    <s v="IN STOCK"/>
    <n v="4.3"/>
    <n v="4.3"/>
    <b v="0"/>
    <x v="0"/>
    <m/>
  </r>
  <r>
    <s v="FB001954"/>
    <x v="1"/>
    <x v="2"/>
    <x v="3"/>
    <s v="XS"/>
    <s v="XL"/>
    <s v="Purple"/>
    <n v="88.64"/>
    <n v="0"/>
    <n v="0"/>
    <n v="0"/>
    <s v="No Discount"/>
    <n v="88.64"/>
    <s v="No Loss"/>
    <d v="2025-08-06T00:00:00"/>
    <n v="33"/>
    <s v="IN STOCK"/>
    <n v="0"/>
    <m/>
    <b v="0"/>
    <x v="0"/>
    <m/>
  </r>
  <r>
    <s v="FB001955"/>
    <x v="2"/>
    <x v="0"/>
    <x v="1"/>
    <s v="S"/>
    <m/>
    <s v="Red"/>
    <n v="17.5"/>
    <n v="0.14400000000000002"/>
    <n v="14.4"/>
    <n v="2.5200000000000005"/>
    <s v="Low Discount"/>
    <n v="14.98"/>
    <s v="Low Loss"/>
    <d v="2025-08-06T00:00:00"/>
    <n v="16"/>
    <s v="IN STOCK"/>
    <n v="3.1"/>
    <n v="3.1"/>
    <b v="0"/>
    <x v="0"/>
    <m/>
  </r>
  <r>
    <s v="FB001956"/>
    <x v="0"/>
    <x v="4"/>
    <x v="1"/>
    <s v="L"/>
    <s v="XL"/>
    <s v="Gray"/>
    <n v="205.37"/>
    <n v="0"/>
    <n v="0"/>
    <n v="0"/>
    <s v="No Discount"/>
    <n v="205.37"/>
    <s v="No Loss"/>
    <d v="2025-08-06T00:00:00"/>
    <n v="25"/>
    <s v="IN STOCK"/>
    <n v="2"/>
    <n v="2"/>
    <b v="1"/>
    <x v="3"/>
    <s v="Damaged"/>
  </r>
  <r>
    <s v="FB001957"/>
    <x v="5"/>
    <x v="3"/>
    <x v="1"/>
    <s v="XXL"/>
    <s v="XS"/>
    <s v="Beige"/>
    <n v="111.66"/>
    <n v="0"/>
    <n v="0"/>
    <n v="0"/>
    <s v="No Discount"/>
    <n v="111.66"/>
    <s v="No Loss"/>
    <d v="2025-08-06T00:00:00"/>
    <n v="26"/>
    <s v="IN STOCK"/>
    <n v="1.4"/>
    <n v="1.4"/>
    <b v="0"/>
    <x v="0"/>
    <m/>
  </r>
  <r>
    <s v="FB001958"/>
    <x v="3"/>
    <x v="3"/>
    <x v="3"/>
    <s v="M"/>
    <s v="S"/>
    <s v="Pink"/>
    <n v="184.87"/>
    <n v="0.56399999999999995"/>
    <n v="56.4"/>
    <n v="104.26667999999999"/>
    <s v="high Discount"/>
    <n v="80.599999999999994"/>
    <s v="High Loss"/>
    <d v="2025-08-06T00:00:00"/>
    <n v="10"/>
    <s v="LOW STOCK"/>
    <n v="3.7"/>
    <n v="3.7"/>
    <b v="0"/>
    <x v="0"/>
    <m/>
  </r>
  <r>
    <s v="FB001959"/>
    <x v="4"/>
    <x v="0"/>
    <x v="0"/>
    <s v="M"/>
    <s v="L"/>
    <s v="Green"/>
    <n v="84.58"/>
    <n v="0"/>
    <n v="0"/>
    <n v="0"/>
    <s v="No Discount"/>
    <n v="84.58"/>
    <s v="No Loss"/>
    <d v="2025-01-17T00:00:00"/>
    <n v="33"/>
    <s v="IN STOCK"/>
    <n v="4.5"/>
    <n v="4.5"/>
    <b v="0"/>
    <x v="0"/>
    <m/>
  </r>
  <r>
    <s v="FB001960"/>
    <x v="4"/>
    <x v="7"/>
    <x v="3"/>
    <s v="XXL"/>
    <s v="XXL"/>
    <s v="White"/>
    <n v="66.739999999999995"/>
    <n v="0"/>
    <n v="0"/>
    <n v="0"/>
    <s v="No Discount"/>
    <n v="66.739999999999995"/>
    <s v="No Loss"/>
    <d v="2025-08-06T00:00:00"/>
    <n v="26"/>
    <s v="IN STOCK"/>
    <n v="4.5999999999999996"/>
    <n v="4.5999999999999996"/>
    <b v="0"/>
    <x v="0"/>
    <m/>
  </r>
  <r>
    <s v="FB001961"/>
    <x v="3"/>
    <x v="4"/>
    <x v="3"/>
    <s v="L"/>
    <s v="M"/>
    <s v="Green"/>
    <n v="104.19"/>
    <n v="0"/>
    <n v="0"/>
    <n v="0"/>
    <s v="No Discount"/>
    <n v="104.19"/>
    <s v="No Loss"/>
    <d v="2025-08-06T00:00:00"/>
    <n v="4"/>
    <s v="LOW STOCK"/>
    <n v="4.7"/>
    <n v="4.7"/>
    <b v="0"/>
    <x v="0"/>
    <m/>
  </r>
  <r>
    <s v="FB001962"/>
    <x v="0"/>
    <x v="1"/>
    <x v="3"/>
    <s v="OS"/>
    <s v="M"/>
    <s v="Green"/>
    <n v="216.73"/>
    <n v="0"/>
    <n v="0"/>
    <n v="0"/>
    <s v="No Discount"/>
    <n v="216.73"/>
    <s v="No Loss"/>
    <d v="2025-08-06T00:00:00"/>
    <n v="5"/>
    <s v="LOW STOCK"/>
    <n v="2.7"/>
    <n v="2.7"/>
    <b v="1"/>
    <x v="6"/>
    <s v="Wrong Item"/>
  </r>
  <r>
    <s v="FB001963"/>
    <x v="5"/>
    <x v="3"/>
    <x v="3"/>
    <s v="XS"/>
    <s v="XXL"/>
    <s v="Beige"/>
    <n v="87.82"/>
    <n v="0"/>
    <n v="0"/>
    <n v="0"/>
    <s v="No Discount"/>
    <n v="87.82"/>
    <s v="No Loss"/>
    <d v="2025-08-06T00:00:00"/>
    <n v="24"/>
    <s v="IN STOCK"/>
    <n v="4.2"/>
    <n v="4.2"/>
    <b v="0"/>
    <x v="0"/>
    <m/>
  </r>
  <r>
    <s v="FB001964"/>
    <x v="3"/>
    <x v="0"/>
    <x v="3"/>
    <s v="OS"/>
    <s v="L"/>
    <s v="Green"/>
    <n v="81.59"/>
    <n v="0"/>
    <n v="0"/>
    <n v="0"/>
    <s v="No Discount"/>
    <n v="81.59"/>
    <s v="No Loss"/>
    <d v="2025-08-06T00:00:00"/>
    <n v="5"/>
    <s v="LOW STOCK"/>
    <n v="2.5"/>
    <n v="2.5"/>
    <b v="0"/>
    <x v="0"/>
    <m/>
  </r>
  <r>
    <s v="FB001965"/>
    <x v="0"/>
    <x v="6"/>
    <x v="3"/>
    <s v="S"/>
    <m/>
    <s v="Blue"/>
    <n v="93.14"/>
    <n v="0.32799999999999996"/>
    <n v="32.799999999999997"/>
    <n v="30.549919999999997"/>
    <s v="high Discount"/>
    <n v="62.59"/>
    <s v="High Loss"/>
    <d v="2025-08-06T00:00:00"/>
    <n v="45"/>
    <s v="IN STOCK"/>
    <n v="4.5"/>
    <n v="4.5"/>
    <b v="0"/>
    <x v="0"/>
    <m/>
  </r>
  <r>
    <s v="FB001966"/>
    <x v="4"/>
    <x v="6"/>
    <x v="0"/>
    <s v="XL"/>
    <s v="XS"/>
    <s v="Gray"/>
    <n v="96.73"/>
    <n v="0"/>
    <n v="0"/>
    <n v="0"/>
    <s v="No Discount"/>
    <n v="96.73"/>
    <s v="No Loss"/>
    <d v="2024-11-09T00:00:00"/>
    <n v="18"/>
    <s v="IN STOCK"/>
    <n v="4.8"/>
    <n v="4.8"/>
    <b v="0"/>
    <x v="0"/>
    <m/>
  </r>
  <r>
    <s v="FB001967"/>
    <x v="2"/>
    <x v="7"/>
    <x v="1"/>
    <s v="L"/>
    <m/>
    <s v="Blue"/>
    <n v="19.34"/>
    <n v="0"/>
    <n v="0"/>
    <n v="0"/>
    <s v="No Discount"/>
    <n v="19.34"/>
    <s v="No Loss"/>
    <d v="2025-08-06T00:00:00"/>
    <n v="19"/>
    <s v="IN STOCK"/>
    <n v="0"/>
    <m/>
    <b v="0"/>
    <x v="0"/>
    <m/>
  </r>
  <r>
    <s v="FB001968"/>
    <x v="3"/>
    <x v="0"/>
    <x v="0"/>
    <s v="S"/>
    <s v="S"/>
    <s v="Red"/>
    <n v="113.88"/>
    <n v="0.311"/>
    <n v="31.1"/>
    <n v="35.416679999999999"/>
    <s v="high Discount"/>
    <n v="78.459999999999994"/>
    <s v="High Loss"/>
    <d v="2025-06-10T00:00:00"/>
    <n v="22"/>
    <s v="IN STOCK"/>
    <n v="3.1"/>
    <n v="3.1"/>
    <b v="0"/>
    <x v="0"/>
    <m/>
  </r>
  <r>
    <s v="FB001969"/>
    <x v="5"/>
    <x v="0"/>
    <x v="0"/>
    <s v="L"/>
    <s v="XL"/>
    <s v="Navy"/>
    <n v="90.32"/>
    <n v="0"/>
    <n v="0"/>
    <n v="0"/>
    <s v="No Discount"/>
    <n v="90.32"/>
    <s v="No Loss"/>
    <d v="2025-03-26T00:00:00"/>
    <n v="41"/>
    <s v="IN STOCK"/>
    <n v="2.8"/>
    <n v="2.8"/>
    <b v="0"/>
    <x v="0"/>
    <m/>
  </r>
  <r>
    <s v="FB001970"/>
    <x v="1"/>
    <x v="2"/>
    <x v="3"/>
    <s v="OS"/>
    <s v="L"/>
    <s v="Gray"/>
    <n v="38.119999999999997"/>
    <n v="0"/>
    <n v="0"/>
    <n v="0"/>
    <s v="No Discount"/>
    <n v="38.119999999999997"/>
    <s v="No Loss"/>
    <d v="2025-08-06T00:00:00"/>
    <n v="44"/>
    <s v="IN STOCK"/>
    <n v="0"/>
    <m/>
    <b v="0"/>
    <x v="0"/>
    <m/>
  </r>
  <r>
    <s v="FB001971"/>
    <x v="3"/>
    <x v="2"/>
    <x v="3"/>
    <s v="M"/>
    <s v="S"/>
    <s v="Blue"/>
    <n v="175.31"/>
    <n v="0"/>
    <n v="0"/>
    <n v="0"/>
    <s v="No Discount"/>
    <n v="175.31"/>
    <s v="No Loss"/>
    <d v="2025-08-06T00:00:00"/>
    <n v="13"/>
    <s v="IN STOCK"/>
    <n v="0"/>
    <m/>
    <b v="0"/>
    <x v="0"/>
    <m/>
  </r>
  <r>
    <s v="FB001972"/>
    <x v="5"/>
    <x v="0"/>
    <x v="0"/>
    <s v="OS"/>
    <s v="L"/>
    <s v="Red"/>
    <n v="171.92"/>
    <n v="0"/>
    <n v="0"/>
    <n v="0"/>
    <s v="No Discount"/>
    <n v="171.92"/>
    <s v="No Loss"/>
    <d v="2025-06-08T00:00:00"/>
    <n v="12"/>
    <s v="IN STOCK"/>
    <n v="1.3"/>
    <n v="1.3"/>
    <b v="0"/>
    <x v="0"/>
    <m/>
  </r>
  <r>
    <s v="FB001973"/>
    <x v="2"/>
    <x v="6"/>
    <x v="3"/>
    <s v="S"/>
    <m/>
    <s v="Blue"/>
    <n v="35.6"/>
    <n v="0"/>
    <n v="0"/>
    <n v="0"/>
    <s v="No Discount"/>
    <n v="35.6"/>
    <s v="No Loss"/>
    <d v="2025-08-06T00:00:00"/>
    <n v="24"/>
    <s v="IN STOCK"/>
    <n v="3.1"/>
    <n v="3.1"/>
    <b v="0"/>
    <x v="0"/>
    <m/>
  </r>
  <r>
    <s v="FB001974"/>
    <x v="4"/>
    <x v="4"/>
    <x v="3"/>
    <s v="M"/>
    <s v="M"/>
    <s v="Navy"/>
    <n v="81.7"/>
    <n v="0"/>
    <n v="0"/>
    <n v="0"/>
    <s v="No Discount"/>
    <n v="81.7"/>
    <s v="No Loss"/>
    <d v="2025-08-06T00:00:00"/>
    <n v="33"/>
    <s v="IN STOCK"/>
    <n v="0"/>
    <m/>
    <b v="1"/>
    <x v="6"/>
    <s v="Wrong Item"/>
  </r>
  <r>
    <s v="FB001975"/>
    <x v="4"/>
    <x v="2"/>
    <x v="3"/>
    <s v="XL"/>
    <m/>
    <s v="Purple"/>
    <n v="29.7"/>
    <n v="0"/>
    <n v="0"/>
    <n v="0"/>
    <s v="No Discount"/>
    <n v="29.7"/>
    <s v="No Loss"/>
    <d v="2025-08-06T00:00:00"/>
    <n v="16"/>
    <s v="IN STOCK"/>
    <n v="2.7"/>
    <n v="2.7"/>
    <b v="0"/>
    <x v="0"/>
    <m/>
  </r>
  <r>
    <s v="FB001976"/>
    <x v="0"/>
    <x v="3"/>
    <x v="1"/>
    <s v="L"/>
    <s v="S"/>
    <s v="Brown"/>
    <n v="239.65"/>
    <n v="0"/>
    <n v="0"/>
    <n v="0"/>
    <s v="No Discount"/>
    <n v="239.65"/>
    <s v="No Loss"/>
    <d v="2025-08-06T00:00:00"/>
    <n v="27"/>
    <s v="IN STOCK"/>
    <n v="2.9"/>
    <n v="2.9"/>
    <b v="0"/>
    <x v="0"/>
    <m/>
  </r>
  <r>
    <s v="FB001977"/>
    <x v="1"/>
    <x v="4"/>
    <x v="2"/>
    <s v="S"/>
    <s v="M"/>
    <s v="Red"/>
    <n v="90.41"/>
    <n v="0"/>
    <n v="0"/>
    <n v="0"/>
    <s v="No Discount"/>
    <n v="90.41"/>
    <s v="No Loss"/>
    <d v="2025-08-06T00:00:00"/>
    <n v="11"/>
    <s v="IN STOCK"/>
    <n v="0"/>
    <m/>
    <b v="0"/>
    <x v="0"/>
    <m/>
  </r>
  <r>
    <s v="FB001978"/>
    <x v="5"/>
    <x v="5"/>
    <x v="1"/>
    <s v="L"/>
    <s v="XL"/>
    <s v="White"/>
    <n v="81.78"/>
    <n v="0.1"/>
    <n v="10"/>
    <n v="8.1780000000000008"/>
    <s v="Low Discount"/>
    <n v="73.599999999999994"/>
    <s v="Low Loss"/>
    <d v="2025-08-06T00:00:00"/>
    <n v="24"/>
    <s v="IN STOCK"/>
    <n v="1.2"/>
    <n v="1.2"/>
    <b v="0"/>
    <x v="0"/>
    <m/>
  </r>
  <r>
    <s v="FB001979"/>
    <x v="0"/>
    <x v="7"/>
    <x v="1"/>
    <s v="M"/>
    <s v="L"/>
    <s v="Black"/>
    <n v="142.55000000000001"/>
    <n v="0"/>
    <n v="0"/>
    <n v="0"/>
    <s v="No Discount"/>
    <n v="142.55000000000001"/>
    <s v="No Loss"/>
    <d v="2025-08-06T00:00:00"/>
    <n v="21"/>
    <s v="IN STOCK"/>
    <n v="4.5"/>
    <n v="4.5"/>
    <b v="0"/>
    <x v="0"/>
    <m/>
  </r>
  <r>
    <s v="FB001980"/>
    <x v="5"/>
    <x v="6"/>
    <x v="2"/>
    <s v="S"/>
    <s v="S"/>
    <s v="Black"/>
    <n v="53.13"/>
    <n v="0"/>
    <n v="0"/>
    <n v="0"/>
    <s v="No Discount"/>
    <n v="53.13"/>
    <s v="No Loss"/>
    <d v="2025-08-06T00:00:00"/>
    <n v="5"/>
    <s v="LOW STOCK"/>
    <n v="4.5999999999999996"/>
    <n v="4.5999999999999996"/>
    <b v="0"/>
    <x v="0"/>
    <m/>
  </r>
  <r>
    <s v="FB001981"/>
    <x v="4"/>
    <x v="7"/>
    <x v="3"/>
    <s v="OS"/>
    <s v="L"/>
    <s v="Navy"/>
    <n v="80.81"/>
    <n v="0"/>
    <n v="0"/>
    <n v="0"/>
    <s v="No Discount"/>
    <n v="80.81"/>
    <s v="No Loss"/>
    <d v="2025-08-06T00:00:00"/>
    <n v="15"/>
    <s v="IN STOCK"/>
    <n v="4.5999999999999996"/>
    <n v="4.5999999999999996"/>
    <b v="0"/>
    <x v="0"/>
    <m/>
  </r>
  <r>
    <s v="FB001982"/>
    <x v="1"/>
    <x v="1"/>
    <x v="2"/>
    <s v="L"/>
    <s v="M"/>
    <s v="Navy"/>
    <n v="89.39"/>
    <n v="0"/>
    <n v="0"/>
    <n v="0"/>
    <s v="No Discount"/>
    <n v="89.39"/>
    <s v="No Loss"/>
    <d v="2025-08-06T00:00:00"/>
    <n v="33"/>
    <s v="IN STOCK"/>
    <n v="4.2"/>
    <n v="4.2"/>
    <b v="0"/>
    <x v="0"/>
    <m/>
  </r>
  <r>
    <s v="FB001983"/>
    <x v="4"/>
    <x v="3"/>
    <x v="3"/>
    <s v="L"/>
    <s v="S"/>
    <s v="Blue"/>
    <n v="37.9"/>
    <n v="0.379"/>
    <n v="37.9"/>
    <n v="14.364099999999999"/>
    <s v="high Discount"/>
    <n v="23.54"/>
    <s v="Medium Loss"/>
    <d v="2025-08-06T00:00:00"/>
    <n v="34"/>
    <s v="IN STOCK"/>
    <n v="1.3"/>
    <n v="1.3"/>
    <b v="0"/>
    <x v="0"/>
    <m/>
  </r>
  <r>
    <s v="FB001984"/>
    <x v="2"/>
    <x v="3"/>
    <x v="0"/>
    <s v="OS"/>
    <m/>
    <s v="Brown"/>
    <n v="44.49"/>
    <n v="0"/>
    <n v="0"/>
    <n v="0"/>
    <s v="No Discount"/>
    <n v="44.49"/>
    <s v="No Loss"/>
    <d v="2025-06-27T00:00:00"/>
    <n v="34"/>
    <s v="IN STOCK"/>
    <n v="2.1"/>
    <n v="2.1"/>
    <b v="0"/>
    <x v="0"/>
    <m/>
  </r>
  <r>
    <s v="FB001985"/>
    <x v="1"/>
    <x v="3"/>
    <x v="3"/>
    <s v="M"/>
    <s v="L"/>
    <s v="Beige"/>
    <n v="111.7"/>
    <n v="0"/>
    <n v="0"/>
    <n v="0"/>
    <s v="No Discount"/>
    <n v="111.7"/>
    <s v="No Loss"/>
    <d v="2025-08-06T00:00:00"/>
    <n v="2"/>
    <s v="LOW STOCK"/>
    <n v="0"/>
    <m/>
    <b v="1"/>
    <x v="2"/>
    <s v="Size Issue"/>
  </r>
  <r>
    <s v="FB001986"/>
    <x v="1"/>
    <x v="4"/>
    <x v="0"/>
    <s v="S"/>
    <s v="L"/>
    <s v="Navy"/>
    <n v="109.76"/>
    <n v="0"/>
    <n v="0"/>
    <n v="0"/>
    <s v="No Discount"/>
    <n v="109.76"/>
    <s v="No Loss"/>
    <d v="2025-01-12T00:00:00"/>
    <n v="23"/>
    <s v="IN STOCK"/>
    <n v="2"/>
    <n v="2"/>
    <b v="1"/>
    <x v="4"/>
    <s v="Quality Issue"/>
  </r>
  <r>
    <s v="FB001987"/>
    <x v="2"/>
    <x v="1"/>
    <x v="2"/>
    <s v="M"/>
    <m/>
    <s v="Navy"/>
    <n v="33"/>
    <n v="0"/>
    <n v="0"/>
    <n v="0"/>
    <s v="No Discount"/>
    <n v="33"/>
    <s v="No Loss"/>
    <d v="2025-08-06T00:00:00"/>
    <n v="50"/>
    <s v="IN STOCK"/>
    <n v="4"/>
    <n v="4"/>
    <b v="0"/>
    <x v="0"/>
    <m/>
  </r>
  <r>
    <s v="FB001988"/>
    <x v="3"/>
    <x v="5"/>
    <x v="1"/>
    <s v="OS"/>
    <s v="M"/>
    <s v="Green"/>
    <n v="150.65"/>
    <n v="8.900000000000001E-2"/>
    <n v="8.9"/>
    <n v="13.407850000000002"/>
    <s v="Low Discount"/>
    <n v="137.24"/>
    <s v="Medium Loss"/>
    <d v="2025-08-06T00:00:00"/>
    <n v="43"/>
    <s v="IN STOCK"/>
    <n v="3.4"/>
    <n v="3.4"/>
    <b v="0"/>
    <x v="0"/>
    <m/>
  </r>
  <r>
    <s v="FB001989"/>
    <x v="4"/>
    <x v="0"/>
    <x v="2"/>
    <s v="XL"/>
    <s v="S"/>
    <s v="Green"/>
    <n v="66.34"/>
    <n v="0.19"/>
    <n v="19"/>
    <n v="12.604600000000001"/>
    <s v="Low Discount"/>
    <n v="53.74"/>
    <s v="Medium Loss"/>
    <d v="2025-08-06T00:00:00"/>
    <n v="42"/>
    <s v="IN STOCK"/>
    <n v="1.9"/>
    <n v="1.9"/>
    <b v="0"/>
    <x v="0"/>
    <m/>
  </r>
  <r>
    <s v="FB001990"/>
    <x v="4"/>
    <x v="6"/>
    <x v="0"/>
    <s v="S"/>
    <s v="M"/>
    <s v="Pink"/>
    <n v="27.89"/>
    <n v="0.17399999999999999"/>
    <n v="17.399999999999999"/>
    <n v="4.8528599999999997"/>
    <s v="Low Discount"/>
    <n v="23.04"/>
    <s v="Low Loss"/>
    <d v="2024-09-06T00:00:00"/>
    <n v="43"/>
    <s v="IN STOCK"/>
    <n v="2.1"/>
    <n v="2.1"/>
    <b v="0"/>
    <x v="0"/>
    <m/>
  </r>
  <r>
    <s v="FB001991"/>
    <x v="2"/>
    <x v="1"/>
    <x v="3"/>
    <s v="XS"/>
    <m/>
    <s v="Gray"/>
    <n v="60.18"/>
    <n v="0"/>
    <n v="0"/>
    <n v="0"/>
    <s v="No Discount"/>
    <n v="60.18"/>
    <s v="No Loss"/>
    <d v="2025-08-06T00:00:00"/>
    <n v="36"/>
    <s v="IN STOCK"/>
    <n v="1.4"/>
    <n v="1.4"/>
    <b v="0"/>
    <x v="0"/>
    <m/>
  </r>
  <r>
    <s v="FB001992"/>
    <x v="1"/>
    <x v="0"/>
    <x v="2"/>
    <s v="M"/>
    <s v="XL"/>
    <s v="Red"/>
    <n v="54.26"/>
    <n v="0.184"/>
    <n v="18.399999999999999"/>
    <n v="9.9838399999999989"/>
    <s v="Low Discount"/>
    <n v="44.28"/>
    <s v="Low Loss"/>
    <d v="2025-08-06T00:00:00"/>
    <n v="29"/>
    <s v="IN STOCK"/>
    <n v="2.6"/>
    <n v="2.6"/>
    <b v="0"/>
    <x v="0"/>
    <m/>
  </r>
  <r>
    <s v="FB001993"/>
    <x v="3"/>
    <x v="1"/>
    <x v="0"/>
    <s v="XS"/>
    <s v="S"/>
    <s v="Red"/>
    <n v="78.44"/>
    <n v="0"/>
    <n v="0"/>
    <n v="0"/>
    <s v="No Discount"/>
    <n v="78.44"/>
    <s v="No Loss"/>
    <d v="2024-09-20T00:00:00"/>
    <n v="42"/>
    <s v="IN STOCK"/>
    <n v="0"/>
    <m/>
    <b v="1"/>
    <x v="4"/>
    <s v="Quality Issue"/>
  </r>
  <r>
    <s v="FB001994"/>
    <x v="0"/>
    <x v="4"/>
    <x v="2"/>
    <s v="OS"/>
    <s v="XS"/>
    <s v="Black"/>
    <n v="183.05"/>
    <n v="0"/>
    <n v="0"/>
    <n v="0"/>
    <s v="No Discount"/>
    <n v="183.05"/>
    <s v="No Loss"/>
    <d v="2025-08-06T00:00:00"/>
    <n v="4"/>
    <s v="LOW STOCK"/>
    <n v="4.5999999999999996"/>
    <n v="4.5999999999999996"/>
    <b v="0"/>
    <x v="0"/>
    <m/>
  </r>
  <r>
    <s v="FB001995"/>
    <x v="3"/>
    <x v="1"/>
    <x v="0"/>
    <s v="S"/>
    <s v="M"/>
    <s v="Gray"/>
    <n v="76.3"/>
    <n v="0"/>
    <n v="0"/>
    <n v="0"/>
    <s v="No Discount"/>
    <n v="76.3"/>
    <s v="No Loss"/>
    <d v="2025-07-03T00:00:00"/>
    <n v="35"/>
    <s v="IN STOCK"/>
    <n v="2.6"/>
    <n v="2.6"/>
    <b v="0"/>
    <x v="0"/>
    <m/>
  </r>
  <r>
    <s v="FB001996"/>
    <x v="1"/>
    <x v="0"/>
    <x v="0"/>
    <s v="XXL"/>
    <s v="XS"/>
    <s v="Purple"/>
    <n v="84.21"/>
    <n v="0"/>
    <n v="0"/>
    <n v="0"/>
    <s v="No Discount"/>
    <n v="84.21"/>
    <s v="No Loss"/>
    <d v="2025-01-15T00:00:00"/>
    <n v="43"/>
    <s v="IN STOCK"/>
    <n v="3.4"/>
    <n v="3.4"/>
    <b v="0"/>
    <x v="0"/>
    <m/>
  </r>
  <r>
    <s v="FB001997"/>
    <x v="2"/>
    <x v="5"/>
    <x v="0"/>
    <s v="XXL"/>
    <m/>
    <s v="Gray"/>
    <n v="77.34"/>
    <n v="0"/>
    <n v="0"/>
    <n v="0"/>
    <s v="No Discount"/>
    <n v="77.34"/>
    <s v="No Loss"/>
    <d v="2025-01-10T00:00:00"/>
    <n v="27"/>
    <s v="IN STOCK"/>
    <n v="0"/>
    <m/>
    <b v="0"/>
    <x v="0"/>
    <m/>
  </r>
  <r>
    <s v="FB001998"/>
    <x v="5"/>
    <x v="0"/>
    <x v="0"/>
    <s v="XL"/>
    <s v="S"/>
    <s v="Navy"/>
    <n v="122.82"/>
    <n v="0.45399999999999996"/>
    <n v="45.4"/>
    <n v="55.760279999999995"/>
    <s v="high Discount"/>
    <n v="67.06"/>
    <s v="High Loss"/>
    <d v="2024-08-30T00:00:00"/>
    <n v="9"/>
    <s v="LOW STOCK"/>
    <n v="3.1"/>
    <n v="3.1"/>
    <b v="0"/>
    <x v="0"/>
    <m/>
  </r>
  <r>
    <s v="FB001999"/>
    <x v="5"/>
    <x v="3"/>
    <x v="1"/>
    <s v="L"/>
    <s v="XXL"/>
    <s v="Blue"/>
    <n v="103.85"/>
    <n v="0"/>
    <n v="0"/>
    <n v="0"/>
    <s v="No Discount"/>
    <n v="103.85"/>
    <s v="No Loss"/>
    <d v="2025-08-06T00:00:00"/>
    <n v="26"/>
    <s v="IN STOCK"/>
    <n v="3.1"/>
    <n v="3.1"/>
    <b v="0"/>
    <x v="0"/>
    <m/>
  </r>
  <r>
    <s v="FB002000"/>
    <x v="4"/>
    <x v="4"/>
    <x v="2"/>
    <s v="S"/>
    <s v="XXL"/>
    <s v="Red"/>
    <n v="117.73"/>
    <n v="0.41299999999999998"/>
    <n v="41.3"/>
    <n v="48.622489999999999"/>
    <s v="high Discount"/>
    <n v="69.11"/>
    <s v="High Loss"/>
    <d v="2025-08-06T00:00:00"/>
    <n v="8"/>
    <s v="LOW STOCK"/>
    <n v="0"/>
    <m/>
    <b v="0"/>
    <x v="0"/>
    <m/>
  </r>
  <r>
    <s v="FB002001"/>
    <x v="5"/>
    <x v="7"/>
    <x v="2"/>
    <s v="L"/>
    <s v="XL"/>
    <s v="Green"/>
    <n v="115.98"/>
    <n v="0"/>
    <n v="0"/>
    <n v="0"/>
    <s v="No Discount"/>
    <n v="115.98"/>
    <s v="No Loss"/>
    <d v="2025-08-06T00:00:00"/>
    <n v="42"/>
    <s v="IN STOCK"/>
    <n v="3.7"/>
    <n v="3.7"/>
    <b v="0"/>
    <x v="0"/>
    <m/>
  </r>
  <r>
    <s v="FB002002"/>
    <x v="5"/>
    <x v="0"/>
    <x v="2"/>
    <s v="L"/>
    <s v="L"/>
    <s v="Navy"/>
    <n v="175.43"/>
    <n v="0"/>
    <n v="0"/>
    <n v="0"/>
    <s v="No Discount"/>
    <n v="175.43"/>
    <s v="No Loss"/>
    <d v="2025-08-06T00:00:00"/>
    <n v="3"/>
    <s v="LOW STOCK"/>
    <n v="1.8"/>
    <n v="1.8"/>
    <b v="1"/>
    <x v="1"/>
    <s v="Color Mismatch"/>
  </r>
  <r>
    <s v="FB002003"/>
    <x v="0"/>
    <x v="6"/>
    <x v="0"/>
    <s v="XS"/>
    <s v="S"/>
    <s v="Green"/>
    <n v="162.81"/>
    <n v="0"/>
    <n v="0"/>
    <n v="0"/>
    <s v="No Discount"/>
    <n v="162.81"/>
    <s v="No Loss"/>
    <d v="2025-01-10T00:00:00"/>
    <n v="40"/>
    <s v="IN STOCK"/>
    <n v="2.1"/>
    <n v="2.1"/>
    <b v="0"/>
    <x v="0"/>
    <m/>
  </r>
  <r>
    <s v="FB002004"/>
    <x v="5"/>
    <x v="1"/>
    <x v="0"/>
    <s v="XXL"/>
    <s v="L"/>
    <s v="Purple"/>
    <n v="146.68"/>
    <n v="0"/>
    <n v="0"/>
    <n v="0"/>
    <s v="No Discount"/>
    <n v="146.68"/>
    <s v="No Loss"/>
    <d v="2024-08-07T00:00:00"/>
    <n v="8"/>
    <s v="LOW STOCK"/>
    <n v="0"/>
    <m/>
    <b v="0"/>
    <x v="0"/>
    <m/>
  </r>
  <r>
    <s v="FB002005"/>
    <x v="5"/>
    <x v="4"/>
    <x v="2"/>
    <s v="XXL"/>
    <s v="L"/>
    <s v="Pink"/>
    <n v="82.9"/>
    <n v="0.42200000000000004"/>
    <n v="42.2"/>
    <n v="34.983800000000009"/>
    <s v="high Discount"/>
    <n v="47.92"/>
    <s v="High Loss"/>
    <d v="2025-08-06T00:00:00"/>
    <n v="4"/>
    <s v="LOW STOCK"/>
    <n v="2.1"/>
    <n v="2.1"/>
    <b v="0"/>
    <x v="0"/>
    <m/>
  </r>
  <r>
    <s v="FB002006"/>
    <x v="1"/>
    <x v="0"/>
    <x v="2"/>
    <s v="XL"/>
    <s v="XS"/>
    <s v="White"/>
    <n v="92.9"/>
    <n v="0"/>
    <n v="0"/>
    <n v="0"/>
    <s v="No Discount"/>
    <n v="92.9"/>
    <s v="No Loss"/>
    <d v="2025-08-06T00:00:00"/>
    <n v="30"/>
    <s v="IN STOCK"/>
    <n v="0"/>
    <m/>
    <b v="0"/>
    <x v="0"/>
    <m/>
  </r>
  <r>
    <s v="FB002007"/>
    <x v="5"/>
    <x v="2"/>
    <x v="1"/>
    <s v="L"/>
    <s v="XXL"/>
    <s v="Blue"/>
    <n v="133.88999999999999"/>
    <n v="5.7000000000000002E-2"/>
    <n v="5.7"/>
    <n v="7.6317299999999992"/>
    <s v="Low Discount"/>
    <n v="126.26"/>
    <s v="Low Loss"/>
    <d v="2025-08-06T00:00:00"/>
    <n v="17"/>
    <s v="IN STOCK"/>
    <n v="3.4"/>
    <n v="3.4"/>
    <b v="1"/>
    <x v="2"/>
    <s v="Size Issue"/>
  </r>
  <r>
    <s v="FB002008"/>
    <x v="5"/>
    <x v="5"/>
    <x v="1"/>
    <s v="S"/>
    <s v="XXL"/>
    <s v="Beige"/>
    <n v="89.1"/>
    <n v="0"/>
    <n v="0"/>
    <n v="0"/>
    <s v="No Discount"/>
    <n v="89.1"/>
    <s v="No Loss"/>
    <d v="2025-08-06T00:00:00"/>
    <n v="8"/>
    <s v="LOW STOCK"/>
    <n v="2.2000000000000002"/>
    <n v="2.2000000000000002"/>
    <b v="0"/>
    <x v="0"/>
    <m/>
  </r>
  <r>
    <s v="FB002009"/>
    <x v="0"/>
    <x v="2"/>
    <x v="1"/>
    <s v="M"/>
    <s v="XL"/>
    <s v="Beige"/>
    <n v="175.62"/>
    <n v="3.2000000000000001E-2"/>
    <n v="3.2"/>
    <n v="5.6198399999999999"/>
    <s v="Low Discount"/>
    <n v="170"/>
    <s v="Low Loss"/>
    <d v="2025-08-06T00:00:00"/>
    <n v="46"/>
    <s v="IN STOCK"/>
    <n v="0"/>
    <m/>
    <b v="0"/>
    <x v="0"/>
    <m/>
  </r>
  <r>
    <s v="FB002010"/>
    <x v="5"/>
    <x v="4"/>
    <x v="3"/>
    <s v="OS"/>
    <s v="L"/>
    <s v="Black"/>
    <n v="154.02000000000001"/>
    <n v="0"/>
    <n v="0"/>
    <n v="0"/>
    <s v="No Discount"/>
    <n v="154.02000000000001"/>
    <s v="No Loss"/>
    <d v="2025-08-06T00:00:00"/>
    <n v="21"/>
    <s v="IN STOCK"/>
    <n v="3.3"/>
    <n v="3.3"/>
    <b v="0"/>
    <x v="0"/>
    <m/>
  </r>
  <r>
    <s v="FB002011"/>
    <x v="0"/>
    <x v="0"/>
    <x v="2"/>
    <s v="OS"/>
    <s v="S"/>
    <s v="Beige"/>
    <n v="215.1"/>
    <n v="0"/>
    <n v="0"/>
    <n v="0"/>
    <s v="No Discount"/>
    <n v="215.1"/>
    <s v="No Loss"/>
    <d v="2025-08-06T00:00:00"/>
    <n v="16"/>
    <s v="IN STOCK"/>
    <n v="2.5"/>
    <n v="2.5"/>
    <b v="0"/>
    <x v="0"/>
    <m/>
  </r>
  <r>
    <s v="FB002012"/>
    <x v="1"/>
    <x v="5"/>
    <x v="2"/>
    <s v="XS"/>
    <s v="M"/>
    <s v="Brown"/>
    <n v="40.28"/>
    <n v="0"/>
    <n v="0"/>
    <n v="0"/>
    <s v="No Discount"/>
    <n v="40.28"/>
    <s v="No Loss"/>
    <d v="2025-08-06T00:00:00"/>
    <n v="35"/>
    <s v="IN STOCK"/>
    <n v="3.8"/>
    <n v="3.8"/>
    <b v="0"/>
    <x v="0"/>
    <m/>
  </r>
  <r>
    <s v="FB002013"/>
    <x v="2"/>
    <x v="7"/>
    <x v="2"/>
    <s v="S"/>
    <m/>
    <s v="Gray"/>
    <n v="25.95"/>
    <n v="0.188"/>
    <n v="18.8"/>
    <n v="4.8785999999999996"/>
    <s v="Low Discount"/>
    <n v="21.07"/>
    <s v="Low Loss"/>
    <d v="2025-08-06T00:00:00"/>
    <n v="1"/>
    <s v="LOW STOCK"/>
    <n v="4"/>
    <n v="4"/>
    <b v="0"/>
    <x v="0"/>
    <m/>
  </r>
  <r>
    <s v="FB002014"/>
    <x v="2"/>
    <x v="1"/>
    <x v="2"/>
    <s v="L"/>
    <m/>
    <s v="Navy"/>
    <n v="21.26"/>
    <n v="0.50700000000000001"/>
    <n v="50.7"/>
    <n v="10.778820000000001"/>
    <s v="high Discount"/>
    <n v="10.48"/>
    <s v="Medium Loss"/>
    <d v="2025-08-06T00:00:00"/>
    <n v="39"/>
    <s v="IN STOCK"/>
    <n v="4.3"/>
    <n v="4.3"/>
    <b v="0"/>
    <x v="0"/>
    <m/>
  </r>
  <r>
    <s v="FB002015"/>
    <x v="5"/>
    <x v="0"/>
    <x v="0"/>
    <s v="XS"/>
    <s v="XS"/>
    <s v="Blue"/>
    <n v="146.07"/>
    <n v="0"/>
    <n v="0"/>
    <n v="0"/>
    <s v="No Discount"/>
    <n v="146.07"/>
    <s v="No Loss"/>
    <d v="2025-07-09T00:00:00"/>
    <n v="33"/>
    <s v="IN STOCK"/>
    <n v="3.7"/>
    <n v="3.7"/>
    <b v="0"/>
    <x v="0"/>
    <m/>
  </r>
  <r>
    <s v="FB002016"/>
    <x v="5"/>
    <x v="5"/>
    <x v="0"/>
    <s v="M"/>
    <s v="S"/>
    <s v="Gray"/>
    <n v="135.97"/>
    <n v="0"/>
    <n v="0"/>
    <n v="0"/>
    <s v="No Discount"/>
    <n v="135.97"/>
    <s v="No Loss"/>
    <d v="2024-09-10T00:00:00"/>
    <n v="30"/>
    <s v="IN STOCK"/>
    <n v="1.1000000000000001"/>
    <n v="1.1000000000000001"/>
    <b v="0"/>
    <x v="0"/>
    <m/>
  </r>
  <r>
    <s v="FB002017"/>
    <x v="3"/>
    <x v="0"/>
    <x v="0"/>
    <s v="OS"/>
    <s v="L"/>
    <s v="Green"/>
    <n v="84.88"/>
    <n v="7.400000000000001E-2"/>
    <n v="7.4"/>
    <n v="6.2811200000000005"/>
    <s v="Low Discount"/>
    <n v="78.599999999999994"/>
    <s v="Low Loss"/>
    <d v="2025-03-26T00:00:00"/>
    <n v="42"/>
    <s v="IN STOCK"/>
    <n v="3.4"/>
    <n v="3.4"/>
    <b v="0"/>
    <x v="0"/>
    <m/>
  </r>
  <r>
    <s v="FB002018"/>
    <x v="3"/>
    <x v="4"/>
    <x v="1"/>
    <s v="M"/>
    <s v="XS"/>
    <s v="Beige"/>
    <n v="159.25"/>
    <n v="5.5E-2"/>
    <n v="5.5"/>
    <n v="8.7587500000000009"/>
    <s v="Low Discount"/>
    <n v="150.49"/>
    <s v="Low Loss"/>
    <d v="2025-08-06T00:00:00"/>
    <n v="8"/>
    <s v="LOW STOCK"/>
    <n v="0"/>
    <m/>
    <b v="0"/>
    <x v="0"/>
    <m/>
  </r>
  <r>
    <s v="FB002019"/>
    <x v="4"/>
    <x v="5"/>
    <x v="1"/>
    <s v="XS"/>
    <s v="M"/>
    <s v="Brown"/>
    <n v="84.29"/>
    <n v="0"/>
    <n v="0"/>
    <n v="0"/>
    <s v="No Discount"/>
    <n v="84.29"/>
    <s v="No Loss"/>
    <d v="2025-08-06T00:00:00"/>
    <n v="4"/>
    <s v="LOW STOCK"/>
    <n v="2.8"/>
    <n v="2.8"/>
    <b v="0"/>
    <x v="0"/>
    <m/>
  </r>
  <r>
    <s v="FB002020"/>
    <x v="2"/>
    <x v="7"/>
    <x v="1"/>
    <s v="XS"/>
    <m/>
    <s v="Red"/>
    <n v="38.86"/>
    <n v="0"/>
    <n v="0"/>
    <n v="0"/>
    <s v="No Discount"/>
    <n v="38.86"/>
    <s v="No Loss"/>
    <d v="2025-08-06T00:00:00"/>
    <n v="44"/>
    <s v="IN STOCK"/>
    <n v="0"/>
    <m/>
    <b v="0"/>
    <x v="0"/>
    <m/>
  </r>
  <r>
    <s v="FB002021"/>
    <x v="1"/>
    <x v="2"/>
    <x v="3"/>
    <s v="OS"/>
    <s v="M"/>
    <s v="Blue"/>
    <n v="38.72"/>
    <n v="0"/>
    <n v="0"/>
    <n v="0"/>
    <s v="No Discount"/>
    <n v="38.72"/>
    <s v="No Loss"/>
    <d v="2025-08-06T00:00:00"/>
    <n v="35"/>
    <s v="IN STOCK"/>
    <n v="4"/>
    <n v="4"/>
    <b v="0"/>
    <x v="0"/>
    <m/>
  </r>
  <r>
    <s v="FB002022"/>
    <x v="5"/>
    <x v="0"/>
    <x v="1"/>
    <s v="S"/>
    <s v="XS"/>
    <s v="Black"/>
    <n v="177.1"/>
    <n v="0"/>
    <n v="0"/>
    <n v="0"/>
    <s v="No Discount"/>
    <n v="177.1"/>
    <s v="No Loss"/>
    <d v="2025-08-06T00:00:00"/>
    <n v="49"/>
    <s v="IN STOCK"/>
    <n v="1.6"/>
    <n v="1.6"/>
    <b v="0"/>
    <x v="0"/>
    <m/>
  </r>
  <r>
    <s v="FB002023"/>
    <x v="4"/>
    <x v="7"/>
    <x v="0"/>
    <s v="L"/>
    <s v="XS"/>
    <s v="Gray"/>
    <n v="31.49"/>
    <n v="0"/>
    <n v="0"/>
    <n v="0"/>
    <s v="No Discount"/>
    <n v="31.49"/>
    <s v="No Loss"/>
    <d v="2024-10-19T00:00:00"/>
    <n v="28"/>
    <s v="IN STOCK"/>
    <n v="0"/>
    <m/>
    <b v="0"/>
    <x v="0"/>
    <m/>
  </r>
  <r>
    <s v="FB002024"/>
    <x v="1"/>
    <x v="1"/>
    <x v="3"/>
    <s v="S"/>
    <m/>
    <s v="Pink"/>
    <n v="118.14"/>
    <n v="0"/>
    <n v="0"/>
    <n v="0"/>
    <s v="No Discount"/>
    <n v="118.14"/>
    <s v="No Loss"/>
    <d v="2025-08-06T00:00:00"/>
    <n v="33"/>
    <s v="IN STOCK"/>
    <n v="2.4"/>
    <n v="2.4"/>
    <b v="0"/>
    <x v="0"/>
    <m/>
  </r>
  <r>
    <s v="FB002025"/>
    <x v="1"/>
    <x v="6"/>
    <x v="0"/>
    <s v="OS"/>
    <s v="S"/>
    <s v="Green"/>
    <n v="26.51"/>
    <n v="0.24"/>
    <n v="24"/>
    <n v="6.3624000000000001"/>
    <s v="Medium Discount"/>
    <n v="20.149999999999999"/>
    <s v="Low Loss"/>
    <d v="2025-05-24T00:00:00"/>
    <n v="1"/>
    <s v="LOW STOCK"/>
    <n v="4.7"/>
    <n v="4.7"/>
    <b v="0"/>
    <x v="0"/>
    <m/>
  </r>
  <r>
    <s v="FB002026"/>
    <x v="1"/>
    <x v="7"/>
    <x v="2"/>
    <s v="S"/>
    <s v="L"/>
    <s v="Blue"/>
    <n v="29.61"/>
    <n v="0"/>
    <n v="0"/>
    <n v="0"/>
    <s v="No Discount"/>
    <n v="29.61"/>
    <s v="No Loss"/>
    <d v="2025-08-06T00:00:00"/>
    <n v="9"/>
    <s v="LOW STOCK"/>
    <n v="1"/>
    <n v="1"/>
    <b v="0"/>
    <x v="0"/>
    <m/>
  </r>
  <r>
    <s v="FB002027"/>
    <x v="0"/>
    <x v="5"/>
    <x v="3"/>
    <s v="OS"/>
    <s v="S"/>
    <s v="Gray"/>
    <n v="244.13"/>
    <n v="0"/>
    <n v="0"/>
    <n v="0"/>
    <s v="No Discount"/>
    <n v="244.13"/>
    <s v="No Loss"/>
    <d v="2025-08-06T00:00:00"/>
    <n v="2"/>
    <s v="LOW STOCK"/>
    <n v="3.5"/>
    <n v="3.5"/>
    <b v="1"/>
    <x v="2"/>
    <s v="Size Issue"/>
  </r>
  <r>
    <s v="FB002028"/>
    <x v="2"/>
    <x v="6"/>
    <x v="0"/>
    <s v="XXL"/>
    <m/>
    <s v="White"/>
    <n v="16.54"/>
    <n v="0"/>
    <n v="0"/>
    <n v="0"/>
    <s v="No Discount"/>
    <n v="16.54"/>
    <s v="No Loss"/>
    <d v="2025-04-26T00:00:00"/>
    <n v="30"/>
    <s v="IN STOCK"/>
    <n v="0"/>
    <m/>
    <b v="0"/>
    <x v="0"/>
    <m/>
  </r>
  <r>
    <s v="FB002029"/>
    <x v="1"/>
    <x v="0"/>
    <x v="2"/>
    <s v="OS"/>
    <s v="S"/>
    <s v="White"/>
    <n v="100.98"/>
    <n v="0"/>
    <n v="0"/>
    <n v="0"/>
    <s v="No Discount"/>
    <n v="100.98"/>
    <s v="No Loss"/>
    <d v="2025-08-06T00:00:00"/>
    <n v="41"/>
    <s v="IN STOCK"/>
    <n v="0"/>
    <m/>
    <b v="0"/>
    <x v="0"/>
    <m/>
  </r>
  <r>
    <s v="FB002030"/>
    <x v="0"/>
    <x v="1"/>
    <x v="1"/>
    <s v="M"/>
    <m/>
    <s v="Gray"/>
    <n v="175.42"/>
    <n v="0"/>
    <n v="0"/>
    <n v="0"/>
    <s v="No Discount"/>
    <n v="175.42"/>
    <s v="No Loss"/>
    <d v="2025-08-06T00:00:00"/>
    <n v="5"/>
    <s v="LOW STOCK"/>
    <n v="3.6"/>
    <n v="3.6"/>
    <b v="0"/>
    <x v="0"/>
    <m/>
  </r>
  <r>
    <s v="FB002031"/>
    <x v="5"/>
    <x v="5"/>
    <x v="0"/>
    <s v="S"/>
    <s v="XXL"/>
    <s v="Pink"/>
    <n v="133.15"/>
    <n v="0.20300000000000001"/>
    <n v="20.3"/>
    <n v="27.029450000000004"/>
    <s v="Medium Discount"/>
    <n v="106.12"/>
    <s v="High Loss"/>
    <d v="2025-06-03T00:00:00"/>
    <n v="9"/>
    <s v="LOW STOCK"/>
    <n v="3.2"/>
    <n v="3.2"/>
    <b v="0"/>
    <x v="0"/>
    <m/>
  </r>
  <r>
    <s v="FB002032"/>
    <x v="5"/>
    <x v="1"/>
    <x v="2"/>
    <s v="L"/>
    <m/>
    <s v="Pink"/>
    <n v="94.21"/>
    <n v="0.44700000000000001"/>
    <n v="44.7"/>
    <n v="42.111869999999996"/>
    <s v="high Discount"/>
    <n v="52.1"/>
    <s v="High Loss"/>
    <d v="2025-08-06T00:00:00"/>
    <n v="48"/>
    <s v="IN STOCK"/>
    <n v="4.3"/>
    <n v="4.3"/>
    <b v="0"/>
    <x v="0"/>
    <m/>
  </r>
  <r>
    <s v="FB002033"/>
    <x v="1"/>
    <x v="7"/>
    <x v="1"/>
    <s v="OS"/>
    <s v="M"/>
    <s v="Pink"/>
    <n v="115.44"/>
    <n v="0"/>
    <n v="0"/>
    <n v="0"/>
    <s v="No Discount"/>
    <n v="115.44"/>
    <s v="No Loss"/>
    <d v="2025-08-06T00:00:00"/>
    <n v="21"/>
    <s v="IN STOCK"/>
    <n v="1.2"/>
    <n v="1.2"/>
    <b v="0"/>
    <x v="0"/>
    <m/>
  </r>
  <r>
    <s v="FB002034"/>
    <x v="0"/>
    <x v="0"/>
    <x v="0"/>
    <s v="XL"/>
    <s v="S"/>
    <s v="White"/>
    <n v="194.39"/>
    <n v="0.26500000000000001"/>
    <n v="26.5"/>
    <n v="51.513349999999996"/>
    <s v="Medium Discount"/>
    <n v="142.88"/>
    <s v="High Loss"/>
    <d v="2025-04-15T00:00:00"/>
    <n v="12"/>
    <s v="IN STOCK"/>
    <n v="1.2"/>
    <n v="1.2"/>
    <b v="0"/>
    <x v="0"/>
    <m/>
  </r>
  <r>
    <s v="FB002035"/>
    <x v="3"/>
    <x v="2"/>
    <x v="0"/>
    <s v="OS"/>
    <s v="L"/>
    <s v="White"/>
    <n v="132.38999999999999"/>
    <n v="0.27600000000000002"/>
    <n v="27.6"/>
    <n v="36.539639999999999"/>
    <s v="Medium Discount"/>
    <n v="95.85"/>
    <s v="High Loss"/>
    <d v="2024-10-31T00:00:00"/>
    <n v="16"/>
    <s v="IN STOCK"/>
    <n v="0"/>
    <m/>
    <b v="0"/>
    <x v="0"/>
    <m/>
  </r>
  <r>
    <s v="FB002036"/>
    <x v="2"/>
    <x v="1"/>
    <x v="0"/>
    <s v="XL"/>
    <m/>
    <s v="Red"/>
    <n v="52.54"/>
    <n v="0.14599999999999999"/>
    <n v="14.6"/>
    <n v="7.6708399999999992"/>
    <s v="Low Discount"/>
    <n v="44.87"/>
    <s v="Low Loss"/>
    <d v="2024-09-17T00:00:00"/>
    <n v="7"/>
    <s v="LOW STOCK"/>
    <n v="1.4"/>
    <n v="1.4"/>
    <b v="0"/>
    <x v="0"/>
    <m/>
  </r>
  <r>
    <s v="FB002037"/>
    <x v="5"/>
    <x v="1"/>
    <x v="0"/>
    <s v="S"/>
    <s v="XL"/>
    <s v="Black"/>
    <n v="165.01"/>
    <n v="0.41200000000000003"/>
    <n v="41.2"/>
    <n v="67.984120000000004"/>
    <s v="high Discount"/>
    <n v="97.03"/>
    <s v="High Loss"/>
    <d v="2024-10-19T00:00:00"/>
    <n v="22"/>
    <s v="IN STOCK"/>
    <n v="0"/>
    <m/>
    <b v="0"/>
    <x v="0"/>
    <m/>
  </r>
  <r>
    <s v="FB002038"/>
    <x v="2"/>
    <x v="5"/>
    <x v="0"/>
    <s v="XL"/>
    <m/>
    <s v="Purple"/>
    <n v="42.94"/>
    <n v="0.34299999999999997"/>
    <n v="34.299999999999997"/>
    <n v="14.728419999999998"/>
    <s v="high Discount"/>
    <n v="28.21"/>
    <s v="Medium Loss"/>
    <d v="2024-12-22T00:00:00"/>
    <n v="41"/>
    <s v="IN STOCK"/>
    <n v="0"/>
    <m/>
    <b v="0"/>
    <x v="0"/>
    <m/>
  </r>
  <r>
    <s v="FB002039"/>
    <x v="1"/>
    <x v="1"/>
    <x v="2"/>
    <s v="S"/>
    <s v="XL"/>
    <s v="Beige"/>
    <n v="72.78"/>
    <n v="0"/>
    <n v="0"/>
    <n v="0"/>
    <s v="No Discount"/>
    <n v="72.78"/>
    <s v="No Loss"/>
    <d v="2025-08-06T00:00:00"/>
    <n v="49"/>
    <s v="IN STOCK"/>
    <n v="3.1"/>
    <n v="3.1"/>
    <b v="0"/>
    <x v="0"/>
    <m/>
  </r>
  <r>
    <s v="FB002040"/>
    <x v="3"/>
    <x v="1"/>
    <x v="2"/>
    <s v="L"/>
    <s v="S"/>
    <s v="Red"/>
    <n v="189.32"/>
    <n v="0"/>
    <n v="0"/>
    <n v="0"/>
    <s v="No Discount"/>
    <n v="189.32"/>
    <s v="No Loss"/>
    <d v="2025-08-06T00:00:00"/>
    <n v="35"/>
    <s v="IN STOCK"/>
    <n v="2.5"/>
    <n v="2.5"/>
    <b v="0"/>
    <x v="0"/>
    <m/>
  </r>
  <r>
    <s v="FB002041"/>
    <x v="5"/>
    <x v="5"/>
    <x v="3"/>
    <s v="L"/>
    <s v="XL"/>
    <s v="White"/>
    <n v="157"/>
    <n v="0.55700000000000005"/>
    <n v="55.7"/>
    <n v="87.449000000000012"/>
    <s v="high Discount"/>
    <n v="69.55"/>
    <s v="High Loss"/>
    <d v="2025-08-06T00:00:00"/>
    <n v="6"/>
    <s v="LOW STOCK"/>
    <n v="2.1"/>
    <n v="2.1"/>
    <b v="0"/>
    <x v="0"/>
    <m/>
  </r>
  <r>
    <s v="FB002042"/>
    <x v="1"/>
    <x v="6"/>
    <x v="0"/>
    <s v="M"/>
    <s v="S"/>
    <s v="Purple"/>
    <n v="28.73"/>
    <n v="0.26400000000000001"/>
    <n v="26.4"/>
    <n v="7.5847200000000008"/>
    <s v="Medium Discount"/>
    <n v="21.15"/>
    <s v="Low Loss"/>
    <d v="2024-10-10T00:00:00"/>
    <n v="47"/>
    <s v="IN STOCK"/>
    <n v="2.2999999999999998"/>
    <n v="2.2999999999999998"/>
    <b v="1"/>
    <x v="2"/>
    <s v="Size Issue"/>
  </r>
  <r>
    <s v="FB002043"/>
    <x v="0"/>
    <x v="7"/>
    <x v="1"/>
    <s v="XXL"/>
    <s v="L"/>
    <s v="Gray"/>
    <n v="144.63999999999999"/>
    <n v="0"/>
    <n v="0"/>
    <n v="0"/>
    <s v="No Discount"/>
    <n v="144.63999999999999"/>
    <s v="No Loss"/>
    <d v="2025-08-06T00:00:00"/>
    <n v="0"/>
    <s v="NO STOCK"/>
    <n v="4.5"/>
    <n v="4.5"/>
    <b v="0"/>
    <x v="0"/>
    <m/>
  </r>
  <r>
    <s v="FB002044"/>
    <x v="3"/>
    <x v="2"/>
    <x v="2"/>
    <s v="S"/>
    <s v="L"/>
    <s v="Blue"/>
    <n v="180.99"/>
    <n v="0"/>
    <n v="0"/>
    <n v="0"/>
    <s v="No Discount"/>
    <n v="180.99"/>
    <s v="No Loss"/>
    <d v="2025-08-06T00:00:00"/>
    <n v="0"/>
    <s v="NO STOCK"/>
    <n v="4.5"/>
    <n v="4.5"/>
    <b v="0"/>
    <x v="0"/>
    <m/>
  </r>
  <r>
    <s v="FB002045"/>
    <x v="1"/>
    <x v="5"/>
    <x v="2"/>
    <s v="S"/>
    <s v="M"/>
    <s v="Green"/>
    <n v="74.959999999999994"/>
    <n v="0.56100000000000005"/>
    <n v="56.1"/>
    <n v="42.05256"/>
    <s v="high Discount"/>
    <n v="32.909999999999997"/>
    <s v="High Loss"/>
    <d v="2025-08-06T00:00:00"/>
    <n v="16"/>
    <s v="IN STOCK"/>
    <n v="0"/>
    <m/>
    <b v="1"/>
    <x v="6"/>
    <s v="Wrong Item"/>
  </r>
  <r>
    <s v="FB002046"/>
    <x v="5"/>
    <x v="5"/>
    <x v="2"/>
    <s v="M"/>
    <s v="XXL"/>
    <s v="Navy"/>
    <n v="63.46"/>
    <n v="0"/>
    <n v="0"/>
    <n v="0"/>
    <s v="No Discount"/>
    <n v="63.46"/>
    <s v="No Loss"/>
    <d v="2025-08-06T00:00:00"/>
    <n v="36"/>
    <s v="IN STOCK"/>
    <n v="1.2"/>
    <n v="1.2"/>
    <b v="0"/>
    <x v="0"/>
    <m/>
  </r>
  <r>
    <s v="FB002047"/>
    <x v="3"/>
    <x v="3"/>
    <x v="0"/>
    <s v="L"/>
    <s v="S"/>
    <s v="Black"/>
    <n v="105.95"/>
    <n v="0.316"/>
    <n v="31.6"/>
    <n v="33.480200000000004"/>
    <s v="high Discount"/>
    <n v="72.47"/>
    <s v="High Loss"/>
    <d v="2025-04-01T00:00:00"/>
    <n v="38"/>
    <s v="IN STOCK"/>
    <n v="3.5"/>
    <n v="3.5"/>
    <b v="0"/>
    <x v="0"/>
    <m/>
  </r>
  <r>
    <s v="FB002048"/>
    <x v="5"/>
    <x v="3"/>
    <x v="3"/>
    <s v="XXL"/>
    <s v="S"/>
    <s v="Navy"/>
    <n v="86.55"/>
    <n v="0.245"/>
    <n v="24.5"/>
    <n v="21.204750000000001"/>
    <s v="Medium Discount"/>
    <n v="65.349999999999994"/>
    <s v="High Loss"/>
    <d v="2025-08-06T00:00:00"/>
    <n v="40"/>
    <s v="IN STOCK"/>
    <n v="3.5"/>
    <n v="3.5"/>
    <b v="0"/>
    <x v="0"/>
    <m/>
  </r>
  <r>
    <s v="FB002049"/>
    <x v="4"/>
    <x v="6"/>
    <x v="2"/>
    <s v="M"/>
    <s v="M"/>
    <s v="Navy"/>
    <n v="90.97"/>
    <n v="0.10800000000000001"/>
    <n v="10.8"/>
    <n v="9.8247600000000013"/>
    <s v="Low Discount"/>
    <n v="81.150000000000006"/>
    <s v="Low Loss"/>
    <d v="2025-08-06T00:00:00"/>
    <n v="33"/>
    <s v="IN STOCK"/>
    <n v="2.2000000000000002"/>
    <n v="2.2000000000000002"/>
    <b v="1"/>
    <x v="3"/>
    <s v="Damaged"/>
  </r>
  <r>
    <s v="FB002050"/>
    <x v="5"/>
    <x v="3"/>
    <x v="1"/>
    <s v="OS"/>
    <s v="L"/>
    <s v="Beige"/>
    <n v="122.41"/>
    <n v="0.48200000000000004"/>
    <n v="48.2"/>
    <n v="59.001620000000003"/>
    <s v="high Discount"/>
    <n v="63.41"/>
    <s v="High Loss"/>
    <d v="2025-08-06T00:00:00"/>
    <n v="49"/>
    <s v="IN STOCK"/>
    <n v="4.5"/>
    <n v="4.5"/>
    <b v="0"/>
    <x v="0"/>
    <m/>
  </r>
  <r>
    <s v="FB002051"/>
    <x v="3"/>
    <x v="2"/>
    <x v="1"/>
    <s v="S"/>
    <s v="XXL"/>
    <s v="Gray"/>
    <n v="198.22"/>
    <n v="0"/>
    <n v="0"/>
    <n v="0"/>
    <s v="No Discount"/>
    <n v="198.22"/>
    <s v="No Loss"/>
    <d v="2025-08-06T00:00:00"/>
    <n v="12"/>
    <s v="IN STOCK"/>
    <n v="0"/>
    <m/>
    <b v="0"/>
    <x v="0"/>
    <m/>
  </r>
  <r>
    <s v="FB002052"/>
    <x v="3"/>
    <x v="0"/>
    <x v="1"/>
    <s v="OS"/>
    <s v="M"/>
    <s v="Beige"/>
    <n v="129.56"/>
    <n v="0.20800000000000002"/>
    <n v="20.8"/>
    <n v="26.948480000000004"/>
    <s v="Medium Discount"/>
    <n v="102.61"/>
    <s v="High Loss"/>
    <d v="2025-08-06T00:00:00"/>
    <n v="3"/>
    <s v="LOW STOCK"/>
    <n v="2.9"/>
    <n v="2.9"/>
    <b v="0"/>
    <x v="0"/>
    <m/>
  </r>
  <r>
    <s v="FB002053"/>
    <x v="2"/>
    <x v="0"/>
    <x v="3"/>
    <s v="OS"/>
    <m/>
    <s v="Pink"/>
    <n v="49.31"/>
    <n v="0"/>
    <n v="0"/>
    <n v="0"/>
    <s v="No Discount"/>
    <n v="49.31"/>
    <s v="No Loss"/>
    <d v="2025-08-06T00:00:00"/>
    <n v="49"/>
    <s v="IN STOCK"/>
    <n v="3.4"/>
    <n v="3.4"/>
    <b v="0"/>
    <x v="0"/>
    <m/>
  </r>
  <r>
    <s v="FB002054"/>
    <x v="0"/>
    <x v="1"/>
    <x v="3"/>
    <s v="S"/>
    <s v="S"/>
    <s v="Pink"/>
    <n v="206.94"/>
    <n v="0"/>
    <n v="0"/>
    <n v="0"/>
    <s v="No Discount"/>
    <n v="206.94"/>
    <s v="No Loss"/>
    <d v="2025-08-06T00:00:00"/>
    <n v="43"/>
    <s v="IN STOCK"/>
    <n v="3.3"/>
    <n v="3.3"/>
    <b v="0"/>
    <x v="0"/>
    <m/>
  </r>
  <r>
    <s v="FB002055"/>
    <x v="2"/>
    <x v="2"/>
    <x v="3"/>
    <s v="OS"/>
    <m/>
    <s v="Black"/>
    <n v="36.93"/>
    <n v="0"/>
    <n v="0"/>
    <n v="0"/>
    <s v="No Discount"/>
    <n v="36.93"/>
    <s v="No Loss"/>
    <d v="2025-08-06T00:00:00"/>
    <n v="18"/>
    <s v="IN STOCK"/>
    <n v="0"/>
    <m/>
    <b v="0"/>
    <x v="0"/>
    <m/>
  </r>
  <r>
    <s v="FB002056"/>
    <x v="2"/>
    <x v="1"/>
    <x v="3"/>
    <s v="M"/>
    <m/>
    <s v="Green"/>
    <n v="21.85"/>
    <n v="0.12"/>
    <n v="12"/>
    <n v="2.6219999999999999"/>
    <s v="Low Discount"/>
    <n v="19.23"/>
    <s v="Low Loss"/>
    <d v="2025-08-06T00:00:00"/>
    <n v="18"/>
    <s v="IN STOCK"/>
    <n v="4.8"/>
    <n v="4.8"/>
    <b v="0"/>
    <x v="0"/>
    <m/>
  </r>
  <r>
    <s v="FB002057"/>
    <x v="3"/>
    <x v="2"/>
    <x v="1"/>
    <s v="L"/>
    <s v="S"/>
    <s v="Brown"/>
    <n v="174.65"/>
    <n v="0.43799999999999994"/>
    <n v="43.8"/>
    <n v="76.49669999999999"/>
    <s v="high Discount"/>
    <n v="98.15"/>
    <s v="High Loss"/>
    <d v="2025-08-06T00:00:00"/>
    <n v="28"/>
    <s v="IN STOCK"/>
    <n v="3.3"/>
    <n v="3.3"/>
    <b v="0"/>
    <x v="0"/>
    <m/>
  </r>
  <r>
    <s v="FB002058"/>
    <x v="2"/>
    <x v="3"/>
    <x v="0"/>
    <s v="XXL"/>
    <m/>
    <s v="Pink"/>
    <n v="19.96"/>
    <n v="0"/>
    <n v="0"/>
    <n v="0"/>
    <s v="No Discount"/>
    <n v="19.96"/>
    <s v="No Loss"/>
    <d v="2025-06-19T00:00:00"/>
    <n v="16"/>
    <s v="IN STOCK"/>
    <n v="1.4"/>
    <n v="1.4"/>
    <b v="0"/>
    <x v="0"/>
    <m/>
  </r>
  <r>
    <s v="FB002059"/>
    <x v="1"/>
    <x v="4"/>
    <x v="2"/>
    <s v="OS"/>
    <s v="M"/>
    <s v="Green"/>
    <n v="90.46"/>
    <n v="0.54100000000000004"/>
    <n v="54.1"/>
    <n v="48.938859999999998"/>
    <s v="high Discount"/>
    <n v="41.52"/>
    <s v="High Loss"/>
    <d v="2025-08-06T00:00:00"/>
    <n v="15"/>
    <s v="IN STOCK"/>
    <n v="2.5"/>
    <n v="2.5"/>
    <b v="0"/>
    <x v="0"/>
    <m/>
  </r>
  <r>
    <s v="FB002060"/>
    <x v="3"/>
    <x v="4"/>
    <x v="2"/>
    <s v="OS"/>
    <s v="L"/>
    <s v="Blue"/>
    <n v="189.24"/>
    <n v="0"/>
    <n v="0"/>
    <n v="0"/>
    <s v="No Discount"/>
    <n v="189.24"/>
    <s v="No Loss"/>
    <d v="2025-08-06T00:00:00"/>
    <n v="25"/>
    <s v="IN STOCK"/>
    <n v="3.6"/>
    <n v="3.6"/>
    <b v="1"/>
    <x v="1"/>
    <s v="Color Mismatch"/>
  </r>
  <r>
    <s v="FB002061"/>
    <x v="0"/>
    <x v="2"/>
    <x v="3"/>
    <s v="L"/>
    <s v="XXL"/>
    <s v="Black"/>
    <n v="231.24"/>
    <n v="0.44600000000000001"/>
    <n v="44.6"/>
    <n v="103.13304000000001"/>
    <s v="high Discount"/>
    <n v="128.11000000000001"/>
    <s v="High Loss"/>
    <d v="2025-08-06T00:00:00"/>
    <n v="15"/>
    <s v="IN STOCK"/>
    <n v="3.7"/>
    <n v="3.7"/>
    <b v="0"/>
    <x v="0"/>
    <m/>
  </r>
  <r>
    <s v="FB002062"/>
    <x v="2"/>
    <x v="3"/>
    <x v="2"/>
    <s v="XS"/>
    <m/>
    <s v="Beige"/>
    <n v="66.48"/>
    <n v="0"/>
    <n v="0"/>
    <n v="0"/>
    <s v="No Discount"/>
    <n v="66.48"/>
    <s v="No Loss"/>
    <d v="2025-08-06T00:00:00"/>
    <n v="38"/>
    <s v="IN STOCK"/>
    <n v="1.4"/>
    <n v="1.4"/>
    <b v="0"/>
    <x v="0"/>
    <m/>
  </r>
  <r>
    <s v="FB002063"/>
    <x v="2"/>
    <x v="4"/>
    <x v="2"/>
    <s v="XL"/>
    <m/>
    <s v="Beige"/>
    <n v="37.270000000000003"/>
    <n v="0"/>
    <n v="0"/>
    <n v="0"/>
    <s v="No Discount"/>
    <n v="37.270000000000003"/>
    <s v="No Loss"/>
    <d v="2025-08-06T00:00:00"/>
    <n v="15"/>
    <s v="IN STOCK"/>
    <n v="3.8"/>
    <n v="3.8"/>
    <b v="0"/>
    <x v="0"/>
    <m/>
  </r>
  <r>
    <s v="FB002064"/>
    <x v="3"/>
    <x v="1"/>
    <x v="0"/>
    <s v="S"/>
    <s v="L"/>
    <s v="Brown"/>
    <n v="178.05"/>
    <n v="0"/>
    <n v="0"/>
    <n v="0"/>
    <s v="No Discount"/>
    <n v="178.05"/>
    <s v="No Loss"/>
    <d v="2025-03-08T00:00:00"/>
    <n v="24"/>
    <s v="IN STOCK"/>
    <n v="0"/>
    <m/>
    <b v="0"/>
    <x v="0"/>
    <m/>
  </r>
  <r>
    <s v="FB002065"/>
    <x v="1"/>
    <x v="7"/>
    <x v="0"/>
    <s v="XL"/>
    <s v="XS"/>
    <s v="Pink"/>
    <n v="73.760000000000005"/>
    <n v="0"/>
    <n v="0"/>
    <n v="0"/>
    <s v="No Discount"/>
    <n v="73.760000000000005"/>
    <s v="No Loss"/>
    <d v="2024-08-19T00:00:00"/>
    <n v="25"/>
    <s v="IN STOCK"/>
    <n v="1.3"/>
    <n v="1.3"/>
    <b v="0"/>
    <x v="0"/>
    <m/>
  </r>
  <r>
    <s v="FB002066"/>
    <x v="4"/>
    <x v="0"/>
    <x v="1"/>
    <s v="OS"/>
    <s v="XL"/>
    <s v="Pink"/>
    <n v="36.229999999999997"/>
    <n v="0"/>
    <n v="0"/>
    <n v="0"/>
    <s v="No Discount"/>
    <n v="36.229999999999997"/>
    <s v="No Loss"/>
    <d v="2025-08-06T00:00:00"/>
    <n v="49"/>
    <s v="IN STOCK"/>
    <n v="0"/>
    <m/>
    <b v="0"/>
    <x v="0"/>
    <m/>
  </r>
  <r>
    <s v="FB002067"/>
    <x v="4"/>
    <x v="4"/>
    <x v="0"/>
    <s v="XXL"/>
    <s v="S"/>
    <s v="Purple"/>
    <n v="48.89"/>
    <n v="0"/>
    <n v="0"/>
    <n v="0"/>
    <s v="No Discount"/>
    <n v="48.89"/>
    <s v="No Loss"/>
    <d v="2024-12-10T00:00:00"/>
    <n v="9"/>
    <s v="LOW STOCK"/>
    <n v="3.1"/>
    <n v="3.1"/>
    <b v="0"/>
    <x v="0"/>
    <m/>
  </r>
  <r>
    <s v="FB002068"/>
    <x v="1"/>
    <x v="4"/>
    <x v="1"/>
    <s v="XL"/>
    <s v="XL"/>
    <s v="Pink"/>
    <n v="94.15"/>
    <n v="0.31"/>
    <n v="31"/>
    <n v="29.186500000000002"/>
    <s v="high Discount"/>
    <n v="64.959999999999994"/>
    <s v="High Loss"/>
    <d v="2025-08-06T00:00:00"/>
    <n v="25"/>
    <s v="IN STOCK"/>
    <n v="0"/>
    <m/>
    <b v="0"/>
    <x v="0"/>
    <m/>
  </r>
  <r>
    <s v="FB002069"/>
    <x v="2"/>
    <x v="7"/>
    <x v="3"/>
    <s v="OS"/>
    <m/>
    <s v="Brown"/>
    <n v="27.7"/>
    <n v="0"/>
    <n v="0"/>
    <n v="0"/>
    <s v="No Discount"/>
    <n v="27.7"/>
    <s v="No Loss"/>
    <d v="2025-08-06T00:00:00"/>
    <n v="27"/>
    <s v="IN STOCK"/>
    <n v="4.8"/>
    <n v="4.8"/>
    <b v="0"/>
    <x v="0"/>
    <m/>
  </r>
  <r>
    <s v="FB002070"/>
    <x v="3"/>
    <x v="4"/>
    <x v="0"/>
    <s v="M"/>
    <s v="XXL"/>
    <s v="Gray"/>
    <n v="122.55"/>
    <n v="0.11199999999999999"/>
    <n v="11.2"/>
    <n v="13.725599999999998"/>
    <s v="Low Discount"/>
    <n v="108.82"/>
    <s v="Medium Loss"/>
    <d v="2024-10-02T00:00:00"/>
    <n v="23"/>
    <s v="IN STOCK"/>
    <n v="0"/>
    <m/>
    <b v="0"/>
    <x v="0"/>
    <m/>
  </r>
  <r>
    <s v="FB002071"/>
    <x v="5"/>
    <x v="3"/>
    <x v="0"/>
    <s v="OS"/>
    <s v="XL"/>
    <s v="Pink"/>
    <n v="173.77"/>
    <n v="0.17"/>
    <n v="17"/>
    <n v="29.540900000000004"/>
    <s v="Low Discount"/>
    <n v="144.22999999999999"/>
    <s v="High Loss"/>
    <d v="2024-11-20T00:00:00"/>
    <n v="5"/>
    <s v="LOW STOCK"/>
    <n v="1.9"/>
    <n v="1.9"/>
    <b v="0"/>
    <x v="0"/>
    <m/>
  </r>
  <r>
    <s v="FB002072"/>
    <x v="2"/>
    <x v="1"/>
    <x v="3"/>
    <s v="M"/>
    <m/>
    <s v="Pink"/>
    <n v="77.45"/>
    <n v="0"/>
    <n v="0"/>
    <n v="0"/>
    <s v="No Discount"/>
    <n v="77.45"/>
    <s v="No Loss"/>
    <d v="2025-08-06T00:00:00"/>
    <n v="0"/>
    <s v="NO STOCK"/>
    <n v="3.1"/>
    <n v="3.1"/>
    <b v="0"/>
    <x v="0"/>
    <m/>
  </r>
  <r>
    <s v="FB002073"/>
    <x v="4"/>
    <x v="1"/>
    <x v="1"/>
    <s v="S"/>
    <s v="M"/>
    <s v="Black"/>
    <n v="34.159999999999997"/>
    <n v="0"/>
    <n v="0"/>
    <n v="0"/>
    <s v="No Discount"/>
    <n v="34.159999999999997"/>
    <s v="No Loss"/>
    <d v="2025-08-06T00:00:00"/>
    <n v="37"/>
    <s v="IN STOCK"/>
    <n v="1.3"/>
    <n v="1.3"/>
    <b v="0"/>
    <x v="0"/>
    <m/>
  </r>
  <r>
    <s v="FB002074"/>
    <x v="2"/>
    <x v="7"/>
    <x v="3"/>
    <s v="XL"/>
    <m/>
    <s v="White"/>
    <n v="71.3"/>
    <n v="0"/>
    <n v="0"/>
    <n v="0"/>
    <s v="No Discount"/>
    <n v="71.3"/>
    <s v="No Loss"/>
    <d v="2025-08-06T00:00:00"/>
    <n v="21"/>
    <s v="IN STOCK"/>
    <n v="1.6"/>
    <n v="1.6"/>
    <b v="0"/>
    <x v="0"/>
    <m/>
  </r>
  <r>
    <s v="FB002075"/>
    <x v="1"/>
    <x v="4"/>
    <x v="3"/>
    <s v="XL"/>
    <s v="M"/>
    <s v="Brown"/>
    <n v="63.67"/>
    <n v="0"/>
    <n v="0"/>
    <n v="0"/>
    <s v="No Discount"/>
    <n v="63.67"/>
    <s v="No Loss"/>
    <d v="2025-08-06T00:00:00"/>
    <n v="18"/>
    <s v="IN STOCK"/>
    <n v="1.6"/>
    <n v="1.6"/>
    <b v="0"/>
    <x v="0"/>
    <m/>
  </r>
  <r>
    <s v="FB002076"/>
    <x v="0"/>
    <x v="7"/>
    <x v="2"/>
    <s v="XXL"/>
    <s v="S"/>
    <s v="Gray"/>
    <n v="249.98"/>
    <n v="0"/>
    <n v="0"/>
    <n v="0"/>
    <s v="No Discount"/>
    <n v="249.98"/>
    <s v="No Loss"/>
    <d v="2025-08-06T00:00:00"/>
    <n v="46"/>
    <s v="IN STOCK"/>
    <n v="3.6"/>
    <n v="3.6"/>
    <b v="0"/>
    <x v="0"/>
    <m/>
  </r>
  <r>
    <s v="FB002077"/>
    <x v="0"/>
    <x v="5"/>
    <x v="0"/>
    <s v="OS"/>
    <s v="XL"/>
    <s v="Green"/>
    <n v="103.92"/>
    <n v="0"/>
    <n v="0"/>
    <n v="0"/>
    <s v="No Discount"/>
    <n v="103.92"/>
    <s v="No Loss"/>
    <d v="2024-10-24T00:00:00"/>
    <n v="5"/>
    <s v="LOW STOCK"/>
    <n v="0"/>
    <m/>
    <b v="0"/>
    <x v="0"/>
    <m/>
  </r>
  <r>
    <s v="FB002078"/>
    <x v="3"/>
    <x v="1"/>
    <x v="3"/>
    <s v="OS"/>
    <s v="XL"/>
    <s v="Black"/>
    <n v="116.76"/>
    <n v="0"/>
    <n v="0"/>
    <n v="0"/>
    <s v="No Discount"/>
    <n v="116.76"/>
    <s v="No Loss"/>
    <d v="2025-08-06T00:00:00"/>
    <n v="13"/>
    <s v="IN STOCK"/>
    <n v="0"/>
    <m/>
    <b v="0"/>
    <x v="0"/>
    <m/>
  </r>
  <r>
    <s v="FB002079"/>
    <x v="3"/>
    <x v="6"/>
    <x v="1"/>
    <s v="S"/>
    <s v="XXL"/>
    <s v="White"/>
    <n v="102.61"/>
    <n v="0"/>
    <n v="0"/>
    <n v="0"/>
    <s v="No Discount"/>
    <n v="102.61"/>
    <s v="No Loss"/>
    <d v="2025-08-06T00:00:00"/>
    <n v="47"/>
    <s v="IN STOCK"/>
    <n v="3.5"/>
    <n v="3.5"/>
    <b v="0"/>
    <x v="0"/>
    <m/>
  </r>
  <r>
    <s v="FB002080"/>
    <x v="2"/>
    <x v="5"/>
    <x v="0"/>
    <s v="XXL"/>
    <m/>
    <s v="Pink"/>
    <n v="43.48"/>
    <n v="0"/>
    <n v="0"/>
    <n v="0"/>
    <s v="No Discount"/>
    <n v="43.48"/>
    <s v="No Loss"/>
    <d v="2024-08-23T00:00:00"/>
    <n v="11"/>
    <s v="IN STOCK"/>
    <n v="4.7"/>
    <n v="4.7"/>
    <b v="0"/>
    <x v="0"/>
    <m/>
  </r>
  <r>
    <s v="FB002081"/>
    <x v="2"/>
    <x v="7"/>
    <x v="1"/>
    <s v="S"/>
    <m/>
    <s v="Pink"/>
    <n v="39.9"/>
    <n v="0"/>
    <n v="0"/>
    <n v="0"/>
    <s v="No Discount"/>
    <n v="39.9"/>
    <s v="No Loss"/>
    <d v="2025-08-06T00:00:00"/>
    <n v="6"/>
    <s v="LOW STOCK"/>
    <n v="2.4"/>
    <n v="2.4"/>
    <b v="1"/>
    <x v="3"/>
    <s v="Damaged"/>
  </r>
  <r>
    <s v="FB002082"/>
    <x v="4"/>
    <x v="0"/>
    <x v="0"/>
    <s v="XS"/>
    <s v="S"/>
    <s v="Pink"/>
    <n v="86"/>
    <n v="0.36700000000000005"/>
    <n v="36.700000000000003"/>
    <n v="31.562000000000005"/>
    <s v="high Discount"/>
    <n v="54.44"/>
    <s v="High Loss"/>
    <d v="2025-04-23T00:00:00"/>
    <n v="18"/>
    <s v="IN STOCK"/>
    <n v="2.4"/>
    <n v="2.4"/>
    <b v="1"/>
    <x v="2"/>
    <s v="Size Issue"/>
  </r>
  <r>
    <s v="FB002083"/>
    <x v="3"/>
    <x v="6"/>
    <x v="3"/>
    <s v="OS"/>
    <s v="XXL"/>
    <s v="Blue"/>
    <n v="154.47999999999999"/>
    <n v="0.58499999999999996"/>
    <n v="58.5"/>
    <n v="90.370799999999988"/>
    <s v="high Discount"/>
    <n v="64.11"/>
    <s v="High Loss"/>
    <d v="2025-08-06T00:00:00"/>
    <n v="19"/>
    <s v="IN STOCK"/>
    <n v="3.2"/>
    <n v="3.2"/>
    <b v="0"/>
    <x v="0"/>
    <m/>
  </r>
  <r>
    <s v="FB002084"/>
    <x v="5"/>
    <x v="6"/>
    <x v="3"/>
    <s v="M"/>
    <s v="S"/>
    <s v="Red"/>
    <n v="141.97"/>
    <n v="0.35299999999999998"/>
    <n v="35.299999999999997"/>
    <n v="50.115409999999997"/>
    <s v="high Discount"/>
    <n v="91.85"/>
    <s v="High Loss"/>
    <d v="2025-08-06T00:00:00"/>
    <n v="12"/>
    <s v="IN STOCK"/>
    <n v="2.6"/>
    <n v="2.6"/>
    <b v="0"/>
    <x v="0"/>
    <m/>
  </r>
  <r>
    <s v="FB002085"/>
    <x v="0"/>
    <x v="6"/>
    <x v="0"/>
    <s v="S"/>
    <s v="XS"/>
    <s v="Red"/>
    <n v="119.36"/>
    <n v="0"/>
    <n v="0"/>
    <n v="0"/>
    <s v="No Discount"/>
    <n v="119.36"/>
    <s v="No Loss"/>
    <d v="2025-07-02T00:00:00"/>
    <n v="30"/>
    <s v="IN STOCK"/>
    <n v="2.7"/>
    <n v="2.7"/>
    <b v="1"/>
    <x v="2"/>
    <s v="Size Issue"/>
  </r>
  <r>
    <s v="FB002086"/>
    <x v="2"/>
    <x v="7"/>
    <x v="3"/>
    <s v="XS"/>
    <m/>
    <s v="Navy"/>
    <n v="15.71"/>
    <n v="0.47600000000000003"/>
    <n v="47.6"/>
    <n v="7.4779600000000013"/>
    <s v="high Discount"/>
    <n v="8.23"/>
    <s v="Low Loss"/>
    <d v="2025-08-06T00:00:00"/>
    <n v="42"/>
    <s v="IN STOCK"/>
    <n v="2"/>
    <n v="2"/>
    <b v="0"/>
    <x v="0"/>
    <m/>
  </r>
  <r>
    <s v="FB002087"/>
    <x v="3"/>
    <x v="3"/>
    <x v="1"/>
    <s v="S"/>
    <s v="M"/>
    <s v="Black"/>
    <n v="89.12"/>
    <n v="0"/>
    <n v="0"/>
    <n v="0"/>
    <s v="No Discount"/>
    <n v="89.12"/>
    <s v="No Loss"/>
    <d v="2025-08-06T00:00:00"/>
    <n v="27"/>
    <s v="IN STOCK"/>
    <n v="0"/>
    <m/>
    <b v="1"/>
    <x v="3"/>
    <s v="Damaged"/>
  </r>
  <r>
    <s v="FB002088"/>
    <x v="4"/>
    <x v="4"/>
    <x v="2"/>
    <s v="L"/>
    <s v="S"/>
    <s v="Blue"/>
    <n v="30.43"/>
    <n v="0"/>
    <n v="0"/>
    <n v="0"/>
    <s v="No Discount"/>
    <n v="30.43"/>
    <s v="No Loss"/>
    <d v="2025-08-06T00:00:00"/>
    <n v="32"/>
    <s v="IN STOCK"/>
    <n v="3.1"/>
    <n v="3.1"/>
    <b v="0"/>
    <x v="0"/>
    <m/>
  </r>
  <r>
    <s v="FB002089"/>
    <x v="5"/>
    <x v="7"/>
    <x v="1"/>
    <s v="OS"/>
    <s v="XS"/>
    <s v="Pink"/>
    <n v="115.4"/>
    <n v="0"/>
    <n v="0"/>
    <n v="0"/>
    <s v="No Discount"/>
    <n v="115.4"/>
    <s v="No Loss"/>
    <d v="2025-08-06T00:00:00"/>
    <n v="7"/>
    <s v="LOW STOCK"/>
    <n v="4.5"/>
    <n v="4.5"/>
    <b v="0"/>
    <x v="0"/>
    <m/>
  </r>
  <r>
    <s v="FB002090"/>
    <x v="0"/>
    <x v="6"/>
    <x v="1"/>
    <s v="M"/>
    <s v="S"/>
    <s v="Red"/>
    <n v="155.19999999999999"/>
    <n v="0"/>
    <n v="0"/>
    <n v="0"/>
    <s v="No Discount"/>
    <n v="155.19999999999999"/>
    <s v="No Loss"/>
    <d v="2025-08-06T00:00:00"/>
    <n v="5"/>
    <s v="LOW STOCK"/>
    <n v="4.8"/>
    <n v="4.8"/>
    <b v="0"/>
    <x v="0"/>
    <m/>
  </r>
  <r>
    <s v="FB002091"/>
    <x v="4"/>
    <x v="7"/>
    <x v="2"/>
    <s v="XXL"/>
    <s v="L"/>
    <s v="Gray"/>
    <n v="104.83"/>
    <n v="0"/>
    <n v="0"/>
    <n v="0"/>
    <s v="No Discount"/>
    <n v="104.83"/>
    <s v="No Loss"/>
    <d v="2025-08-06T00:00:00"/>
    <n v="26"/>
    <s v="IN STOCK"/>
    <n v="4"/>
    <n v="4"/>
    <b v="0"/>
    <x v="0"/>
    <m/>
  </r>
  <r>
    <s v="FB002092"/>
    <x v="2"/>
    <x v="6"/>
    <x v="3"/>
    <s v="OS"/>
    <m/>
    <s v="Gray"/>
    <n v="41.62"/>
    <n v="0"/>
    <n v="0"/>
    <n v="0"/>
    <s v="No Discount"/>
    <n v="41.62"/>
    <s v="No Loss"/>
    <d v="2025-08-06T00:00:00"/>
    <n v="33"/>
    <s v="IN STOCK"/>
    <n v="0"/>
    <m/>
    <b v="0"/>
    <x v="0"/>
    <m/>
  </r>
  <r>
    <s v="FB002093"/>
    <x v="4"/>
    <x v="5"/>
    <x v="0"/>
    <s v="M"/>
    <s v="M"/>
    <s v="Beige"/>
    <n v="94.92"/>
    <n v="0"/>
    <n v="0"/>
    <n v="0"/>
    <s v="No Discount"/>
    <n v="94.92"/>
    <s v="No Loss"/>
    <d v="2024-09-29T00:00:00"/>
    <n v="20"/>
    <s v="IN STOCK"/>
    <n v="2.2999999999999998"/>
    <n v="2.2999999999999998"/>
    <b v="0"/>
    <x v="0"/>
    <m/>
  </r>
  <r>
    <s v="FB002094"/>
    <x v="4"/>
    <x v="3"/>
    <x v="2"/>
    <s v="L"/>
    <s v="XXL"/>
    <s v="Red"/>
    <n v="107.92"/>
    <n v="0.222"/>
    <n v="22.2"/>
    <n v="23.95824"/>
    <s v="Medium Discount"/>
    <n v="83.96"/>
    <s v="High Loss"/>
    <d v="2025-08-06T00:00:00"/>
    <n v="35"/>
    <s v="IN STOCK"/>
    <n v="3.7"/>
    <n v="3.7"/>
    <b v="0"/>
    <x v="0"/>
    <m/>
  </r>
  <r>
    <s v="FB002095"/>
    <x v="2"/>
    <x v="7"/>
    <x v="3"/>
    <s v="L"/>
    <m/>
    <s v="Green"/>
    <n v="45.52"/>
    <n v="0"/>
    <n v="0"/>
    <n v="0"/>
    <s v="No Discount"/>
    <n v="45.52"/>
    <s v="No Loss"/>
    <d v="2025-08-06T00:00:00"/>
    <n v="41"/>
    <s v="IN STOCK"/>
    <n v="1.6"/>
    <n v="1.6"/>
    <b v="0"/>
    <x v="0"/>
    <m/>
  </r>
  <r>
    <s v="FB002096"/>
    <x v="4"/>
    <x v="6"/>
    <x v="1"/>
    <s v="M"/>
    <s v="M"/>
    <s v="Green"/>
    <n v="112.1"/>
    <n v="0.307"/>
    <n v="30.7"/>
    <n v="34.414699999999996"/>
    <s v="high Discount"/>
    <n v="77.69"/>
    <s v="High Loss"/>
    <d v="2025-08-06T00:00:00"/>
    <n v="10"/>
    <s v="LOW STOCK"/>
    <n v="1"/>
    <n v="1"/>
    <b v="0"/>
    <x v="0"/>
    <m/>
  </r>
  <r>
    <s v="FB002097"/>
    <x v="3"/>
    <x v="1"/>
    <x v="0"/>
    <s v="XL"/>
    <s v="L"/>
    <s v="Purple"/>
    <n v="103.9"/>
    <n v="0"/>
    <n v="0"/>
    <n v="0"/>
    <s v="No Discount"/>
    <n v="103.9"/>
    <s v="No Loss"/>
    <d v="2025-07-23T00:00:00"/>
    <n v="27"/>
    <s v="IN STOCK"/>
    <n v="2.1"/>
    <n v="2.1"/>
    <b v="0"/>
    <x v="0"/>
    <m/>
  </r>
  <r>
    <s v="FB002098"/>
    <x v="0"/>
    <x v="2"/>
    <x v="1"/>
    <s v="XXL"/>
    <s v="L"/>
    <s v="Pink"/>
    <n v="168.02"/>
    <n v="0"/>
    <n v="0"/>
    <n v="0"/>
    <s v="No Discount"/>
    <n v="168.02"/>
    <s v="No Loss"/>
    <d v="2025-08-06T00:00:00"/>
    <n v="30"/>
    <s v="IN STOCK"/>
    <n v="1.6"/>
    <n v="1.6"/>
    <b v="1"/>
    <x v="2"/>
    <s v="Size Issue"/>
  </r>
  <r>
    <s v="FB002099"/>
    <x v="3"/>
    <x v="3"/>
    <x v="2"/>
    <s v="OS"/>
    <s v="M"/>
    <s v="Brown"/>
    <n v="80.41"/>
    <n v="0"/>
    <n v="0"/>
    <n v="0"/>
    <s v="No Discount"/>
    <n v="80.41"/>
    <s v="No Loss"/>
    <d v="2025-08-06T00:00:00"/>
    <n v="46"/>
    <s v="IN STOCK"/>
    <n v="2.8"/>
    <n v="2.8"/>
    <b v="0"/>
    <x v="0"/>
    <m/>
  </r>
  <r>
    <s v="FB002100"/>
    <x v="4"/>
    <x v="7"/>
    <x v="0"/>
    <s v="XS"/>
    <s v="XL"/>
    <s v="Green"/>
    <n v="102.76"/>
    <n v="0"/>
    <n v="0"/>
    <n v="0"/>
    <s v="No Discount"/>
    <n v="102.76"/>
    <s v="No Loss"/>
    <d v="2024-11-16T00:00:00"/>
    <n v="35"/>
    <s v="IN STOCK"/>
    <n v="2.2000000000000002"/>
    <n v="2.2000000000000002"/>
    <b v="0"/>
    <x v="0"/>
    <m/>
  </r>
  <r>
    <s v="FB002101"/>
    <x v="1"/>
    <x v="7"/>
    <x v="2"/>
    <s v="XS"/>
    <s v="XXL"/>
    <s v="Black"/>
    <n v="81.2"/>
    <n v="0"/>
    <n v="0"/>
    <n v="0"/>
    <s v="No Discount"/>
    <n v="81.2"/>
    <s v="No Loss"/>
    <d v="2025-08-06T00:00:00"/>
    <n v="27"/>
    <s v="IN STOCK"/>
    <n v="1.7"/>
    <n v="1.7"/>
    <b v="0"/>
    <x v="0"/>
    <m/>
  </r>
  <r>
    <s v="FB002102"/>
    <x v="2"/>
    <x v="1"/>
    <x v="2"/>
    <s v="OS"/>
    <m/>
    <s v="Gray"/>
    <n v="68.95"/>
    <n v="0"/>
    <n v="0"/>
    <n v="0"/>
    <s v="No Discount"/>
    <n v="68.95"/>
    <s v="No Loss"/>
    <d v="2025-08-06T00:00:00"/>
    <n v="47"/>
    <s v="IN STOCK"/>
    <n v="3.6"/>
    <n v="3.6"/>
    <b v="0"/>
    <x v="0"/>
    <m/>
  </r>
  <r>
    <s v="FB002103"/>
    <x v="4"/>
    <x v="0"/>
    <x v="3"/>
    <s v="L"/>
    <s v="XS"/>
    <s v="Purple"/>
    <n v="43.04"/>
    <n v="0"/>
    <n v="0"/>
    <n v="0"/>
    <s v="No Discount"/>
    <n v="43.04"/>
    <s v="No Loss"/>
    <d v="2025-08-06T00:00:00"/>
    <n v="26"/>
    <s v="IN STOCK"/>
    <n v="4.8"/>
    <n v="4.8"/>
    <b v="1"/>
    <x v="6"/>
    <s v="Wrong Item"/>
  </r>
  <r>
    <s v="FB002104"/>
    <x v="1"/>
    <x v="0"/>
    <x v="0"/>
    <s v="OS"/>
    <s v="XS"/>
    <s v="Beige"/>
    <n v="81.819999999999993"/>
    <n v="0"/>
    <n v="0"/>
    <n v="0"/>
    <s v="No Discount"/>
    <n v="81.819999999999993"/>
    <s v="No Loss"/>
    <d v="2025-05-09T00:00:00"/>
    <n v="1"/>
    <s v="LOW STOCK"/>
    <n v="3.5"/>
    <n v="3.5"/>
    <b v="0"/>
    <x v="0"/>
    <m/>
  </r>
  <r>
    <s v="FB002105"/>
    <x v="2"/>
    <x v="3"/>
    <x v="3"/>
    <s v="OS"/>
    <m/>
    <s v="Blue"/>
    <n v="53.7"/>
    <n v="0"/>
    <n v="0"/>
    <n v="0"/>
    <s v="No Discount"/>
    <n v="53.7"/>
    <s v="No Loss"/>
    <d v="2025-08-06T00:00:00"/>
    <n v="16"/>
    <s v="IN STOCK"/>
    <n v="1.4"/>
    <n v="1.4"/>
    <b v="1"/>
    <x v="3"/>
    <s v="Damaged"/>
  </r>
  <r>
    <s v="FB002106"/>
    <x v="1"/>
    <x v="3"/>
    <x v="3"/>
    <s v="XL"/>
    <s v="L"/>
    <s v="Red"/>
    <n v="100.11"/>
    <n v="0"/>
    <n v="0"/>
    <n v="0"/>
    <s v="No Discount"/>
    <n v="100.11"/>
    <s v="No Loss"/>
    <d v="2025-08-06T00:00:00"/>
    <n v="41"/>
    <s v="IN STOCK"/>
    <n v="4.7"/>
    <n v="4.7"/>
    <b v="0"/>
    <x v="0"/>
    <m/>
  </r>
  <r>
    <s v="FB002107"/>
    <x v="2"/>
    <x v="5"/>
    <x v="1"/>
    <s v="L"/>
    <m/>
    <s v="Gray"/>
    <n v="24.08"/>
    <n v="0.38500000000000001"/>
    <n v="38.5"/>
    <n v="9.2707999999999995"/>
    <s v="high Discount"/>
    <n v="14.81"/>
    <s v="Low Loss"/>
    <d v="2025-08-06T00:00:00"/>
    <n v="43"/>
    <s v="IN STOCK"/>
    <n v="4.0999999999999996"/>
    <n v="4.0999999999999996"/>
    <b v="0"/>
    <x v="0"/>
    <m/>
  </r>
  <r>
    <s v="FB002108"/>
    <x v="2"/>
    <x v="5"/>
    <x v="0"/>
    <s v="S"/>
    <m/>
    <s v="Red"/>
    <n v="74.77"/>
    <n v="0"/>
    <n v="0"/>
    <n v="0"/>
    <s v="No Discount"/>
    <n v="74.77"/>
    <s v="No Loss"/>
    <d v="2025-03-18T00:00:00"/>
    <n v="26"/>
    <s v="IN STOCK"/>
    <n v="2.9"/>
    <n v="2.9"/>
    <b v="0"/>
    <x v="0"/>
    <m/>
  </r>
  <r>
    <s v="FB002109"/>
    <x v="5"/>
    <x v="4"/>
    <x v="0"/>
    <s v="OS"/>
    <s v="XL"/>
    <s v="Navy"/>
    <n v="105.98"/>
    <n v="0"/>
    <n v="0"/>
    <n v="0"/>
    <s v="No Discount"/>
    <n v="105.98"/>
    <s v="No Loss"/>
    <d v="2024-10-02T00:00:00"/>
    <n v="32"/>
    <s v="IN STOCK"/>
    <n v="2.5"/>
    <n v="2.5"/>
    <b v="1"/>
    <x v="2"/>
    <s v="Size Issue"/>
  </r>
  <r>
    <s v="FB002110"/>
    <x v="3"/>
    <x v="0"/>
    <x v="3"/>
    <s v="M"/>
    <s v="L"/>
    <s v="White"/>
    <n v="81.650000000000006"/>
    <n v="7.6999999999999999E-2"/>
    <n v="7.7"/>
    <n v="6.2870500000000007"/>
    <s v="Low Discount"/>
    <n v="75.36"/>
    <s v="Low Loss"/>
    <d v="2025-08-06T00:00:00"/>
    <n v="23"/>
    <s v="IN STOCK"/>
    <n v="2.6"/>
    <n v="2.6"/>
    <b v="0"/>
    <x v="0"/>
    <m/>
  </r>
  <r>
    <s v="FB002111"/>
    <x v="3"/>
    <x v="7"/>
    <x v="2"/>
    <s v="OS"/>
    <s v="S"/>
    <s v="Black"/>
    <n v="92.66"/>
    <n v="8.3000000000000004E-2"/>
    <n v="8.3000000000000007"/>
    <n v="7.6907800000000002"/>
    <s v="Low Discount"/>
    <n v="84.97"/>
    <s v="Low Loss"/>
    <d v="2025-08-06T00:00:00"/>
    <n v="5"/>
    <s v="LOW STOCK"/>
    <n v="3.3"/>
    <n v="3.3"/>
    <b v="0"/>
    <x v="0"/>
    <m/>
  </r>
  <r>
    <s v="FB002112"/>
    <x v="2"/>
    <x v="3"/>
    <x v="3"/>
    <s v="S"/>
    <m/>
    <s v="Brown"/>
    <n v="41.04"/>
    <n v="0"/>
    <n v="0"/>
    <n v="0"/>
    <s v="No Discount"/>
    <n v="41.04"/>
    <s v="No Loss"/>
    <d v="2025-08-06T00:00:00"/>
    <n v="43"/>
    <s v="IN STOCK"/>
    <n v="0"/>
    <m/>
    <b v="0"/>
    <x v="0"/>
    <m/>
  </r>
  <r>
    <s v="FB002113"/>
    <x v="0"/>
    <x v="7"/>
    <x v="2"/>
    <s v="OS"/>
    <s v="M"/>
    <s v="Pink"/>
    <n v="169.98"/>
    <n v="5.7999999999999996E-2"/>
    <n v="5.8"/>
    <n v="9.8588399999999989"/>
    <s v="Low Discount"/>
    <n v="160.12"/>
    <s v="Low Loss"/>
    <d v="2025-08-06T00:00:00"/>
    <n v="12"/>
    <s v="IN STOCK"/>
    <n v="2.1"/>
    <n v="2.1"/>
    <b v="0"/>
    <x v="0"/>
    <m/>
  </r>
  <r>
    <s v="FB002114"/>
    <x v="2"/>
    <x v="3"/>
    <x v="1"/>
    <s v="XL"/>
    <m/>
    <s v="Red"/>
    <n v="66.12"/>
    <n v="0.51"/>
    <n v="51"/>
    <n v="33.721200000000003"/>
    <s v="high Discount"/>
    <n v="32.4"/>
    <s v="High Loss"/>
    <d v="2025-08-06T00:00:00"/>
    <n v="17"/>
    <s v="IN STOCK"/>
    <n v="2.2000000000000002"/>
    <n v="2.2000000000000002"/>
    <b v="0"/>
    <x v="0"/>
    <m/>
  </r>
  <r>
    <s v="FB002115"/>
    <x v="5"/>
    <x v="2"/>
    <x v="0"/>
    <s v="L"/>
    <s v="S"/>
    <s v="Purple"/>
    <n v="139.87"/>
    <n v="0.14499999999999999"/>
    <n v="14.5"/>
    <n v="20.28115"/>
    <s v="Low Discount"/>
    <n v="119.59"/>
    <s v="High Loss"/>
    <d v="2024-09-13T00:00:00"/>
    <n v="13"/>
    <s v="IN STOCK"/>
    <n v="1.3"/>
    <n v="1.3"/>
    <b v="0"/>
    <x v="0"/>
    <m/>
  </r>
  <r>
    <s v="FB002116"/>
    <x v="2"/>
    <x v="0"/>
    <x v="1"/>
    <s v="M"/>
    <m/>
    <s v="Pink"/>
    <n v="70.23"/>
    <n v="0.499"/>
    <n v="49.9"/>
    <n v="35.04477"/>
    <s v="high Discount"/>
    <n v="35.19"/>
    <s v="High Loss"/>
    <d v="2025-08-06T00:00:00"/>
    <n v="0"/>
    <s v="NO STOCK"/>
    <n v="4.5999999999999996"/>
    <n v="4.5999999999999996"/>
    <b v="1"/>
    <x v="3"/>
    <s v="Damaged"/>
  </r>
  <r>
    <s v="FB002117"/>
    <x v="3"/>
    <x v="0"/>
    <x v="1"/>
    <s v="L"/>
    <s v="XL"/>
    <s v="Blue"/>
    <n v="129.9"/>
    <n v="0.39899999999999997"/>
    <n v="39.9"/>
    <n v="51.830099999999995"/>
    <s v="high Discount"/>
    <n v="78.069999999999993"/>
    <s v="High Loss"/>
    <d v="2025-08-06T00:00:00"/>
    <n v="28"/>
    <s v="IN STOCK"/>
    <n v="1.3"/>
    <n v="1.3"/>
    <b v="0"/>
    <x v="0"/>
    <m/>
  </r>
  <r>
    <s v="FB002118"/>
    <x v="4"/>
    <x v="0"/>
    <x v="0"/>
    <s v="L"/>
    <s v="L"/>
    <s v="Beige"/>
    <n v="75.78"/>
    <n v="0"/>
    <n v="0"/>
    <n v="0"/>
    <s v="No Discount"/>
    <n v="75.78"/>
    <s v="No Loss"/>
    <d v="2025-01-28T00:00:00"/>
    <n v="12"/>
    <s v="IN STOCK"/>
    <n v="3.6"/>
    <n v="3.6"/>
    <b v="0"/>
    <x v="0"/>
    <m/>
  </r>
  <r>
    <s v="FB002119"/>
    <x v="4"/>
    <x v="4"/>
    <x v="1"/>
    <s v="L"/>
    <s v="M"/>
    <s v="Beige"/>
    <n v="93.41"/>
    <n v="0"/>
    <n v="0"/>
    <n v="0"/>
    <s v="No Discount"/>
    <n v="93.41"/>
    <s v="No Loss"/>
    <d v="2025-08-06T00:00:00"/>
    <n v="4"/>
    <s v="LOW STOCK"/>
    <n v="3.2"/>
    <n v="3.2"/>
    <b v="1"/>
    <x v="2"/>
    <s v="Size Issue"/>
  </r>
  <r>
    <s v="FB002120"/>
    <x v="1"/>
    <x v="2"/>
    <x v="0"/>
    <s v="L"/>
    <s v="L"/>
    <s v="Red"/>
    <n v="66.900000000000006"/>
    <n v="0"/>
    <n v="0"/>
    <n v="0"/>
    <s v="No Discount"/>
    <n v="66.900000000000006"/>
    <s v="No Loss"/>
    <d v="2025-05-07T00:00:00"/>
    <n v="1"/>
    <s v="LOW STOCK"/>
    <n v="2.8"/>
    <n v="2.8"/>
    <b v="0"/>
    <x v="0"/>
    <m/>
  </r>
  <r>
    <s v="FB002121"/>
    <x v="1"/>
    <x v="3"/>
    <x v="2"/>
    <s v="L"/>
    <s v="L"/>
    <s v="Green"/>
    <n v="110.45"/>
    <n v="6.6000000000000003E-2"/>
    <n v="6.6"/>
    <n v="7.2897000000000007"/>
    <s v="Low Discount"/>
    <n v="103.16"/>
    <s v="Low Loss"/>
    <d v="2025-08-06T00:00:00"/>
    <n v="6"/>
    <s v="LOW STOCK"/>
    <n v="0"/>
    <m/>
    <b v="0"/>
    <x v="0"/>
    <m/>
  </r>
  <r>
    <s v="FB002122"/>
    <x v="4"/>
    <x v="0"/>
    <x v="2"/>
    <s v="M"/>
    <s v="L"/>
    <s v="Gray"/>
    <n v="52.73"/>
    <n v="0"/>
    <n v="0"/>
    <n v="0"/>
    <s v="No Discount"/>
    <n v="52.73"/>
    <s v="No Loss"/>
    <d v="2025-08-06T00:00:00"/>
    <n v="10"/>
    <s v="LOW STOCK"/>
    <n v="4.5"/>
    <n v="4.5"/>
    <b v="0"/>
    <x v="0"/>
    <m/>
  </r>
  <r>
    <s v="FB002123"/>
    <x v="0"/>
    <x v="5"/>
    <x v="2"/>
    <s v="XS"/>
    <s v="L"/>
    <s v="Blue"/>
    <n v="89.13"/>
    <n v="0"/>
    <n v="0"/>
    <n v="0"/>
    <s v="No Discount"/>
    <n v="89.13"/>
    <s v="No Loss"/>
    <d v="2025-08-06T00:00:00"/>
    <n v="17"/>
    <s v="IN STOCK"/>
    <n v="4.0999999999999996"/>
    <n v="4.0999999999999996"/>
    <b v="0"/>
    <x v="0"/>
    <m/>
  </r>
  <r>
    <s v="FB002124"/>
    <x v="0"/>
    <x v="2"/>
    <x v="3"/>
    <s v="L"/>
    <s v="L"/>
    <s v="Green"/>
    <n v="171.78"/>
    <n v="0.441"/>
    <n v="44.1"/>
    <n v="75.754980000000003"/>
    <s v="high Discount"/>
    <n v="96.03"/>
    <s v="High Loss"/>
    <d v="2025-08-06T00:00:00"/>
    <n v="25"/>
    <s v="IN STOCK"/>
    <n v="0"/>
    <m/>
    <b v="1"/>
    <x v="1"/>
    <s v="Color Mismatch"/>
  </r>
  <r>
    <s v="FB002125"/>
    <x v="3"/>
    <x v="6"/>
    <x v="1"/>
    <s v="L"/>
    <s v="M"/>
    <s v="Pink"/>
    <n v="129"/>
    <n v="0"/>
    <n v="0"/>
    <n v="0"/>
    <s v="No Discount"/>
    <n v="129"/>
    <s v="No Loss"/>
    <d v="2025-08-06T00:00:00"/>
    <n v="13"/>
    <s v="IN STOCK"/>
    <n v="3.8"/>
    <n v="3.8"/>
    <b v="1"/>
    <x v="5"/>
    <s v="Changed Mind"/>
  </r>
  <r>
    <s v="FB002126"/>
    <x v="3"/>
    <x v="0"/>
    <x v="3"/>
    <s v="OS"/>
    <s v="XS"/>
    <s v="Brown"/>
    <n v="160.59"/>
    <n v="0"/>
    <n v="0"/>
    <n v="0"/>
    <s v="No Discount"/>
    <n v="160.59"/>
    <s v="No Loss"/>
    <d v="2025-08-06T00:00:00"/>
    <n v="8"/>
    <s v="LOW STOCK"/>
    <n v="2.9"/>
    <n v="2.9"/>
    <b v="0"/>
    <x v="0"/>
    <m/>
  </r>
  <r>
    <s v="FB002127"/>
    <x v="1"/>
    <x v="2"/>
    <x v="3"/>
    <s v="M"/>
    <s v="L"/>
    <s v="Red"/>
    <n v="56.38"/>
    <n v="0"/>
    <n v="0"/>
    <n v="0"/>
    <s v="No Discount"/>
    <n v="56.38"/>
    <s v="No Loss"/>
    <d v="2025-08-06T00:00:00"/>
    <n v="9"/>
    <s v="LOW STOCK"/>
    <n v="0"/>
    <m/>
    <b v="0"/>
    <x v="0"/>
    <m/>
  </r>
  <r>
    <s v="FB002128"/>
    <x v="0"/>
    <x v="6"/>
    <x v="1"/>
    <s v="OS"/>
    <s v="L"/>
    <s v="Green"/>
    <n v="109.2"/>
    <n v="0.26600000000000001"/>
    <n v="26.6"/>
    <n v="29.047200000000004"/>
    <s v="Medium Discount"/>
    <n v="80.150000000000006"/>
    <s v="High Loss"/>
    <d v="2025-08-06T00:00:00"/>
    <n v="21"/>
    <s v="IN STOCK"/>
    <n v="3.9"/>
    <n v="3.9"/>
    <b v="1"/>
    <x v="4"/>
    <s v="Quality Issue"/>
  </r>
  <r>
    <s v="FB002129"/>
    <x v="2"/>
    <x v="1"/>
    <x v="0"/>
    <s v="M"/>
    <m/>
    <s v="Pink"/>
    <n v="21.43"/>
    <n v="0"/>
    <n v="0"/>
    <n v="0"/>
    <s v="No Discount"/>
    <n v="21.43"/>
    <s v="No Loss"/>
    <d v="2025-02-03T00:00:00"/>
    <n v="38"/>
    <s v="IN STOCK"/>
    <n v="1.9"/>
    <n v="1.9"/>
    <b v="0"/>
    <x v="0"/>
    <m/>
  </r>
  <r>
    <s v="FB002130"/>
    <x v="3"/>
    <x v="4"/>
    <x v="1"/>
    <s v="S"/>
    <s v="M"/>
    <s v="Purple"/>
    <n v="87.11"/>
    <n v="0"/>
    <n v="0"/>
    <n v="0"/>
    <s v="No Discount"/>
    <n v="87.11"/>
    <s v="No Loss"/>
    <d v="2025-08-06T00:00:00"/>
    <n v="36"/>
    <s v="IN STOCK"/>
    <n v="2.2999999999999998"/>
    <n v="2.2999999999999998"/>
    <b v="0"/>
    <x v="0"/>
    <m/>
  </r>
  <r>
    <s v="FB002131"/>
    <x v="2"/>
    <x v="7"/>
    <x v="2"/>
    <s v="OS"/>
    <m/>
    <s v="Navy"/>
    <n v="36.29"/>
    <n v="0"/>
    <n v="0"/>
    <n v="0"/>
    <s v="No Discount"/>
    <n v="36.29"/>
    <s v="No Loss"/>
    <d v="2025-08-06T00:00:00"/>
    <n v="47"/>
    <s v="IN STOCK"/>
    <n v="2.8"/>
    <n v="2.8"/>
    <b v="0"/>
    <x v="0"/>
    <m/>
  </r>
  <r>
    <s v="FB002132"/>
    <x v="5"/>
    <x v="4"/>
    <x v="0"/>
    <s v="OS"/>
    <s v="M"/>
    <s v="Green"/>
    <n v="105.59"/>
    <n v="0"/>
    <n v="0"/>
    <n v="0"/>
    <s v="No Discount"/>
    <n v="105.59"/>
    <s v="No Loss"/>
    <d v="2025-06-27T00:00:00"/>
    <n v="37"/>
    <s v="IN STOCK"/>
    <n v="4.7"/>
    <n v="4.7"/>
    <b v="0"/>
    <x v="0"/>
    <m/>
  </r>
  <r>
    <s v="FB002133"/>
    <x v="5"/>
    <x v="0"/>
    <x v="2"/>
    <s v="OS"/>
    <s v="S"/>
    <s v="Black"/>
    <n v="93.5"/>
    <n v="0"/>
    <n v="0"/>
    <n v="0"/>
    <s v="No Discount"/>
    <n v="93.5"/>
    <s v="No Loss"/>
    <d v="2025-08-06T00:00:00"/>
    <n v="4"/>
    <s v="LOW STOCK"/>
    <n v="3.7"/>
    <n v="3.7"/>
    <b v="0"/>
    <x v="0"/>
    <m/>
  </r>
  <r>
    <s v="FB002134"/>
    <x v="2"/>
    <x v="5"/>
    <x v="1"/>
    <s v="M"/>
    <m/>
    <s v="Black"/>
    <n v="41.72"/>
    <n v="9.5000000000000001E-2"/>
    <n v="9.5"/>
    <n v="3.9634"/>
    <s v="Low Discount"/>
    <n v="37.76"/>
    <s v="Low Loss"/>
    <d v="2025-08-06T00:00:00"/>
    <n v="9"/>
    <s v="LOW STOCK"/>
    <n v="3.9"/>
    <n v="3.9"/>
    <b v="0"/>
    <x v="0"/>
    <m/>
  </r>
  <r>
    <s v="FB002135"/>
    <x v="2"/>
    <x v="3"/>
    <x v="3"/>
    <s v="XL"/>
    <m/>
    <s v="Red"/>
    <n v="74.540000000000006"/>
    <n v="0.58099999999999996"/>
    <n v="58.1"/>
    <n v="43.307740000000003"/>
    <s v="high Discount"/>
    <n v="31.23"/>
    <s v="High Loss"/>
    <d v="2025-08-06T00:00:00"/>
    <n v="35"/>
    <s v="IN STOCK"/>
    <n v="4.8"/>
    <n v="4.8"/>
    <b v="0"/>
    <x v="0"/>
    <m/>
  </r>
  <r>
    <s v="FB002136"/>
    <x v="5"/>
    <x v="1"/>
    <x v="0"/>
    <s v="M"/>
    <m/>
    <s v="Blue"/>
    <n v="85.49"/>
    <n v="0"/>
    <n v="0"/>
    <n v="0"/>
    <s v="No Discount"/>
    <n v="85.49"/>
    <s v="No Loss"/>
    <d v="2024-12-16T00:00:00"/>
    <n v="0"/>
    <s v="NO STOCK"/>
    <n v="3.7"/>
    <n v="3.7"/>
    <b v="0"/>
    <x v="0"/>
    <m/>
  </r>
  <r>
    <s v="FB002137"/>
    <x v="5"/>
    <x v="0"/>
    <x v="3"/>
    <s v="XXL"/>
    <s v="M"/>
    <s v="Green"/>
    <n v="131.05000000000001"/>
    <n v="0"/>
    <n v="0"/>
    <n v="0"/>
    <s v="No Discount"/>
    <n v="131.05000000000001"/>
    <s v="No Loss"/>
    <d v="2025-08-06T00:00:00"/>
    <n v="23"/>
    <s v="IN STOCK"/>
    <n v="4.9000000000000004"/>
    <n v="4.9000000000000004"/>
    <b v="0"/>
    <x v="0"/>
    <m/>
  </r>
  <r>
    <s v="FB002138"/>
    <x v="4"/>
    <x v="7"/>
    <x v="3"/>
    <s v="M"/>
    <s v="XL"/>
    <s v="Pink"/>
    <n v="63.5"/>
    <n v="0"/>
    <n v="0"/>
    <n v="0"/>
    <s v="No Discount"/>
    <n v="63.5"/>
    <s v="No Loss"/>
    <d v="2025-08-06T00:00:00"/>
    <n v="17"/>
    <s v="IN STOCK"/>
    <n v="2.6"/>
    <n v="2.6"/>
    <b v="0"/>
    <x v="0"/>
    <m/>
  </r>
  <r>
    <s v="FB002139"/>
    <x v="1"/>
    <x v="1"/>
    <x v="2"/>
    <s v="L"/>
    <s v="M"/>
    <s v="Beige"/>
    <n v="75.540000000000006"/>
    <n v="0"/>
    <n v="0"/>
    <n v="0"/>
    <s v="No Discount"/>
    <n v="75.540000000000006"/>
    <s v="No Loss"/>
    <d v="2025-08-06T00:00:00"/>
    <n v="7"/>
    <s v="LOW STOCK"/>
    <n v="3.3"/>
    <n v="3.3"/>
    <b v="0"/>
    <x v="0"/>
    <m/>
  </r>
  <r>
    <s v="FB002140"/>
    <x v="1"/>
    <x v="3"/>
    <x v="2"/>
    <s v="XXL"/>
    <s v="XXL"/>
    <s v="Beige"/>
    <n v="110.77"/>
    <n v="0"/>
    <n v="0"/>
    <n v="0"/>
    <s v="No Discount"/>
    <n v="110.77"/>
    <s v="No Loss"/>
    <d v="2025-08-06T00:00:00"/>
    <n v="48"/>
    <s v="IN STOCK"/>
    <n v="2.6"/>
    <n v="2.6"/>
    <b v="0"/>
    <x v="0"/>
    <m/>
  </r>
  <r>
    <s v="FB002141"/>
    <x v="3"/>
    <x v="3"/>
    <x v="3"/>
    <s v="L"/>
    <s v="M"/>
    <s v="White"/>
    <n v="190.71"/>
    <n v="6.3E-2"/>
    <n v="6.3"/>
    <n v="12.01473"/>
    <s v="Low Discount"/>
    <n v="178.7"/>
    <s v="Medium Loss"/>
    <d v="2025-08-06T00:00:00"/>
    <n v="1"/>
    <s v="LOW STOCK"/>
    <n v="2"/>
    <n v="2"/>
    <b v="0"/>
    <x v="0"/>
    <m/>
  </r>
  <r>
    <s v="FB002142"/>
    <x v="1"/>
    <x v="3"/>
    <x v="2"/>
    <s v="OS"/>
    <s v="L"/>
    <s v="White"/>
    <n v="100.56"/>
    <n v="0.17300000000000001"/>
    <n v="17.3"/>
    <n v="17.396880000000003"/>
    <s v="Low Discount"/>
    <n v="83.16"/>
    <s v="Medium Loss"/>
    <d v="2025-08-06T00:00:00"/>
    <n v="21"/>
    <s v="IN STOCK"/>
    <n v="3.6"/>
    <n v="3.6"/>
    <b v="0"/>
    <x v="0"/>
    <m/>
  </r>
  <r>
    <s v="FB002143"/>
    <x v="0"/>
    <x v="7"/>
    <x v="3"/>
    <s v="XS"/>
    <s v="XXL"/>
    <s v="Pink"/>
    <n v="221.59"/>
    <n v="8.5999999999999993E-2"/>
    <n v="8.6"/>
    <n v="19.056739999999998"/>
    <s v="Low Discount"/>
    <n v="202.53"/>
    <s v="Medium Loss"/>
    <d v="2025-08-06T00:00:00"/>
    <n v="5"/>
    <s v="LOW STOCK"/>
    <n v="0"/>
    <m/>
    <b v="0"/>
    <x v="0"/>
    <m/>
  </r>
  <r>
    <s v="FB002144"/>
    <x v="4"/>
    <x v="6"/>
    <x v="3"/>
    <s v="OS"/>
    <s v="L"/>
    <s v="Beige"/>
    <n v="55.21"/>
    <n v="0"/>
    <n v="0"/>
    <n v="0"/>
    <s v="No Discount"/>
    <n v="55.21"/>
    <s v="No Loss"/>
    <d v="2025-08-06T00:00:00"/>
    <n v="21"/>
    <s v="IN STOCK"/>
    <n v="1.8"/>
    <n v="1.8"/>
    <b v="1"/>
    <x v="6"/>
    <s v="Wrong Item"/>
  </r>
  <r>
    <s v="FB002145"/>
    <x v="2"/>
    <x v="1"/>
    <x v="2"/>
    <s v="M"/>
    <m/>
    <s v="Black"/>
    <n v="17.87"/>
    <n v="0"/>
    <n v="0"/>
    <n v="0"/>
    <s v="No Discount"/>
    <n v="17.87"/>
    <s v="No Loss"/>
    <d v="2025-08-06T00:00:00"/>
    <n v="47"/>
    <s v="IN STOCK"/>
    <n v="0"/>
    <m/>
    <b v="0"/>
    <x v="0"/>
    <m/>
  </r>
  <r>
    <s v="FB002146"/>
    <x v="4"/>
    <x v="1"/>
    <x v="3"/>
    <s v="M"/>
    <s v="XS"/>
    <s v="Pink"/>
    <n v="56.57"/>
    <n v="0"/>
    <n v="0"/>
    <n v="0"/>
    <s v="No Discount"/>
    <n v="56.57"/>
    <s v="No Loss"/>
    <d v="2025-08-06T00:00:00"/>
    <n v="43"/>
    <s v="IN STOCK"/>
    <n v="4.4000000000000004"/>
    <n v="4.4000000000000004"/>
    <b v="1"/>
    <x v="2"/>
    <s v="Size Issue"/>
  </r>
  <r>
    <s v="FB002147"/>
    <x v="2"/>
    <x v="6"/>
    <x v="0"/>
    <s v="OS"/>
    <m/>
    <s v="Purple"/>
    <n v="47.74"/>
    <n v="0"/>
    <n v="0"/>
    <n v="0"/>
    <s v="No Discount"/>
    <n v="47.74"/>
    <s v="No Loss"/>
    <d v="2024-12-25T00:00:00"/>
    <n v="17"/>
    <s v="IN STOCK"/>
    <n v="2.9"/>
    <n v="2.9"/>
    <b v="0"/>
    <x v="0"/>
    <m/>
  </r>
  <r>
    <s v="FB002148"/>
    <x v="5"/>
    <x v="2"/>
    <x v="2"/>
    <s v="XL"/>
    <s v="M"/>
    <s v="Navy"/>
    <n v="152.88"/>
    <n v="8.900000000000001E-2"/>
    <n v="8.9"/>
    <n v="13.60632"/>
    <s v="Low Discount"/>
    <n v="139.27000000000001"/>
    <s v="Medium Loss"/>
    <d v="2025-08-06T00:00:00"/>
    <n v="19"/>
    <s v="IN STOCK"/>
    <n v="2.2000000000000002"/>
    <n v="2.2000000000000002"/>
    <b v="0"/>
    <x v="0"/>
    <m/>
  </r>
  <r>
    <s v="FB002149"/>
    <x v="0"/>
    <x v="2"/>
    <x v="1"/>
    <s v="S"/>
    <s v="M"/>
    <s v="Beige"/>
    <n v="199.61"/>
    <n v="0.377"/>
    <n v="37.700000000000003"/>
    <n v="75.252970000000005"/>
    <s v="high Discount"/>
    <n v="124.36"/>
    <s v="High Loss"/>
    <d v="2025-08-06T00:00:00"/>
    <n v="6"/>
    <s v="LOW STOCK"/>
    <n v="0"/>
    <m/>
    <b v="0"/>
    <x v="0"/>
    <m/>
  </r>
  <r>
    <s v="FB002150"/>
    <x v="2"/>
    <x v="6"/>
    <x v="3"/>
    <s v="OS"/>
    <m/>
    <s v="Gray"/>
    <n v="57.25"/>
    <n v="0"/>
    <n v="0"/>
    <n v="0"/>
    <s v="No Discount"/>
    <n v="57.25"/>
    <s v="No Loss"/>
    <d v="2025-08-06T00:00:00"/>
    <n v="22"/>
    <s v="IN STOCK"/>
    <n v="5"/>
    <n v="5"/>
    <b v="0"/>
    <x v="0"/>
    <m/>
  </r>
  <r>
    <s v="FB002151"/>
    <x v="5"/>
    <x v="4"/>
    <x v="2"/>
    <s v="XL"/>
    <s v="XL"/>
    <s v="Blue"/>
    <n v="134.41"/>
    <n v="0.55299999999999994"/>
    <n v="55.3"/>
    <n v="74.328729999999993"/>
    <s v="high Discount"/>
    <n v="60.08"/>
    <s v="High Loss"/>
    <d v="2025-08-06T00:00:00"/>
    <n v="12"/>
    <s v="IN STOCK"/>
    <n v="3.2"/>
    <n v="3.2"/>
    <b v="0"/>
    <x v="0"/>
    <m/>
  </r>
  <r>
    <s v="FB002152"/>
    <x v="4"/>
    <x v="5"/>
    <x v="2"/>
    <s v="S"/>
    <s v="S"/>
    <s v="Brown"/>
    <n v="111.43"/>
    <n v="0.435"/>
    <n v="43.5"/>
    <n v="48.472050000000003"/>
    <s v="high Discount"/>
    <n v="62.96"/>
    <s v="High Loss"/>
    <d v="2025-08-06T00:00:00"/>
    <n v="22"/>
    <s v="IN STOCK"/>
    <n v="4.8"/>
    <n v="4.8"/>
    <b v="0"/>
    <x v="0"/>
    <m/>
  </r>
  <r>
    <s v="FB002153"/>
    <x v="2"/>
    <x v="1"/>
    <x v="0"/>
    <s v="XL"/>
    <m/>
    <s v="Brown"/>
    <n v="15.36"/>
    <n v="0.36799999999999999"/>
    <n v="36.799999999999997"/>
    <n v="5.6524799999999997"/>
    <s v="high Discount"/>
    <n v="9.7100000000000009"/>
    <s v="Low Loss"/>
    <d v="2025-04-29T00:00:00"/>
    <n v="46"/>
    <s v="IN STOCK"/>
    <n v="2.2999999999999998"/>
    <n v="2.2999999999999998"/>
    <b v="0"/>
    <x v="0"/>
    <m/>
  </r>
  <r>
    <s v="FB002154"/>
    <x v="1"/>
    <x v="6"/>
    <x v="2"/>
    <s v="M"/>
    <s v="XL"/>
    <s v="Black"/>
    <n v="100.03"/>
    <n v="0.51800000000000002"/>
    <n v="51.8"/>
    <n v="51.815540000000006"/>
    <s v="high Discount"/>
    <n v="48.21"/>
    <s v="High Loss"/>
    <d v="2025-08-06T00:00:00"/>
    <n v="43"/>
    <s v="IN STOCK"/>
    <n v="5"/>
    <n v="5"/>
    <b v="0"/>
    <x v="0"/>
    <m/>
  </r>
  <r>
    <s v="FB002155"/>
    <x v="3"/>
    <x v="1"/>
    <x v="3"/>
    <s v="OS"/>
    <s v="S"/>
    <s v="Black"/>
    <n v="173.75"/>
    <n v="0.192"/>
    <n v="19.2"/>
    <n v="33.36"/>
    <s v="Low Discount"/>
    <n v="140.38999999999999"/>
    <s v="High Loss"/>
    <d v="2025-08-06T00:00:00"/>
    <n v="38"/>
    <s v="IN STOCK"/>
    <n v="0"/>
    <m/>
    <b v="0"/>
    <x v="0"/>
    <m/>
  </r>
  <r>
    <s v="FB002156"/>
    <x v="4"/>
    <x v="6"/>
    <x v="1"/>
    <s v="XXL"/>
    <s v="XL"/>
    <s v="Green"/>
    <n v="37.979999999999997"/>
    <n v="0.152"/>
    <n v="15.2"/>
    <n v="5.7729599999999994"/>
    <s v="Low Discount"/>
    <n v="32.21"/>
    <s v="Low Loss"/>
    <d v="2025-08-06T00:00:00"/>
    <n v="25"/>
    <s v="IN STOCK"/>
    <n v="3.6"/>
    <n v="3.6"/>
    <b v="0"/>
    <x v="0"/>
    <m/>
  </r>
  <r>
    <s v="FB002157"/>
    <x v="5"/>
    <x v="7"/>
    <x v="3"/>
    <s v="XXL"/>
    <s v="M"/>
    <s v="Black"/>
    <n v="154.11000000000001"/>
    <n v="0"/>
    <n v="0"/>
    <n v="0"/>
    <s v="No Discount"/>
    <n v="154.11000000000001"/>
    <s v="No Loss"/>
    <d v="2025-08-06T00:00:00"/>
    <n v="50"/>
    <s v="IN STOCK"/>
    <n v="3.1"/>
    <n v="3.1"/>
    <b v="0"/>
    <x v="0"/>
    <m/>
  </r>
  <r>
    <s v="FB002158"/>
    <x v="2"/>
    <x v="5"/>
    <x v="0"/>
    <s v="XXL"/>
    <m/>
    <s v="Purple"/>
    <n v="69.8"/>
    <n v="0.46899999999999997"/>
    <n v="46.9"/>
    <n v="32.736199999999997"/>
    <s v="high Discount"/>
    <n v="37.06"/>
    <s v="High Loss"/>
    <d v="2024-10-21T00:00:00"/>
    <n v="26"/>
    <s v="IN STOCK"/>
    <n v="3.8"/>
    <n v="3.8"/>
    <b v="0"/>
    <x v="0"/>
    <m/>
  </r>
  <r>
    <s v="FB002159"/>
    <x v="5"/>
    <x v="6"/>
    <x v="1"/>
    <s v="L"/>
    <s v="XXL"/>
    <s v="Gray"/>
    <n v="171.16"/>
    <n v="0"/>
    <n v="0"/>
    <n v="0"/>
    <s v="No Discount"/>
    <n v="171.16"/>
    <s v="No Loss"/>
    <d v="2025-08-06T00:00:00"/>
    <n v="26"/>
    <s v="IN STOCK"/>
    <n v="4.3"/>
    <n v="4.3"/>
    <b v="0"/>
    <x v="0"/>
    <m/>
  </r>
  <r>
    <s v="FB002160"/>
    <x v="0"/>
    <x v="0"/>
    <x v="3"/>
    <s v="OS"/>
    <s v="XXL"/>
    <s v="White"/>
    <n v="118.57"/>
    <n v="0"/>
    <n v="0"/>
    <n v="0"/>
    <s v="No Discount"/>
    <n v="118.57"/>
    <s v="No Loss"/>
    <d v="2025-08-06T00:00:00"/>
    <n v="6"/>
    <s v="LOW STOCK"/>
    <n v="1.4"/>
    <n v="1.4"/>
    <b v="1"/>
    <x v="4"/>
    <s v="Quality Issue"/>
  </r>
  <r>
    <s v="FB002161"/>
    <x v="5"/>
    <x v="3"/>
    <x v="1"/>
    <s v="XL"/>
    <s v="XXL"/>
    <s v="Pink"/>
    <n v="118.46"/>
    <n v="0"/>
    <n v="0"/>
    <n v="0"/>
    <s v="No Discount"/>
    <n v="118.46"/>
    <s v="No Loss"/>
    <d v="2025-08-06T00:00:00"/>
    <n v="40"/>
    <s v="IN STOCK"/>
    <n v="2.2999999999999998"/>
    <n v="2.2999999999999998"/>
    <b v="0"/>
    <x v="0"/>
    <m/>
  </r>
  <r>
    <s v="FB002162"/>
    <x v="3"/>
    <x v="0"/>
    <x v="3"/>
    <s v="OS"/>
    <s v="L"/>
    <s v="Green"/>
    <n v="122.7"/>
    <n v="0"/>
    <n v="0"/>
    <n v="0"/>
    <s v="No Discount"/>
    <n v="122.7"/>
    <s v="No Loss"/>
    <d v="2025-08-06T00:00:00"/>
    <n v="9"/>
    <s v="LOW STOCK"/>
    <n v="0"/>
    <m/>
    <b v="0"/>
    <x v="0"/>
    <m/>
  </r>
  <r>
    <s v="FB002163"/>
    <x v="2"/>
    <x v="6"/>
    <x v="0"/>
    <s v="OS"/>
    <m/>
    <s v="Black"/>
    <n v="68.2"/>
    <n v="0"/>
    <n v="0"/>
    <n v="0"/>
    <s v="No Discount"/>
    <n v="68.2"/>
    <s v="No Loss"/>
    <d v="2025-04-05T00:00:00"/>
    <n v="2"/>
    <s v="LOW STOCK"/>
    <n v="3.8"/>
    <n v="3.8"/>
    <b v="0"/>
    <x v="0"/>
    <m/>
  </r>
  <r>
    <s v="FB002164"/>
    <x v="3"/>
    <x v="4"/>
    <x v="0"/>
    <s v="M"/>
    <s v="XL"/>
    <s v="White"/>
    <n v="178.56"/>
    <n v="0"/>
    <n v="0"/>
    <n v="0"/>
    <s v="No Discount"/>
    <n v="178.56"/>
    <s v="No Loss"/>
    <d v="2025-03-16T00:00:00"/>
    <n v="46"/>
    <s v="IN STOCK"/>
    <n v="2.6"/>
    <n v="2.6"/>
    <b v="0"/>
    <x v="0"/>
    <m/>
  </r>
  <r>
    <s v="FB002165"/>
    <x v="2"/>
    <x v="1"/>
    <x v="3"/>
    <s v="XS"/>
    <m/>
    <s v="Green"/>
    <n v="30.46"/>
    <n v="0.314"/>
    <n v="31.4"/>
    <n v="9.5644400000000012"/>
    <s v="high Discount"/>
    <n v="20.9"/>
    <s v="Low Loss"/>
    <d v="2025-08-06T00:00:00"/>
    <n v="40"/>
    <s v="IN STOCK"/>
    <n v="2.4"/>
    <n v="2.4"/>
    <b v="0"/>
    <x v="0"/>
    <m/>
  </r>
  <r>
    <s v="FB002166"/>
    <x v="2"/>
    <x v="2"/>
    <x v="3"/>
    <s v="OS"/>
    <m/>
    <s v="Black"/>
    <n v="76.08"/>
    <n v="0"/>
    <n v="0"/>
    <n v="0"/>
    <s v="No Discount"/>
    <n v="76.08"/>
    <s v="No Loss"/>
    <d v="2025-08-06T00:00:00"/>
    <n v="6"/>
    <s v="LOW STOCK"/>
    <n v="4.9000000000000004"/>
    <n v="4.9000000000000004"/>
    <b v="0"/>
    <x v="0"/>
    <m/>
  </r>
  <r>
    <s v="FB002167"/>
    <x v="3"/>
    <x v="2"/>
    <x v="1"/>
    <s v="OS"/>
    <s v="M"/>
    <s v="Brown"/>
    <n v="116.15"/>
    <n v="0.16500000000000001"/>
    <n v="16.5"/>
    <n v="19.164750000000002"/>
    <s v="Low Discount"/>
    <n v="96.99"/>
    <s v="Medium Loss"/>
    <d v="2025-08-06T00:00:00"/>
    <n v="11"/>
    <s v="IN STOCK"/>
    <n v="3"/>
    <n v="3"/>
    <b v="0"/>
    <x v="0"/>
    <m/>
  </r>
  <r>
    <s v="FB002168"/>
    <x v="3"/>
    <x v="4"/>
    <x v="1"/>
    <s v="XL"/>
    <s v="XS"/>
    <s v="White"/>
    <n v="98.22"/>
    <n v="0"/>
    <n v="0"/>
    <n v="0"/>
    <s v="No Discount"/>
    <n v="98.22"/>
    <s v="No Loss"/>
    <d v="2025-08-06T00:00:00"/>
    <n v="27"/>
    <s v="IN STOCK"/>
    <n v="3.3"/>
    <n v="3.3"/>
    <b v="0"/>
    <x v="0"/>
    <m/>
  </r>
  <r>
    <s v="FB002169"/>
    <x v="3"/>
    <x v="5"/>
    <x v="1"/>
    <s v="XL"/>
    <m/>
    <s v="Beige"/>
    <n v="66.58"/>
    <n v="0"/>
    <n v="0"/>
    <n v="0"/>
    <s v="No Discount"/>
    <n v="66.58"/>
    <s v="No Loss"/>
    <d v="2025-08-06T00:00:00"/>
    <n v="45"/>
    <s v="IN STOCK"/>
    <n v="3.4"/>
    <n v="3.4"/>
    <b v="0"/>
    <x v="0"/>
    <m/>
  </r>
  <r>
    <s v="FB002170"/>
    <x v="2"/>
    <x v="1"/>
    <x v="0"/>
    <s v="L"/>
    <m/>
    <s v="Beige"/>
    <n v="69.22"/>
    <n v="0"/>
    <n v="0"/>
    <n v="0"/>
    <s v="No Discount"/>
    <n v="69.22"/>
    <s v="No Loss"/>
    <d v="2024-09-05T00:00:00"/>
    <n v="42"/>
    <s v="IN STOCK"/>
    <n v="3.8"/>
    <n v="3.8"/>
    <b v="0"/>
    <x v="0"/>
    <m/>
  </r>
  <r>
    <s v="FB002171"/>
    <x v="1"/>
    <x v="1"/>
    <x v="1"/>
    <s v="OS"/>
    <s v="XL"/>
    <s v="Black"/>
    <n v="85.01"/>
    <n v="0"/>
    <n v="0"/>
    <n v="0"/>
    <s v="No Discount"/>
    <n v="85.01"/>
    <s v="No Loss"/>
    <d v="2025-08-06T00:00:00"/>
    <n v="39"/>
    <s v="IN STOCK"/>
    <n v="4.3"/>
    <n v="4.3"/>
    <b v="0"/>
    <x v="0"/>
    <m/>
  </r>
  <r>
    <s v="FB002172"/>
    <x v="1"/>
    <x v="3"/>
    <x v="3"/>
    <s v="XL"/>
    <s v="XL"/>
    <s v="Black"/>
    <n v="31.41"/>
    <n v="0"/>
    <n v="0"/>
    <n v="0"/>
    <s v="No Discount"/>
    <n v="31.41"/>
    <s v="No Loss"/>
    <d v="2025-08-06T00:00:00"/>
    <n v="10"/>
    <s v="LOW STOCK"/>
    <n v="2.1"/>
    <n v="2.1"/>
    <b v="0"/>
    <x v="0"/>
    <m/>
  </r>
  <r>
    <s v="FB002173"/>
    <x v="5"/>
    <x v="2"/>
    <x v="1"/>
    <s v="XXL"/>
    <s v="L"/>
    <s v="Brown"/>
    <n v="50.58"/>
    <n v="0"/>
    <n v="0"/>
    <n v="0"/>
    <s v="No Discount"/>
    <n v="50.58"/>
    <s v="No Loss"/>
    <d v="2025-08-06T00:00:00"/>
    <n v="1"/>
    <s v="LOW STOCK"/>
    <n v="3.1"/>
    <n v="3.1"/>
    <b v="1"/>
    <x v="5"/>
    <s v="Changed Mind"/>
  </r>
  <r>
    <s v="FB002174"/>
    <x v="2"/>
    <x v="2"/>
    <x v="1"/>
    <s v="OS"/>
    <m/>
    <s v="Beige"/>
    <n v="79.37"/>
    <n v="0.54799999999999993"/>
    <n v="54.8"/>
    <n v="43.494759999999999"/>
    <s v="high Discount"/>
    <n v="35.880000000000003"/>
    <s v="High Loss"/>
    <d v="2025-08-06T00:00:00"/>
    <n v="40"/>
    <s v="IN STOCK"/>
    <n v="2.6"/>
    <n v="2.6"/>
    <b v="0"/>
    <x v="0"/>
    <m/>
  </r>
  <r>
    <s v="FB002175"/>
    <x v="4"/>
    <x v="5"/>
    <x v="3"/>
    <s v="OS"/>
    <s v="XL"/>
    <s v="Pink"/>
    <n v="105.52"/>
    <n v="0"/>
    <n v="0"/>
    <n v="0"/>
    <s v="No Discount"/>
    <n v="105.52"/>
    <s v="No Loss"/>
    <d v="2025-08-06T00:00:00"/>
    <n v="20"/>
    <s v="IN STOCK"/>
    <n v="4.9000000000000004"/>
    <n v="4.9000000000000004"/>
    <b v="1"/>
    <x v="2"/>
    <s v="Size Issue"/>
  </r>
  <r>
    <s v="FB002176"/>
    <x v="3"/>
    <x v="5"/>
    <x v="3"/>
    <s v="OS"/>
    <s v="XXL"/>
    <s v="White"/>
    <n v="154.02000000000001"/>
    <n v="0"/>
    <n v="0"/>
    <n v="0"/>
    <s v="No Discount"/>
    <n v="154.02000000000001"/>
    <s v="No Loss"/>
    <d v="2025-08-06T00:00:00"/>
    <n v="23"/>
    <s v="IN STOCK"/>
    <n v="1.3"/>
    <n v="1.3"/>
    <b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B4B26-C770-42C7-8286-DABA2D3F0F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22">
    <pivotField showAll="0"/>
    <pivotField axis="axisRow" showAll="0">
      <items count="7">
        <item x="2"/>
        <item x="4"/>
        <item x="5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7" showAll="0"/>
    <pivotField numFmtId="10" showAll="0"/>
    <pivotField numFmtId="2" showAll="0"/>
    <pivotField numFmtId="168" showAll="0"/>
    <pivotField showAll="0"/>
    <pivotField dataField="1" numFmtId="166" showAll="0"/>
    <pivotField showAll="0"/>
    <pivotField numFmtId="167"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urrent_price" fld="12" baseField="0" baseItem="0" numFmtId="166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06416-4312-440F-93D6-7CA731618CD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2" firstHeaderRow="1" firstDataRow="1" firstDataCol="1"/>
  <pivotFields count="22">
    <pivotField showAll="0"/>
    <pivotField showAll="0"/>
    <pivotField axis="axisRow" showAll="0">
      <items count="9">
        <item x="5"/>
        <item x="2"/>
        <item x="7"/>
        <item x="6"/>
        <item x="4"/>
        <item x="3"/>
        <item x="1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numFmtId="7" showAll="0"/>
    <pivotField numFmtId="10" showAll="0"/>
    <pivotField numFmtId="2" showAll="0"/>
    <pivotField numFmtId="168" showAll="0"/>
    <pivotField showAll="0"/>
    <pivotField dataField="1" numFmtId="166" showAll="0"/>
    <pivotField showAll="0"/>
    <pivotField numFmtId="167"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urrent_price" fld="12" baseField="0" baseItem="0" numFmtId="166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EC502-5B8F-467A-8A5A-7C6DC08D180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J11" firstHeaderRow="1" firstDataRow="2" firstDataCol="1"/>
  <pivotFields count="22">
    <pivotField showAll="0"/>
    <pivotField showAll="0"/>
    <pivotField axis="axisCol" showAll="0">
      <items count="9">
        <item x="5"/>
        <item x="2"/>
        <item x="7"/>
        <item x="6"/>
        <item x="4"/>
        <item x="3"/>
        <item x="1"/>
        <item x="0"/>
        <item t="default"/>
      </items>
    </pivotField>
    <pivotField showAll="0"/>
    <pivotField showAll="0"/>
    <pivotField showAll="0"/>
    <pivotField showAll="0"/>
    <pivotField numFmtId="7" showAll="0"/>
    <pivotField numFmtId="10" showAll="0"/>
    <pivotField numFmtId="2" showAll="0"/>
    <pivotField numFmtId="168" showAll="0"/>
    <pivotField showAll="0"/>
    <pivotField numFmtId="166" showAll="0"/>
    <pivotField showAll="0"/>
    <pivotField numFmtId="167" showAll="0"/>
    <pivotField showAll="0"/>
    <pivotField showAll="0"/>
    <pivotField numFmtId="164" showAll="0"/>
    <pivotField showAll="0"/>
    <pivotField showAll="0"/>
    <pivotField axis="axisRow" dataField="1" showAll="0">
      <items count="8">
        <item x="5"/>
        <item x="1"/>
        <item x="3"/>
        <item h="1" x="0"/>
        <item x="4"/>
        <item x="2"/>
        <item x="6"/>
        <item t="default"/>
      </items>
    </pivotField>
    <pivotField showAll="0"/>
  </pivotFields>
  <rowFields count="1">
    <field x="20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Return Status" fld="20" subtotal="count" baseField="0" baseItem="0"/>
  </dataField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80222-4B82-44AC-A719-EB8A1547B69F}" name="Table1" displayName="Table1" ref="A1:V2177" totalsRowShown="0">
  <autoFilter ref="A1:V2177" xr:uid="{2F980222-4B82-44AC-A719-EB8A1547B69F}">
    <filterColumn colId="20">
      <filters>
        <filter val="Changed Mind"/>
      </filters>
    </filterColumn>
  </autoFilter>
  <tableColumns count="22">
    <tableColumn id="1" xr3:uid="{FA7CCAEC-BAEF-4E39-A3B9-9AA081E9C13C}" name="product_id"/>
    <tableColumn id="2" xr3:uid="{A7F4FDB2-60CE-4C59-9772-25EBD91B6E04}" name="category"/>
    <tableColumn id="3" xr3:uid="{4E941E87-7474-4A5D-B42D-21C43FC665DD}" name="brand"/>
    <tableColumn id="4" xr3:uid="{ADE60791-BFC8-47C3-A677-6DBCB418CDB9}" name="season"/>
    <tableColumn id="15" xr3:uid="{9AB5B202-3D71-4426-94FC-C7024CF0074F}" name="size updated" dataDxfId="12">
      <calculatedColumnFormula>IF(ISBLANK(F5),"OS",F5)</calculatedColumnFormula>
    </tableColumn>
    <tableColumn id="5" xr3:uid="{D9EB18E3-FE9E-44FB-A25F-2E74D2CFF4CE}" name="size"/>
    <tableColumn id="6" xr3:uid="{40E27EB9-1B24-4F2D-A499-FEE62140EDD4}" name="color"/>
    <tableColumn id="7" xr3:uid="{24A0AA5C-6EB2-46D8-9817-58116028AF63}" name="original_price" dataDxfId="11" dataCellStyle="Currency"/>
    <tableColumn id="17" xr3:uid="{EA1E8EE3-7CA5-4D4A-80BE-4227F64B154B}" name="Markdown percentage updated" dataDxfId="10" dataCellStyle="Percent">
      <calculatedColumnFormula>J2/100</calculatedColumnFormula>
    </tableColumn>
    <tableColumn id="8" xr3:uid="{C9DCFADE-537D-4B31-B304-20DC7C521577}" name="markdown_percentage" dataDxfId="9" dataCellStyle="Percent"/>
    <tableColumn id="21" xr3:uid="{F70C143A-6A02-46DC-BC54-7B43BE45047A}" name="Discount Amount" dataDxfId="8" dataCellStyle="Percent">
      <calculatedColumnFormula>Table1[[#This Row],[original_price]]* (Table1[[#This Row],[Markdown percentage updated]])</calculatedColumnFormula>
    </tableColumn>
    <tableColumn id="20" xr3:uid="{771BE23A-D2F7-4924-B0A9-58E355AF204C}" name="Markdown profit risk" dataDxfId="7" dataCellStyle="Percent">
      <calculatedColumnFormula>IF(Table1[[#This Row],[Markdown percentage updated]]=0,"No Discount",
IF(Table1[[#This Row],[Markdown percentage updated]]&lt;=20%,"Low Discount",
IF(Table1[[#This Row],[Markdown percentage updated]]&lt;=30%,"Medium Discount","high Discount")))</calculatedColumnFormula>
    </tableColumn>
    <tableColumn id="9" xr3:uid="{3D8A9B29-FC75-4B40-A59F-26B09FA4879C}" name="current_price" dataDxfId="6"/>
    <tableColumn id="22" xr3:uid="{D0ED5BAD-76E1-4FC3-B383-C82E8407DF15}" name="Profit / loss " dataDxfId="5">
      <calculatedColumnFormula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calculatedColumnFormula>
    </tableColumn>
    <tableColumn id="10" xr3:uid="{BF177494-952A-49B9-AD6C-52C758D7846F}" name="purchase_date" dataDxfId="4"/>
    <tableColumn id="11" xr3:uid="{76F5DD18-0562-4D18-88C3-B4026B66433D}" name="stock_quantity"/>
    <tableColumn id="24" xr3:uid="{3F487E57-A3EB-4838-84FE-9C2657A792F4}" name="Stock status" dataDxfId="3">
      <calculatedColumnFormula>IF(Table1[[#This Row],[stock_quantity]]=0,"NO STOCK",
IF(Table1[[#This Row],[stock_quantity]]&lt;=10,"LOW STOCK",
"IN STOCK"))</calculatedColumnFormula>
    </tableColumn>
    <tableColumn id="16" xr3:uid="{D2111B33-6133-446C-B01B-CF210142CC22}" name="Customer_rating_updated" dataDxfId="2">
      <calculatedColumnFormula>IF(ISBLANK(S2), 0, S2)</calculatedColumnFormula>
    </tableColumn>
    <tableColumn id="12" xr3:uid="{D7BF30B6-D3CB-4B34-BABD-DFD73B8E9506}" name="customer_rating"/>
    <tableColumn id="13" xr3:uid="{926515E2-BFF6-4C5F-875A-8E368490BA2D}" name="is_returned"/>
    <tableColumn id="18" xr3:uid="{8A8AEC05-1D28-4EF8-9F42-63AD081CEF43}" name="Return Status" dataDxfId="1">
      <calculatedColumnFormula>IF(V2="","No Return",V2)</calculatedColumnFormula>
    </tableColumn>
    <tableColumn id="14" xr3:uid="{3789D7CA-20F1-4376-B9C8-5347B9E569FA}" name="return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D2A3-A2E8-4C56-ACDB-E9A42D3675AC}">
  <dimension ref="A1:X2177"/>
  <sheetViews>
    <sheetView tabSelected="1" zoomScale="92" workbookViewId="0">
      <selection activeCell="E20" sqref="E20"/>
    </sheetView>
  </sheetViews>
  <sheetFormatPr defaultRowHeight="14.4" x14ac:dyDescent="0.3"/>
  <cols>
    <col min="1" max="1" width="27.21875" customWidth="1"/>
    <col min="2" max="2" width="18.5546875" customWidth="1"/>
    <col min="3" max="3" width="22.21875" customWidth="1"/>
    <col min="4" max="4" width="15.77734375" customWidth="1"/>
    <col min="5" max="5" width="14.77734375" customWidth="1"/>
    <col min="6" max="6" width="0" hidden="1" customWidth="1"/>
    <col min="7" max="7" width="14.21875" customWidth="1"/>
    <col min="8" max="8" width="21.77734375" style="8" customWidth="1"/>
    <col min="9" max="9" width="34.6640625" style="3" customWidth="1"/>
    <col min="10" max="10" width="24.44140625" hidden="1" customWidth="1"/>
    <col min="11" max="11" width="27.21875" style="12" customWidth="1"/>
    <col min="12" max="12" width="26.21875" style="6" customWidth="1"/>
    <col min="13" max="14" width="22.88671875" style="7" customWidth="1"/>
    <col min="15" max="15" width="25.44140625" style="1" customWidth="1"/>
    <col min="16" max="16" width="23.44140625" customWidth="1"/>
    <col min="17" max="17" width="23.44140625" style="17" customWidth="1"/>
    <col min="18" max="18" width="16.77734375" customWidth="1"/>
    <col min="19" max="19" width="23.6640625" customWidth="1"/>
    <col min="20" max="20" width="29.88671875" customWidth="1"/>
    <col min="21" max="21" width="21.21875" style="13" customWidth="1"/>
    <col min="22" max="22" width="24.6640625" hidden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2231</v>
      </c>
      <c r="F1" t="s">
        <v>4</v>
      </c>
      <c r="G1" t="s">
        <v>5</v>
      </c>
      <c r="H1" s="8" t="s">
        <v>6</v>
      </c>
      <c r="I1" s="15" t="s">
        <v>2239</v>
      </c>
      <c r="J1" s="5" t="s">
        <v>7</v>
      </c>
      <c r="K1" s="11" t="s">
        <v>2246</v>
      </c>
      <c r="L1" s="5" t="s">
        <v>2245</v>
      </c>
      <c r="M1" s="6" t="s">
        <v>8</v>
      </c>
      <c r="N1" s="6" t="s">
        <v>2247</v>
      </c>
      <c r="O1" s="7" t="s">
        <v>9</v>
      </c>
      <c r="P1" t="s">
        <v>10</v>
      </c>
      <c r="Q1" s="14" t="s">
        <v>2248</v>
      </c>
      <c r="R1" s="1" t="s">
        <v>2232</v>
      </c>
      <c r="S1" t="s">
        <v>11</v>
      </c>
      <c r="T1" t="s">
        <v>12</v>
      </c>
      <c r="U1" s="14" t="s">
        <v>2244</v>
      </c>
      <c r="V1" t="s">
        <v>13</v>
      </c>
    </row>
    <row r="2" spans="1:24" hidden="1" x14ac:dyDescent="0.3">
      <c r="A2" t="s">
        <v>14</v>
      </c>
      <c r="B2" t="s">
        <v>15</v>
      </c>
      <c r="C2" t="s">
        <v>16</v>
      </c>
      <c r="D2" t="s">
        <v>17</v>
      </c>
      <c r="E2" t="str">
        <f t="shared" ref="E2:E65" si="0">IF(ISBLANK(F5),"OS",F5)</f>
        <v>XL</v>
      </c>
      <c r="F2" t="s">
        <v>18</v>
      </c>
      <c r="G2" t="s">
        <v>19</v>
      </c>
      <c r="H2" s="8">
        <v>196.01</v>
      </c>
      <c r="I2" s="3">
        <f t="shared" ref="I2:I65" si="1">J2/100</f>
        <v>0</v>
      </c>
      <c r="J2" s="4">
        <v>0</v>
      </c>
      <c r="K2" s="11">
        <f>Table1[[#This Row],[original_price]]* (Table1[[#This Row],[Markdown percentage updated]])</f>
        <v>0</v>
      </c>
      <c r="L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" s="6">
        <v>196.01</v>
      </c>
      <c r="N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" s="7">
        <v>45843</v>
      </c>
      <c r="P2">
        <v>37</v>
      </c>
      <c r="Q2" s="16" t="str">
        <f>IF(Table1[[#This Row],[stock_quantity]]=0,"NO STOCK",
IF(Table1[[#This Row],[stock_quantity]]&lt;=10,"LOW STOCK",
"IN STOCK"))</f>
        <v>IN STOCK</v>
      </c>
      <c r="R2" s="1">
        <f>IF(ISBLANK(S2), 0, S2)</f>
        <v>3</v>
      </c>
      <c r="S2">
        <v>3</v>
      </c>
      <c r="T2" t="b">
        <v>0</v>
      </c>
      <c r="U2" t="str">
        <f>IF(V2="","No Return",V2)</f>
        <v>No Return</v>
      </c>
      <c r="X2" s="9"/>
    </row>
    <row r="3" spans="1:24" hidden="1" x14ac:dyDescent="0.3">
      <c r="A3" t="s">
        <v>20</v>
      </c>
      <c r="B3" t="s">
        <v>21</v>
      </c>
      <c r="C3" t="s">
        <v>22</v>
      </c>
      <c r="D3" t="s">
        <v>23</v>
      </c>
      <c r="E3" t="str">
        <f t="shared" si="0"/>
        <v>XL</v>
      </c>
      <c r="F3" t="s">
        <v>24</v>
      </c>
      <c r="G3" t="s">
        <v>25</v>
      </c>
      <c r="H3" s="8">
        <v>119.64</v>
      </c>
      <c r="I3" s="3">
        <f t="shared" si="1"/>
        <v>0</v>
      </c>
      <c r="J3" s="4">
        <v>0</v>
      </c>
      <c r="K3" s="11">
        <f>Table1[[#This Row],[original_price]]* (Table1[[#This Row],[Markdown percentage updated]])</f>
        <v>0</v>
      </c>
      <c r="L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" s="6">
        <v>119.64</v>
      </c>
      <c r="N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" s="7">
        <v>45875</v>
      </c>
      <c r="P3">
        <v>2</v>
      </c>
      <c r="Q3" s="17" t="str">
        <f>IF(Table1[[#This Row],[stock_quantity]]=0,"NO STOCK",
IF(Table1[[#This Row],[stock_quantity]]&lt;=10,"LOW STOCK",
"IN STOCK"))</f>
        <v>LOW STOCK</v>
      </c>
      <c r="R3" s="1">
        <f t="shared" ref="R3:R66" si="2">IF(ISBLANK(S3), 0, S3)</f>
        <v>2.5</v>
      </c>
      <c r="S3">
        <v>2.5</v>
      </c>
      <c r="T3" t="b">
        <v>0</v>
      </c>
      <c r="U3" t="str">
        <f t="shared" ref="U3:U66" si="3">IF(V3="","No Return",V3)</f>
        <v>No Return</v>
      </c>
      <c r="X3" s="10"/>
    </row>
    <row r="4" spans="1:24" hidden="1" x14ac:dyDescent="0.3">
      <c r="A4" t="s">
        <v>26</v>
      </c>
      <c r="B4" t="s">
        <v>27</v>
      </c>
      <c r="C4" t="s">
        <v>22</v>
      </c>
      <c r="D4" t="s">
        <v>23</v>
      </c>
      <c r="E4" t="str">
        <f t="shared" si="0"/>
        <v>OS</v>
      </c>
      <c r="G4" t="s">
        <v>28</v>
      </c>
      <c r="H4" s="8">
        <v>33.799999999999997</v>
      </c>
      <c r="I4" s="3">
        <f t="shared" si="1"/>
        <v>0</v>
      </c>
      <c r="J4" s="4">
        <v>0</v>
      </c>
      <c r="K4" s="11">
        <f>Table1[[#This Row],[original_price]]* (Table1[[#This Row],[Markdown percentage updated]])</f>
        <v>0</v>
      </c>
      <c r="L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" s="6">
        <v>33.799999999999997</v>
      </c>
      <c r="N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" s="7">
        <v>45875</v>
      </c>
      <c r="P4">
        <v>22</v>
      </c>
      <c r="Q4" s="16" t="str">
        <f>IF(Table1[[#This Row],[stock_quantity]]=0,"NO STOCK",
IF(Table1[[#This Row],[stock_quantity]]&lt;=10,"LOW STOCK",
"IN STOCK"))</f>
        <v>IN STOCK</v>
      </c>
      <c r="R4" s="1">
        <f t="shared" si="2"/>
        <v>4.3</v>
      </c>
      <c r="S4">
        <v>4.3</v>
      </c>
      <c r="T4" t="b">
        <v>0</v>
      </c>
      <c r="U4" t="str">
        <f t="shared" si="3"/>
        <v>No Return</v>
      </c>
    </row>
    <row r="5" spans="1:24" hidden="1" x14ac:dyDescent="0.3">
      <c r="A5" t="s">
        <v>29</v>
      </c>
      <c r="B5" t="s">
        <v>30</v>
      </c>
      <c r="C5" t="s">
        <v>22</v>
      </c>
      <c r="D5" t="s">
        <v>17</v>
      </c>
      <c r="E5" t="str">
        <f t="shared" si="0"/>
        <v>S</v>
      </c>
      <c r="F5" t="s">
        <v>18</v>
      </c>
      <c r="G5" t="s">
        <v>28</v>
      </c>
      <c r="H5" s="8">
        <v>75.36</v>
      </c>
      <c r="I5" s="3">
        <f t="shared" si="1"/>
        <v>0</v>
      </c>
      <c r="J5" s="4">
        <v>0</v>
      </c>
      <c r="K5" s="11">
        <f>Table1[[#This Row],[original_price]]* (Table1[[#This Row],[Markdown percentage updated]])</f>
        <v>0</v>
      </c>
      <c r="L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" s="6">
        <v>75.36</v>
      </c>
      <c r="N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" s="7">
        <v>45845</v>
      </c>
      <c r="P5">
        <v>48</v>
      </c>
      <c r="Q5" s="16" t="str">
        <f>IF(Table1[[#This Row],[stock_quantity]]=0,"NO STOCK",
IF(Table1[[#This Row],[stock_quantity]]&lt;=10,"LOW STOCK",
"IN STOCK"))</f>
        <v>IN STOCK</v>
      </c>
      <c r="R5" s="1">
        <f t="shared" si="2"/>
        <v>2.6</v>
      </c>
      <c r="S5">
        <v>2.6</v>
      </c>
      <c r="T5" t="b">
        <v>0</v>
      </c>
      <c r="U5" t="str">
        <f t="shared" si="3"/>
        <v>No Return</v>
      </c>
    </row>
    <row r="6" spans="1:24" hidden="1" x14ac:dyDescent="0.3">
      <c r="A6" t="s">
        <v>31</v>
      </c>
      <c r="B6" t="s">
        <v>21</v>
      </c>
      <c r="C6" t="s">
        <v>32</v>
      </c>
      <c r="D6" t="s">
        <v>23</v>
      </c>
      <c r="E6" t="str">
        <f t="shared" si="0"/>
        <v>XL</v>
      </c>
      <c r="F6" t="s">
        <v>18</v>
      </c>
      <c r="G6" t="s">
        <v>28</v>
      </c>
      <c r="H6" s="8">
        <v>105.02</v>
      </c>
      <c r="I6" s="3">
        <f t="shared" si="1"/>
        <v>0</v>
      </c>
      <c r="J6" s="4">
        <v>0</v>
      </c>
      <c r="K6" s="11">
        <f>Table1[[#This Row],[original_price]]* (Table1[[#This Row],[Markdown percentage updated]])</f>
        <v>0</v>
      </c>
      <c r="L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" s="6">
        <v>105.02</v>
      </c>
      <c r="N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" s="7">
        <v>45875</v>
      </c>
      <c r="P6">
        <v>10</v>
      </c>
      <c r="Q6" s="17" t="str">
        <f>IF(Table1[[#This Row],[stock_quantity]]=0,"NO STOCK",
IF(Table1[[#This Row],[stock_quantity]]&lt;=10,"LOW STOCK",
"IN STOCK"))</f>
        <v>LOW STOCK</v>
      </c>
      <c r="R6" s="1">
        <f t="shared" si="2"/>
        <v>0</v>
      </c>
      <c r="T6" t="b">
        <v>0</v>
      </c>
      <c r="U6" t="str">
        <f t="shared" si="3"/>
        <v>No Return</v>
      </c>
    </row>
    <row r="7" spans="1:24" hidden="1" x14ac:dyDescent="0.3">
      <c r="A7" t="s">
        <v>33</v>
      </c>
      <c r="B7" t="s">
        <v>27</v>
      </c>
      <c r="C7" t="s">
        <v>16</v>
      </c>
      <c r="D7" t="s">
        <v>34</v>
      </c>
      <c r="E7" t="str">
        <f t="shared" si="0"/>
        <v>XL</v>
      </c>
      <c r="G7" t="s">
        <v>35</v>
      </c>
      <c r="H7" s="8">
        <v>35.03</v>
      </c>
      <c r="I7" s="3">
        <f t="shared" si="1"/>
        <v>0.35399999999999998</v>
      </c>
      <c r="J7" s="4">
        <v>35.4</v>
      </c>
      <c r="K7" s="11">
        <f>Table1[[#This Row],[original_price]]* (Table1[[#This Row],[Markdown percentage updated]])</f>
        <v>12.40062</v>
      </c>
      <c r="L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" s="6">
        <v>22.63</v>
      </c>
      <c r="N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7" s="7">
        <v>45875</v>
      </c>
      <c r="P7">
        <v>38</v>
      </c>
      <c r="Q7" s="16" t="str">
        <f>IF(Table1[[#This Row],[stock_quantity]]=0,"NO STOCK",
IF(Table1[[#This Row],[stock_quantity]]&lt;=10,"LOW STOCK",
"IN STOCK"))</f>
        <v>IN STOCK</v>
      </c>
      <c r="R7" s="1">
        <f t="shared" si="2"/>
        <v>2.9</v>
      </c>
      <c r="S7">
        <v>2.9</v>
      </c>
      <c r="T7" t="b">
        <v>1</v>
      </c>
      <c r="U7" s="13" t="str">
        <f t="shared" si="3"/>
        <v>Color Mismatch</v>
      </c>
      <c r="V7" t="s">
        <v>36</v>
      </c>
    </row>
    <row r="8" spans="1:24" hidden="1" x14ac:dyDescent="0.3">
      <c r="A8" t="s">
        <v>37</v>
      </c>
      <c r="B8" t="s">
        <v>38</v>
      </c>
      <c r="C8" t="s">
        <v>16</v>
      </c>
      <c r="D8" t="s">
        <v>17</v>
      </c>
      <c r="E8" t="str">
        <f t="shared" si="0"/>
        <v>XXL</v>
      </c>
      <c r="F8" t="s">
        <v>39</v>
      </c>
      <c r="G8" t="s">
        <v>40</v>
      </c>
      <c r="H8" s="8">
        <v>53.83</v>
      </c>
      <c r="I8" s="3">
        <f t="shared" si="1"/>
        <v>0.54500000000000004</v>
      </c>
      <c r="J8" s="4">
        <v>54.5</v>
      </c>
      <c r="K8" s="11">
        <f>Table1[[#This Row],[original_price]]* (Table1[[#This Row],[Markdown percentage updated]])</f>
        <v>29.337350000000001</v>
      </c>
      <c r="L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" s="6">
        <v>24.49</v>
      </c>
      <c r="N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" s="7">
        <v>45594</v>
      </c>
      <c r="P8">
        <v>38</v>
      </c>
      <c r="Q8" s="16" t="str">
        <f>IF(Table1[[#This Row],[stock_quantity]]=0,"NO STOCK",
IF(Table1[[#This Row],[stock_quantity]]&lt;=10,"LOW STOCK",
"IN STOCK"))</f>
        <v>IN STOCK</v>
      </c>
      <c r="R8" s="1">
        <f t="shared" si="2"/>
        <v>2.6</v>
      </c>
      <c r="S8">
        <v>2.6</v>
      </c>
      <c r="T8" t="b">
        <v>0</v>
      </c>
      <c r="U8" t="str">
        <f t="shared" si="3"/>
        <v>No Return</v>
      </c>
    </row>
    <row r="9" spans="1:24" hidden="1" x14ac:dyDescent="0.3">
      <c r="A9" t="s">
        <v>41</v>
      </c>
      <c r="B9" t="s">
        <v>42</v>
      </c>
      <c r="C9" t="s">
        <v>43</v>
      </c>
      <c r="D9" t="s">
        <v>23</v>
      </c>
      <c r="E9" t="str">
        <f t="shared" si="0"/>
        <v>L</v>
      </c>
      <c r="F9" t="s">
        <v>18</v>
      </c>
      <c r="G9" t="s">
        <v>44</v>
      </c>
      <c r="H9" s="8">
        <v>91.55</v>
      </c>
      <c r="I9" s="3">
        <f t="shared" si="1"/>
        <v>0.221</v>
      </c>
      <c r="J9" s="4">
        <v>22.1</v>
      </c>
      <c r="K9" s="11">
        <f>Table1[[#This Row],[original_price]]* (Table1[[#This Row],[Markdown percentage updated]])</f>
        <v>20.23255</v>
      </c>
      <c r="L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9" s="6">
        <v>71.319999999999993</v>
      </c>
      <c r="N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" s="7">
        <v>45875</v>
      </c>
      <c r="P9">
        <v>47</v>
      </c>
      <c r="Q9" s="16" t="str">
        <f>IF(Table1[[#This Row],[stock_quantity]]=0,"NO STOCK",
IF(Table1[[#This Row],[stock_quantity]]&lt;=10,"LOW STOCK",
"IN STOCK"))</f>
        <v>IN STOCK</v>
      </c>
      <c r="R9" s="1">
        <f t="shared" si="2"/>
        <v>1.6</v>
      </c>
      <c r="S9">
        <v>1.6</v>
      </c>
      <c r="T9" t="b">
        <v>0</v>
      </c>
      <c r="U9" t="str">
        <f t="shared" si="3"/>
        <v>No Return</v>
      </c>
    </row>
    <row r="10" spans="1:24" hidden="1" x14ac:dyDescent="0.3">
      <c r="A10" t="s">
        <v>45</v>
      </c>
      <c r="B10" t="s">
        <v>15</v>
      </c>
      <c r="C10" t="s">
        <v>22</v>
      </c>
      <c r="D10" t="s">
        <v>17</v>
      </c>
      <c r="E10" t="str">
        <f t="shared" si="0"/>
        <v>S</v>
      </c>
      <c r="F10" t="s">
        <v>18</v>
      </c>
      <c r="G10" t="s">
        <v>46</v>
      </c>
      <c r="H10" s="8">
        <v>227.73</v>
      </c>
      <c r="I10" s="3">
        <f t="shared" si="1"/>
        <v>0.128</v>
      </c>
      <c r="J10" s="4">
        <v>12.8</v>
      </c>
      <c r="K10" s="11">
        <f>Table1[[#This Row],[original_price]]* (Table1[[#This Row],[Markdown percentage updated]])</f>
        <v>29.149439999999998</v>
      </c>
      <c r="L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" s="6">
        <v>198.58</v>
      </c>
      <c r="N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" s="7">
        <v>45740</v>
      </c>
      <c r="P10">
        <v>14</v>
      </c>
      <c r="Q10" s="16" t="str">
        <f>IF(Table1[[#This Row],[stock_quantity]]=0,"NO STOCK",
IF(Table1[[#This Row],[stock_quantity]]&lt;=10,"LOW STOCK",
"IN STOCK"))</f>
        <v>IN STOCK</v>
      </c>
      <c r="R10" s="1">
        <f t="shared" si="2"/>
        <v>0</v>
      </c>
      <c r="T10" t="b">
        <v>0</v>
      </c>
      <c r="U10" t="str">
        <f t="shared" si="3"/>
        <v>No Return</v>
      </c>
    </row>
    <row r="11" spans="1:24" hidden="1" x14ac:dyDescent="0.3">
      <c r="A11" t="s">
        <v>47</v>
      </c>
      <c r="B11" t="s">
        <v>15</v>
      </c>
      <c r="C11" t="s">
        <v>48</v>
      </c>
      <c r="D11" t="s">
        <v>34</v>
      </c>
      <c r="E11" t="str">
        <f t="shared" si="0"/>
        <v>S</v>
      </c>
      <c r="F11" t="s">
        <v>49</v>
      </c>
      <c r="G11" t="s">
        <v>25</v>
      </c>
      <c r="H11" s="8">
        <v>248.41</v>
      </c>
      <c r="I11" s="3">
        <f t="shared" si="1"/>
        <v>0.109</v>
      </c>
      <c r="J11" s="4">
        <v>10.9</v>
      </c>
      <c r="K11" s="11">
        <f>Table1[[#This Row],[original_price]]* (Table1[[#This Row],[Markdown percentage updated]])</f>
        <v>27.076689999999999</v>
      </c>
      <c r="L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" s="6">
        <v>221.33</v>
      </c>
      <c r="N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" s="7">
        <v>45875</v>
      </c>
      <c r="P11">
        <v>37</v>
      </c>
      <c r="Q11" s="16" t="str">
        <f>IF(Table1[[#This Row],[stock_quantity]]=0,"NO STOCK",
IF(Table1[[#This Row],[stock_quantity]]&lt;=10,"LOW STOCK",
"IN STOCK"))</f>
        <v>IN STOCK</v>
      </c>
      <c r="R11" s="1">
        <f t="shared" si="2"/>
        <v>0</v>
      </c>
      <c r="T11" t="b">
        <v>0</v>
      </c>
      <c r="U11" t="str">
        <f t="shared" si="3"/>
        <v>No Return</v>
      </c>
    </row>
    <row r="12" spans="1:24" hidden="1" x14ac:dyDescent="0.3">
      <c r="A12" t="s">
        <v>50</v>
      </c>
      <c r="B12" t="s">
        <v>21</v>
      </c>
      <c r="C12" t="s">
        <v>43</v>
      </c>
      <c r="D12" t="s">
        <v>17</v>
      </c>
      <c r="E12" t="str">
        <f t="shared" si="0"/>
        <v>XS</v>
      </c>
      <c r="F12" t="s">
        <v>24</v>
      </c>
      <c r="G12" t="s">
        <v>28</v>
      </c>
      <c r="H12" s="8">
        <v>116.84</v>
      </c>
      <c r="I12" s="3">
        <f t="shared" si="1"/>
        <v>0</v>
      </c>
      <c r="J12" s="4">
        <v>0</v>
      </c>
      <c r="K12" s="11">
        <f>Table1[[#This Row],[original_price]]* (Table1[[#This Row],[Markdown percentage updated]])</f>
        <v>0</v>
      </c>
      <c r="L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" s="6">
        <v>116.84</v>
      </c>
      <c r="N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" s="7">
        <v>45772</v>
      </c>
      <c r="P12">
        <v>3</v>
      </c>
      <c r="Q12" s="17" t="str">
        <f>IF(Table1[[#This Row],[stock_quantity]]=0,"NO STOCK",
IF(Table1[[#This Row],[stock_quantity]]&lt;=10,"LOW STOCK",
"IN STOCK"))</f>
        <v>LOW STOCK</v>
      </c>
      <c r="R12" s="1">
        <f t="shared" si="2"/>
        <v>4.4000000000000004</v>
      </c>
      <c r="S12">
        <v>4.4000000000000004</v>
      </c>
      <c r="T12" t="b">
        <v>0</v>
      </c>
      <c r="U12" t="str">
        <f t="shared" si="3"/>
        <v>No Return</v>
      </c>
    </row>
    <row r="13" spans="1:24" hidden="1" x14ac:dyDescent="0.3">
      <c r="A13" t="s">
        <v>51</v>
      </c>
      <c r="B13" t="s">
        <v>30</v>
      </c>
      <c r="C13" t="s">
        <v>22</v>
      </c>
      <c r="D13" t="s">
        <v>23</v>
      </c>
      <c r="E13" t="str">
        <f t="shared" si="0"/>
        <v>M</v>
      </c>
      <c r="F13" t="s">
        <v>39</v>
      </c>
      <c r="G13" t="s">
        <v>44</v>
      </c>
      <c r="H13" s="8">
        <v>146.97999999999999</v>
      </c>
      <c r="I13" s="3">
        <f t="shared" si="1"/>
        <v>0</v>
      </c>
      <c r="J13" s="4">
        <v>0</v>
      </c>
      <c r="K13" s="11">
        <f>Table1[[#This Row],[original_price]]* (Table1[[#This Row],[Markdown percentage updated]])</f>
        <v>0</v>
      </c>
      <c r="L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" s="6">
        <v>146.97999999999999</v>
      </c>
      <c r="N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" s="7">
        <v>45875</v>
      </c>
      <c r="P13">
        <v>2</v>
      </c>
      <c r="Q13" s="17" t="str">
        <f>IF(Table1[[#This Row],[stock_quantity]]=0,"NO STOCK",
IF(Table1[[#This Row],[stock_quantity]]&lt;=10,"LOW STOCK",
"IN STOCK"))</f>
        <v>LOW STOCK</v>
      </c>
      <c r="R13" s="1">
        <f t="shared" si="2"/>
        <v>3.4</v>
      </c>
      <c r="S13">
        <v>3.4</v>
      </c>
      <c r="T13" t="b">
        <v>0</v>
      </c>
      <c r="U13" t="str">
        <f t="shared" si="3"/>
        <v>No Return</v>
      </c>
    </row>
    <row r="14" spans="1:24" hidden="1" x14ac:dyDescent="0.3">
      <c r="A14" t="s">
        <v>52</v>
      </c>
      <c r="B14" t="s">
        <v>38</v>
      </c>
      <c r="C14" t="s">
        <v>53</v>
      </c>
      <c r="D14" t="s">
        <v>17</v>
      </c>
      <c r="E14" t="str">
        <f t="shared" si="0"/>
        <v>OS</v>
      </c>
      <c r="F14" t="s">
        <v>39</v>
      </c>
      <c r="G14" t="s">
        <v>35</v>
      </c>
      <c r="H14" s="8">
        <v>37.51</v>
      </c>
      <c r="I14" s="3">
        <f t="shared" si="1"/>
        <v>0</v>
      </c>
      <c r="J14" s="4">
        <v>0</v>
      </c>
      <c r="K14" s="11">
        <f>Table1[[#This Row],[original_price]]* (Table1[[#This Row],[Markdown percentage updated]])</f>
        <v>0</v>
      </c>
      <c r="L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" s="6">
        <v>37.51</v>
      </c>
      <c r="N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" s="7">
        <v>45661</v>
      </c>
      <c r="P14">
        <v>43</v>
      </c>
      <c r="Q14" s="16" t="str">
        <f>IF(Table1[[#This Row],[stock_quantity]]=0,"NO STOCK",
IF(Table1[[#This Row],[stock_quantity]]&lt;=10,"LOW STOCK",
"IN STOCK"))</f>
        <v>IN STOCK</v>
      </c>
      <c r="R14" s="1">
        <f t="shared" si="2"/>
        <v>0</v>
      </c>
      <c r="T14" t="b">
        <v>0</v>
      </c>
      <c r="U14" t="str">
        <f t="shared" si="3"/>
        <v>No Return</v>
      </c>
    </row>
    <row r="15" spans="1:24" hidden="1" x14ac:dyDescent="0.3">
      <c r="A15" t="s">
        <v>54</v>
      </c>
      <c r="B15" t="s">
        <v>42</v>
      </c>
      <c r="C15" t="s">
        <v>22</v>
      </c>
      <c r="D15" t="s">
        <v>34</v>
      </c>
      <c r="E15" t="str">
        <f t="shared" si="0"/>
        <v>S</v>
      </c>
      <c r="F15" t="s">
        <v>55</v>
      </c>
      <c r="G15" t="s">
        <v>56</v>
      </c>
      <c r="H15" s="8">
        <v>48.15</v>
      </c>
      <c r="I15" s="3">
        <f t="shared" si="1"/>
        <v>0</v>
      </c>
      <c r="J15" s="4">
        <v>0</v>
      </c>
      <c r="K15" s="11">
        <f>Table1[[#This Row],[original_price]]* (Table1[[#This Row],[Markdown percentage updated]])</f>
        <v>0</v>
      </c>
      <c r="L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" s="6">
        <v>48.15</v>
      </c>
      <c r="N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" s="7">
        <v>45875</v>
      </c>
      <c r="P15">
        <v>39</v>
      </c>
      <c r="Q15" s="16" t="str">
        <f>IF(Table1[[#This Row],[stock_quantity]]=0,"NO STOCK",
IF(Table1[[#This Row],[stock_quantity]]&lt;=10,"LOW STOCK",
"IN STOCK"))</f>
        <v>IN STOCK</v>
      </c>
      <c r="R15" s="1">
        <f t="shared" si="2"/>
        <v>1.6</v>
      </c>
      <c r="S15">
        <v>1.6</v>
      </c>
      <c r="T15" t="b">
        <v>0</v>
      </c>
      <c r="U15" t="str">
        <f t="shared" si="3"/>
        <v>No Return</v>
      </c>
    </row>
    <row r="16" spans="1:24" hidden="1" x14ac:dyDescent="0.3">
      <c r="A16" t="s">
        <v>57</v>
      </c>
      <c r="B16" t="s">
        <v>21</v>
      </c>
      <c r="C16" t="s">
        <v>43</v>
      </c>
      <c r="D16" t="s">
        <v>23</v>
      </c>
      <c r="E16" t="str">
        <f t="shared" si="0"/>
        <v>L</v>
      </c>
      <c r="F16" t="s">
        <v>58</v>
      </c>
      <c r="G16" t="s">
        <v>56</v>
      </c>
      <c r="H16" s="8">
        <v>79.66</v>
      </c>
      <c r="I16" s="3">
        <f t="shared" si="1"/>
        <v>0</v>
      </c>
      <c r="J16" s="4">
        <v>0</v>
      </c>
      <c r="K16" s="11">
        <f>Table1[[#This Row],[original_price]]* (Table1[[#This Row],[Markdown percentage updated]])</f>
        <v>0</v>
      </c>
      <c r="L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" s="6">
        <v>79.66</v>
      </c>
      <c r="N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" s="7">
        <v>45875</v>
      </c>
      <c r="P16">
        <v>7</v>
      </c>
      <c r="Q16" s="17" t="str">
        <f>IF(Table1[[#This Row],[stock_quantity]]=0,"NO STOCK",
IF(Table1[[#This Row],[stock_quantity]]&lt;=10,"LOW STOCK",
"IN STOCK"))</f>
        <v>LOW STOCK</v>
      </c>
      <c r="R16" s="1">
        <f t="shared" si="2"/>
        <v>1.7</v>
      </c>
      <c r="S16">
        <v>1.7</v>
      </c>
      <c r="T16" t="b">
        <v>0</v>
      </c>
      <c r="U16" t="str">
        <f t="shared" si="3"/>
        <v>No Return</v>
      </c>
    </row>
    <row r="17" spans="1:22" hidden="1" x14ac:dyDescent="0.3">
      <c r="A17" t="s">
        <v>59</v>
      </c>
      <c r="B17" t="s">
        <v>27</v>
      </c>
      <c r="C17" t="s">
        <v>43</v>
      </c>
      <c r="D17" t="s">
        <v>23</v>
      </c>
      <c r="E17" t="str">
        <f t="shared" si="0"/>
        <v>M</v>
      </c>
      <c r="G17" t="s">
        <v>46</v>
      </c>
      <c r="H17" s="8">
        <v>67.569999999999993</v>
      </c>
      <c r="I17" s="3">
        <f t="shared" si="1"/>
        <v>0</v>
      </c>
      <c r="J17" s="4">
        <v>0</v>
      </c>
      <c r="K17" s="11">
        <f>Table1[[#This Row],[original_price]]* (Table1[[#This Row],[Markdown percentage updated]])</f>
        <v>0</v>
      </c>
      <c r="L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" s="6">
        <v>67.569999999999993</v>
      </c>
      <c r="N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" s="7">
        <v>45875</v>
      </c>
      <c r="P17">
        <v>17</v>
      </c>
      <c r="Q17" s="16" t="str">
        <f>IF(Table1[[#This Row],[stock_quantity]]=0,"NO STOCK",
IF(Table1[[#This Row],[stock_quantity]]&lt;=10,"LOW STOCK",
"IN STOCK"))</f>
        <v>IN STOCK</v>
      </c>
      <c r="R17" s="1">
        <f t="shared" si="2"/>
        <v>2.4</v>
      </c>
      <c r="S17">
        <v>2.4</v>
      </c>
      <c r="T17" t="b">
        <v>0</v>
      </c>
      <c r="U17" t="str">
        <f t="shared" si="3"/>
        <v>No Return</v>
      </c>
    </row>
    <row r="18" spans="1:22" hidden="1" x14ac:dyDescent="0.3">
      <c r="A18" t="s">
        <v>60</v>
      </c>
      <c r="B18" t="s">
        <v>30</v>
      </c>
      <c r="C18" t="s">
        <v>61</v>
      </c>
      <c r="D18" t="s">
        <v>62</v>
      </c>
      <c r="E18" t="str">
        <f t="shared" si="0"/>
        <v>XXL</v>
      </c>
      <c r="F18" t="s">
        <v>39</v>
      </c>
      <c r="G18" t="s">
        <v>56</v>
      </c>
      <c r="H18" s="8">
        <v>123.53</v>
      </c>
      <c r="I18" s="3">
        <f t="shared" si="1"/>
        <v>0</v>
      </c>
      <c r="J18" s="4">
        <v>0</v>
      </c>
      <c r="K18" s="11">
        <f>Table1[[#This Row],[original_price]]* (Table1[[#This Row],[Markdown percentage updated]])</f>
        <v>0</v>
      </c>
      <c r="L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" s="6">
        <v>123.53</v>
      </c>
      <c r="N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" s="7">
        <v>45875</v>
      </c>
      <c r="P18">
        <v>14</v>
      </c>
      <c r="Q18" s="16" t="str">
        <f>IF(Table1[[#This Row],[stock_quantity]]=0,"NO STOCK",
IF(Table1[[#This Row],[stock_quantity]]&lt;=10,"LOW STOCK",
"IN STOCK"))</f>
        <v>IN STOCK</v>
      </c>
      <c r="R18" s="1">
        <f t="shared" si="2"/>
        <v>4.5999999999999996</v>
      </c>
      <c r="S18">
        <v>4.5999999999999996</v>
      </c>
      <c r="T18" t="b">
        <v>0</v>
      </c>
      <c r="U18" t="str">
        <f t="shared" si="3"/>
        <v>No Return</v>
      </c>
    </row>
    <row r="19" spans="1:22" hidden="1" x14ac:dyDescent="0.3">
      <c r="A19" t="s">
        <v>63</v>
      </c>
      <c r="B19" t="s">
        <v>21</v>
      </c>
      <c r="C19" t="s">
        <v>53</v>
      </c>
      <c r="D19" t="s">
        <v>23</v>
      </c>
      <c r="E19" t="str">
        <f t="shared" si="0"/>
        <v>L</v>
      </c>
      <c r="F19" t="s">
        <v>24</v>
      </c>
      <c r="G19" t="s">
        <v>64</v>
      </c>
      <c r="H19" s="8">
        <v>102.35</v>
      </c>
      <c r="I19" s="3">
        <f t="shared" si="1"/>
        <v>0</v>
      </c>
      <c r="J19" s="4">
        <v>0</v>
      </c>
      <c r="K19" s="11">
        <f>Table1[[#This Row],[original_price]]* (Table1[[#This Row],[Markdown percentage updated]])</f>
        <v>0</v>
      </c>
      <c r="L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" s="6">
        <v>102.35</v>
      </c>
      <c r="N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" s="7">
        <v>45875</v>
      </c>
      <c r="P19">
        <v>14</v>
      </c>
      <c r="Q19" s="16" t="str">
        <f>IF(Table1[[#This Row],[stock_quantity]]=0,"NO STOCK",
IF(Table1[[#This Row],[stock_quantity]]&lt;=10,"LOW STOCK",
"IN STOCK"))</f>
        <v>IN STOCK</v>
      </c>
      <c r="R19" s="1">
        <f t="shared" si="2"/>
        <v>3.5</v>
      </c>
      <c r="S19">
        <v>3.5</v>
      </c>
      <c r="T19" t="b">
        <v>0</v>
      </c>
      <c r="U19" t="str">
        <f t="shared" si="3"/>
        <v>No Return</v>
      </c>
    </row>
    <row r="20" spans="1:22" hidden="1" x14ac:dyDescent="0.3">
      <c r="A20" t="s">
        <v>65</v>
      </c>
      <c r="B20" t="s">
        <v>15</v>
      </c>
      <c r="C20" t="s">
        <v>43</v>
      </c>
      <c r="D20" t="s">
        <v>62</v>
      </c>
      <c r="E20" t="str">
        <f t="shared" si="0"/>
        <v>OS</v>
      </c>
      <c r="F20" t="s">
        <v>58</v>
      </c>
      <c r="G20" t="s">
        <v>66</v>
      </c>
      <c r="H20" s="8">
        <v>137.94999999999999</v>
      </c>
      <c r="I20" s="3">
        <f t="shared" si="1"/>
        <v>0.58499999999999996</v>
      </c>
      <c r="J20" s="4">
        <v>58.5</v>
      </c>
      <c r="K20" s="11">
        <f>Table1[[#This Row],[original_price]]* (Table1[[#This Row],[Markdown percentage updated]])</f>
        <v>80.700749999999985</v>
      </c>
      <c r="L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" s="6">
        <v>57.25</v>
      </c>
      <c r="N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" s="7">
        <v>45875</v>
      </c>
      <c r="P20">
        <v>16</v>
      </c>
      <c r="Q20" s="16" t="str">
        <f>IF(Table1[[#This Row],[stock_quantity]]=0,"NO STOCK",
IF(Table1[[#This Row],[stock_quantity]]&lt;=10,"LOW STOCK",
"IN STOCK"))</f>
        <v>IN STOCK</v>
      </c>
      <c r="R20" s="1">
        <f t="shared" si="2"/>
        <v>4.0999999999999996</v>
      </c>
      <c r="S20">
        <v>4.0999999999999996</v>
      </c>
      <c r="T20" t="b">
        <v>0</v>
      </c>
      <c r="U20" t="str">
        <f t="shared" si="3"/>
        <v>No Return</v>
      </c>
    </row>
    <row r="21" spans="1:22" hidden="1" x14ac:dyDescent="0.3">
      <c r="A21" t="s">
        <v>67</v>
      </c>
      <c r="B21" t="s">
        <v>15</v>
      </c>
      <c r="C21" t="s">
        <v>32</v>
      </c>
      <c r="D21" t="s">
        <v>62</v>
      </c>
      <c r="E21" t="str">
        <f t="shared" si="0"/>
        <v>OS</v>
      </c>
      <c r="F21" t="s">
        <v>49</v>
      </c>
      <c r="G21" t="s">
        <v>40</v>
      </c>
      <c r="H21" s="8">
        <v>142.59</v>
      </c>
      <c r="I21" s="3">
        <f t="shared" si="1"/>
        <v>0</v>
      </c>
      <c r="J21" s="4">
        <v>0</v>
      </c>
      <c r="K21" s="11">
        <f>Table1[[#This Row],[original_price]]* (Table1[[#This Row],[Markdown percentage updated]])</f>
        <v>0</v>
      </c>
      <c r="L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" s="6">
        <v>142.59</v>
      </c>
      <c r="N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" s="7">
        <v>45875</v>
      </c>
      <c r="P21">
        <v>1</v>
      </c>
      <c r="Q21" s="17" t="str">
        <f>IF(Table1[[#This Row],[stock_quantity]]=0,"NO STOCK",
IF(Table1[[#This Row],[stock_quantity]]&lt;=10,"LOW STOCK",
"IN STOCK"))</f>
        <v>LOW STOCK</v>
      </c>
      <c r="R21" s="1">
        <f t="shared" si="2"/>
        <v>3.7</v>
      </c>
      <c r="S21">
        <v>3.7</v>
      </c>
      <c r="T21" t="b">
        <v>0</v>
      </c>
      <c r="U21" t="str">
        <f t="shared" si="3"/>
        <v>No Return</v>
      </c>
    </row>
    <row r="22" spans="1:22" hidden="1" x14ac:dyDescent="0.3">
      <c r="A22" t="s">
        <v>68</v>
      </c>
      <c r="B22" t="s">
        <v>38</v>
      </c>
      <c r="C22" t="s">
        <v>43</v>
      </c>
      <c r="D22" t="s">
        <v>34</v>
      </c>
      <c r="E22" t="str">
        <f t="shared" si="0"/>
        <v>XL</v>
      </c>
      <c r="F22" t="s">
        <v>24</v>
      </c>
      <c r="G22" t="s">
        <v>56</v>
      </c>
      <c r="H22" s="8">
        <v>33.33</v>
      </c>
      <c r="I22" s="3">
        <f t="shared" si="1"/>
        <v>0.218</v>
      </c>
      <c r="J22" s="4">
        <v>21.8</v>
      </c>
      <c r="K22" s="11">
        <f>Table1[[#This Row],[original_price]]* (Table1[[#This Row],[Markdown percentage updated]])</f>
        <v>7.2659399999999996</v>
      </c>
      <c r="L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2" s="6">
        <v>26.06</v>
      </c>
      <c r="N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2" s="7">
        <v>45875</v>
      </c>
      <c r="P22">
        <v>42</v>
      </c>
      <c r="Q22" s="16" t="str">
        <f>IF(Table1[[#This Row],[stock_quantity]]=0,"NO STOCK",
IF(Table1[[#This Row],[stock_quantity]]&lt;=10,"LOW STOCK",
"IN STOCK"))</f>
        <v>IN STOCK</v>
      </c>
      <c r="R22" s="1">
        <f t="shared" si="2"/>
        <v>0</v>
      </c>
      <c r="T22" t="b">
        <v>0</v>
      </c>
      <c r="U22" t="str">
        <f t="shared" si="3"/>
        <v>No Return</v>
      </c>
    </row>
    <row r="23" spans="1:22" hidden="1" x14ac:dyDescent="0.3">
      <c r="A23" t="s">
        <v>69</v>
      </c>
      <c r="B23" t="s">
        <v>27</v>
      </c>
      <c r="C23" t="s">
        <v>16</v>
      </c>
      <c r="D23" t="s">
        <v>17</v>
      </c>
      <c r="E23" t="str">
        <f t="shared" si="0"/>
        <v>XS</v>
      </c>
      <c r="G23" t="s">
        <v>70</v>
      </c>
      <c r="H23" s="8">
        <v>62.3</v>
      </c>
      <c r="I23" s="3">
        <f t="shared" si="1"/>
        <v>0</v>
      </c>
      <c r="J23" s="4">
        <v>0</v>
      </c>
      <c r="K23" s="11">
        <f>Table1[[#This Row],[original_price]]* (Table1[[#This Row],[Markdown percentage updated]])</f>
        <v>0</v>
      </c>
      <c r="L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3" s="6">
        <v>62.3</v>
      </c>
      <c r="N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3" s="7">
        <v>45559</v>
      </c>
      <c r="P23">
        <v>10</v>
      </c>
      <c r="Q23" s="17" t="str">
        <f>IF(Table1[[#This Row],[stock_quantity]]=0,"NO STOCK",
IF(Table1[[#This Row],[stock_quantity]]&lt;=10,"LOW STOCK",
"IN STOCK"))</f>
        <v>LOW STOCK</v>
      </c>
      <c r="R23" s="1">
        <f t="shared" si="2"/>
        <v>2.5</v>
      </c>
      <c r="S23">
        <v>2.5</v>
      </c>
      <c r="T23" t="b">
        <v>0</v>
      </c>
      <c r="U23" t="str">
        <f t="shared" si="3"/>
        <v>No Return</v>
      </c>
    </row>
    <row r="24" spans="1:22" hidden="1" x14ac:dyDescent="0.3">
      <c r="A24" t="s">
        <v>71</v>
      </c>
      <c r="B24" t="s">
        <v>27</v>
      </c>
      <c r="C24" t="s">
        <v>16</v>
      </c>
      <c r="D24" t="s">
        <v>23</v>
      </c>
      <c r="E24" t="str">
        <f t="shared" si="0"/>
        <v>M</v>
      </c>
      <c r="G24" t="s">
        <v>25</v>
      </c>
      <c r="H24" s="8">
        <v>38.479999999999997</v>
      </c>
      <c r="I24" s="3">
        <f t="shared" si="1"/>
        <v>0</v>
      </c>
      <c r="J24" s="4">
        <v>0</v>
      </c>
      <c r="K24" s="11">
        <f>Table1[[#This Row],[original_price]]* (Table1[[#This Row],[Markdown percentage updated]])</f>
        <v>0</v>
      </c>
      <c r="L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4" s="6">
        <v>38.479999999999997</v>
      </c>
      <c r="N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4" s="7">
        <v>45875</v>
      </c>
      <c r="P24">
        <v>46</v>
      </c>
      <c r="Q24" s="16" t="str">
        <f>IF(Table1[[#This Row],[stock_quantity]]=0,"NO STOCK",
IF(Table1[[#This Row],[stock_quantity]]&lt;=10,"LOW STOCK",
"IN STOCK"))</f>
        <v>IN STOCK</v>
      </c>
      <c r="R24" s="1">
        <f t="shared" si="2"/>
        <v>1.2</v>
      </c>
      <c r="S24">
        <v>1.2</v>
      </c>
      <c r="T24" t="b">
        <v>0</v>
      </c>
      <c r="U24" t="str">
        <f t="shared" si="3"/>
        <v>No Return</v>
      </c>
    </row>
    <row r="25" spans="1:22" hidden="1" x14ac:dyDescent="0.3">
      <c r="A25" t="s">
        <v>72</v>
      </c>
      <c r="B25" t="s">
        <v>42</v>
      </c>
      <c r="C25" t="s">
        <v>32</v>
      </c>
      <c r="D25" t="s">
        <v>62</v>
      </c>
      <c r="E25" t="str">
        <f t="shared" si="0"/>
        <v>L</v>
      </c>
      <c r="F25" t="s">
        <v>18</v>
      </c>
      <c r="G25" t="s">
        <v>46</v>
      </c>
      <c r="H25" s="8">
        <v>91.36</v>
      </c>
      <c r="I25" s="3">
        <f t="shared" si="1"/>
        <v>0</v>
      </c>
      <c r="J25" s="4">
        <v>0</v>
      </c>
      <c r="K25" s="11">
        <f>Table1[[#This Row],[original_price]]* (Table1[[#This Row],[Markdown percentage updated]])</f>
        <v>0</v>
      </c>
      <c r="L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5" s="6">
        <v>91.36</v>
      </c>
      <c r="N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5" s="7">
        <v>45875</v>
      </c>
      <c r="P25">
        <v>37</v>
      </c>
      <c r="Q25" s="16" t="str">
        <f>IF(Table1[[#This Row],[stock_quantity]]=0,"NO STOCK",
IF(Table1[[#This Row],[stock_quantity]]&lt;=10,"LOW STOCK",
"IN STOCK"))</f>
        <v>IN STOCK</v>
      </c>
      <c r="R25" s="1">
        <f t="shared" si="2"/>
        <v>1.2</v>
      </c>
      <c r="S25">
        <v>1.2</v>
      </c>
      <c r="T25" t="b">
        <v>1</v>
      </c>
      <c r="U25" s="13" t="str">
        <f t="shared" si="3"/>
        <v>Size Issue</v>
      </c>
      <c r="V25" t="s">
        <v>73</v>
      </c>
    </row>
    <row r="26" spans="1:22" hidden="1" x14ac:dyDescent="0.3">
      <c r="A26" t="s">
        <v>74</v>
      </c>
      <c r="B26" t="s">
        <v>21</v>
      </c>
      <c r="C26" t="s">
        <v>75</v>
      </c>
      <c r="D26" t="s">
        <v>34</v>
      </c>
      <c r="E26" t="str">
        <f t="shared" si="0"/>
        <v>M</v>
      </c>
      <c r="F26" t="s">
        <v>55</v>
      </c>
      <c r="G26" t="s">
        <v>44</v>
      </c>
      <c r="H26" s="8">
        <v>80.47</v>
      </c>
      <c r="I26" s="3">
        <f t="shared" si="1"/>
        <v>0.29100000000000004</v>
      </c>
      <c r="J26" s="4">
        <v>29.1</v>
      </c>
      <c r="K26" s="11">
        <f>Table1[[#This Row],[original_price]]* (Table1[[#This Row],[Markdown percentage updated]])</f>
        <v>23.416770000000003</v>
      </c>
      <c r="L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6" s="6">
        <v>57.05</v>
      </c>
      <c r="N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6" s="7">
        <v>45875</v>
      </c>
      <c r="P26">
        <v>38</v>
      </c>
      <c r="Q26" s="16" t="str">
        <f>IF(Table1[[#This Row],[stock_quantity]]=0,"NO STOCK",
IF(Table1[[#This Row],[stock_quantity]]&lt;=10,"LOW STOCK",
"IN STOCK"))</f>
        <v>IN STOCK</v>
      </c>
      <c r="R26" s="1">
        <f t="shared" si="2"/>
        <v>3.6</v>
      </c>
      <c r="S26">
        <v>3.6</v>
      </c>
      <c r="T26" t="b">
        <v>0</v>
      </c>
      <c r="U26" t="str">
        <f t="shared" si="3"/>
        <v>No Return</v>
      </c>
    </row>
    <row r="27" spans="1:22" hidden="1" x14ac:dyDescent="0.3">
      <c r="A27" t="s">
        <v>76</v>
      </c>
      <c r="B27" t="s">
        <v>38</v>
      </c>
      <c r="C27" t="s">
        <v>22</v>
      </c>
      <c r="D27" t="s">
        <v>17</v>
      </c>
      <c r="E27" t="str">
        <f t="shared" si="0"/>
        <v>L</v>
      </c>
      <c r="F27" t="s">
        <v>58</v>
      </c>
      <c r="G27" t="s">
        <v>19</v>
      </c>
      <c r="H27" s="8">
        <v>40.89</v>
      </c>
      <c r="I27" s="3">
        <f t="shared" si="1"/>
        <v>0.34</v>
      </c>
      <c r="J27" s="4">
        <v>34</v>
      </c>
      <c r="K27" s="11">
        <f>Table1[[#This Row],[original_price]]* (Table1[[#This Row],[Markdown percentage updated]])</f>
        <v>13.902600000000001</v>
      </c>
      <c r="L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7" s="6">
        <v>26.99</v>
      </c>
      <c r="N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7" s="7">
        <v>45819</v>
      </c>
      <c r="P27">
        <v>16</v>
      </c>
      <c r="Q27" s="16" t="str">
        <f>IF(Table1[[#This Row],[stock_quantity]]=0,"NO STOCK",
IF(Table1[[#This Row],[stock_quantity]]&lt;=10,"LOW STOCK",
"IN STOCK"))</f>
        <v>IN STOCK</v>
      </c>
      <c r="R27" s="1">
        <f t="shared" si="2"/>
        <v>3.7</v>
      </c>
      <c r="S27">
        <v>3.7</v>
      </c>
      <c r="T27" t="b">
        <v>0</v>
      </c>
      <c r="U27" t="str">
        <f t="shared" si="3"/>
        <v>No Return</v>
      </c>
    </row>
    <row r="28" spans="1:22" hidden="1" x14ac:dyDescent="0.3">
      <c r="A28" t="s">
        <v>77</v>
      </c>
      <c r="B28" t="s">
        <v>38</v>
      </c>
      <c r="C28" t="s">
        <v>32</v>
      </c>
      <c r="D28" t="s">
        <v>62</v>
      </c>
      <c r="E28" t="str">
        <f t="shared" si="0"/>
        <v>XL</v>
      </c>
      <c r="F28" t="s">
        <v>24</v>
      </c>
      <c r="G28" t="s">
        <v>19</v>
      </c>
      <c r="H28" s="8">
        <v>47.04</v>
      </c>
      <c r="I28" s="3">
        <f t="shared" si="1"/>
        <v>0.36</v>
      </c>
      <c r="J28" s="4">
        <v>36</v>
      </c>
      <c r="K28" s="11">
        <f>Table1[[#This Row],[original_price]]* (Table1[[#This Row],[Markdown percentage updated]])</f>
        <v>16.9344</v>
      </c>
      <c r="L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8" s="6">
        <v>30.11</v>
      </c>
      <c r="N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8" s="7">
        <v>45875</v>
      </c>
      <c r="P28">
        <v>25</v>
      </c>
      <c r="Q28" s="16" t="str">
        <f>IF(Table1[[#This Row],[stock_quantity]]=0,"NO STOCK",
IF(Table1[[#This Row],[stock_quantity]]&lt;=10,"LOW STOCK",
"IN STOCK"))</f>
        <v>IN STOCK</v>
      </c>
      <c r="R28" s="1">
        <f t="shared" si="2"/>
        <v>1.1000000000000001</v>
      </c>
      <c r="S28">
        <v>1.1000000000000001</v>
      </c>
      <c r="T28" t="b">
        <v>1</v>
      </c>
      <c r="U28" s="13" t="str">
        <f t="shared" si="3"/>
        <v>Damaged</v>
      </c>
      <c r="V28" t="s">
        <v>78</v>
      </c>
    </row>
    <row r="29" spans="1:22" hidden="1" x14ac:dyDescent="0.3">
      <c r="A29" t="s">
        <v>79</v>
      </c>
      <c r="B29" t="s">
        <v>38</v>
      </c>
      <c r="C29" t="s">
        <v>61</v>
      </c>
      <c r="D29" t="s">
        <v>62</v>
      </c>
      <c r="E29" t="str">
        <f t="shared" si="0"/>
        <v>S</v>
      </c>
      <c r="F29" t="s">
        <v>58</v>
      </c>
      <c r="G29" t="s">
        <v>44</v>
      </c>
      <c r="H29" s="8">
        <v>53.37</v>
      </c>
      <c r="I29" s="3">
        <f t="shared" si="1"/>
        <v>0</v>
      </c>
      <c r="J29" s="4">
        <v>0</v>
      </c>
      <c r="K29" s="11">
        <f>Table1[[#This Row],[original_price]]* (Table1[[#This Row],[Markdown percentage updated]])</f>
        <v>0</v>
      </c>
      <c r="L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9" s="6">
        <v>53.37</v>
      </c>
      <c r="N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9" s="7">
        <v>45875</v>
      </c>
      <c r="P29">
        <v>28</v>
      </c>
      <c r="Q29" s="16" t="str">
        <f>IF(Table1[[#This Row],[stock_quantity]]=0,"NO STOCK",
IF(Table1[[#This Row],[stock_quantity]]&lt;=10,"LOW STOCK",
"IN STOCK"))</f>
        <v>IN STOCK</v>
      </c>
      <c r="R29" s="1">
        <f t="shared" si="2"/>
        <v>3.8</v>
      </c>
      <c r="S29">
        <v>3.8</v>
      </c>
      <c r="T29" t="b">
        <v>0</v>
      </c>
      <c r="U29" t="str">
        <f t="shared" si="3"/>
        <v>No Return</v>
      </c>
    </row>
    <row r="30" spans="1:22" hidden="1" x14ac:dyDescent="0.3">
      <c r="A30" t="s">
        <v>80</v>
      </c>
      <c r="B30" t="s">
        <v>42</v>
      </c>
      <c r="C30" t="s">
        <v>53</v>
      </c>
      <c r="D30" t="s">
        <v>62</v>
      </c>
      <c r="E30" t="str">
        <f t="shared" si="0"/>
        <v>L</v>
      </c>
      <c r="F30" t="s">
        <v>24</v>
      </c>
      <c r="G30" t="s">
        <v>35</v>
      </c>
      <c r="H30" s="8">
        <v>114.35</v>
      </c>
      <c r="I30" s="3">
        <f t="shared" si="1"/>
        <v>0</v>
      </c>
      <c r="J30" s="4">
        <v>0</v>
      </c>
      <c r="K30" s="11">
        <f>Table1[[#This Row],[original_price]]* (Table1[[#This Row],[Markdown percentage updated]])</f>
        <v>0</v>
      </c>
      <c r="L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0" s="6">
        <v>114.35</v>
      </c>
      <c r="N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0" s="7">
        <v>45875</v>
      </c>
      <c r="P30">
        <v>6</v>
      </c>
      <c r="Q30" s="17" t="str">
        <f>IF(Table1[[#This Row],[stock_quantity]]=0,"NO STOCK",
IF(Table1[[#This Row],[stock_quantity]]&lt;=10,"LOW STOCK",
"IN STOCK"))</f>
        <v>LOW STOCK</v>
      </c>
      <c r="R30" s="1">
        <f t="shared" si="2"/>
        <v>1.2</v>
      </c>
      <c r="S30">
        <v>1.2</v>
      </c>
      <c r="T30" t="b">
        <v>0</v>
      </c>
      <c r="U30" t="str">
        <f t="shared" si="3"/>
        <v>No Return</v>
      </c>
    </row>
    <row r="31" spans="1:22" hidden="1" x14ac:dyDescent="0.3">
      <c r="A31" t="s">
        <v>81</v>
      </c>
      <c r="B31" t="s">
        <v>30</v>
      </c>
      <c r="C31" t="s">
        <v>61</v>
      </c>
      <c r="D31" t="s">
        <v>17</v>
      </c>
      <c r="E31" t="str">
        <f t="shared" si="0"/>
        <v>XL</v>
      </c>
      <c r="F31" t="s">
        <v>18</v>
      </c>
      <c r="G31" t="s">
        <v>19</v>
      </c>
      <c r="H31" s="8">
        <v>77.63</v>
      </c>
      <c r="I31" s="3">
        <f t="shared" si="1"/>
        <v>0</v>
      </c>
      <c r="J31" s="4">
        <v>0</v>
      </c>
      <c r="K31" s="11">
        <f>Table1[[#This Row],[original_price]]* (Table1[[#This Row],[Markdown percentage updated]])</f>
        <v>0</v>
      </c>
      <c r="L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1" s="6">
        <v>77.63</v>
      </c>
      <c r="N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1" s="7">
        <v>45589</v>
      </c>
      <c r="P31">
        <v>1</v>
      </c>
      <c r="Q31" s="17" t="str">
        <f>IF(Table1[[#This Row],[stock_quantity]]=0,"NO STOCK",
IF(Table1[[#This Row],[stock_quantity]]&lt;=10,"LOW STOCK",
"IN STOCK"))</f>
        <v>LOW STOCK</v>
      </c>
      <c r="R31" s="1">
        <f t="shared" si="2"/>
        <v>0</v>
      </c>
      <c r="T31" t="b">
        <v>0</v>
      </c>
      <c r="U31" t="str">
        <f t="shared" si="3"/>
        <v>No Return</v>
      </c>
    </row>
    <row r="32" spans="1:22" hidden="1" x14ac:dyDescent="0.3">
      <c r="A32" t="s">
        <v>82</v>
      </c>
      <c r="B32" t="s">
        <v>30</v>
      </c>
      <c r="C32" t="s">
        <v>22</v>
      </c>
      <c r="D32" t="s">
        <v>62</v>
      </c>
      <c r="E32" t="str">
        <f t="shared" si="0"/>
        <v>XL</v>
      </c>
      <c r="F32" t="s">
        <v>39</v>
      </c>
      <c r="G32" t="s">
        <v>19</v>
      </c>
      <c r="H32" s="8">
        <v>71.290000000000006</v>
      </c>
      <c r="I32" s="3">
        <f t="shared" si="1"/>
        <v>0</v>
      </c>
      <c r="J32" s="4">
        <v>0</v>
      </c>
      <c r="K32" s="11">
        <f>Table1[[#This Row],[original_price]]* (Table1[[#This Row],[Markdown percentage updated]])</f>
        <v>0</v>
      </c>
      <c r="L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2" s="6">
        <v>71.290000000000006</v>
      </c>
      <c r="N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2" s="7">
        <v>45875</v>
      </c>
      <c r="P32">
        <v>37</v>
      </c>
      <c r="Q32" s="16" t="str">
        <f>IF(Table1[[#This Row],[stock_quantity]]=0,"NO STOCK",
IF(Table1[[#This Row],[stock_quantity]]&lt;=10,"LOW STOCK",
"IN STOCK"))</f>
        <v>IN STOCK</v>
      </c>
      <c r="R32" s="1">
        <f t="shared" si="2"/>
        <v>4.0999999999999996</v>
      </c>
      <c r="S32">
        <v>4.0999999999999996</v>
      </c>
      <c r="T32" t="b">
        <v>1</v>
      </c>
      <c r="U32" s="13" t="str">
        <f t="shared" si="3"/>
        <v>Quality Issue</v>
      </c>
      <c r="V32" t="s">
        <v>83</v>
      </c>
    </row>
    <row r="33" spans="1:21" hidden="1" x14ac:dyDescent="0.3">
      <c r="A33" t="s">
        <v>84</v>
      </c>
      <c r="B33" t="s">
        <v>21</v>
      </c>
      <c r="C33" t="s">
        <v>61</v>
      </c>
      <c r="D33" t="s">
        <v>17</v>
      </c>
      <c r="E33" t="str">
        <f t="shared" si="0"/>
        <v>OS</v>
      </c>
      <c r="F33" t="s">
        <v>24</v>
      </c>
      <c r="G33" t="s">
        <v>66</v>
      </c>
      <c r="H33" s="8">
        <v>37.43</v>
      </c>
      <c r="I33" s="3">
        <f t="shared" si="1"/>
        <v>0.24399999999999999</v>
      </c>
      <c r="J33" s="4">
        <v>24.4</v>
      </c>
      <c r="K33" s="11">
        <f>Table1[[#This Row],[original_price]]* (Table1[[#This Row],[Markdown percentage updated]])</f>
        <v>9.1329200000000004</v>
      </c>
      <c r="L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33" s="6">
        <v>28.3</v>
      </c>
      <c r="N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3" s="7">
        <v>45763</v>
      </c>
      <c r="P33">
        <v>5</v>
      </c>
      <c r="Q33" s="17" t="str">
        <f>IF(Table1[[#This Row],[stock_quantity]]=0,"NO STOCK",
IF(Table1[[#This Row],[stock_quantity]]&lt;=10,"LOW STOCK",
"IN STOCK"))</f>
        <v>LOW STOCK</v>
      </c>
      <c r="R33" s="1">
        <f t="shared" si="2"/>
        <v>0</v>
      </c>
      <c r="T33" t="b">
        <v>0</v>
      </c>
      <c r="U33" t="str">
        <f t="shared" si="3"/>
        <v>No Return</v>
      </c>
    </row>
    <row r="34" spans="1:21" hidden="1" x14ac:dyDescent="0.3">
      <c r="A34" t="s">
        <v>85</v>
      </c>
      <c r="B34" t="s">
        <v>30</v>
      </c>
      <c r="C34" t="s">
        <v>16</v>
      </c>
      <c r="D34" t="s">
        <v>17</v>
      </c>
      <c r="E34" t="str">
        <f t="shared" si="0"/>
        <v>XXL</v>
      </c>
      <c r="F34" t="s">
        <v>18</v>
      </c>
      <c r="G34" t="s">
        <v>66</v>
      </c>
      <c r="H34" s="8">
        <v>143.78</v>
      </c>
      <c r="I34" s="3">
        <f t="shared" si="1"/>
        <v>0</v>
      </c>
      <c r="J34" s="4">
        <v>0</v>
      </c>
      <c r="K34" s="11">
        <f>Table1[[#This Row],[original_price]]* (Table1[[#This Row],[Markdown percentage updated]])</f>
        <v>0</v>
      </c>
      <c r="L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4" s="6">
        <v>143.78</v>
      </c>
      <c r="N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4" s="7">
        <v>45581</v>
      </c>
      <c r="P34">
        <v>43</v>
      </c>
      <c r="Q34" s="16" t="str">
        <f>IF(Table1[[#This Row],[stock_quantity]]=0,"NO STOCK",
IF(Table1[[#This Row],[stock_quantity]]&lt;=10,"LOW STOCK",
"IN STOCK"))</f>
        <v>IN STOCK</v>
      </c>
      <c r="R34" s="1">
        <f t="shared" si="2"/>
        <v>1.1000000000000001</v>
      </c>
      <c r="S34">
        <v>1.1000000000000001</v>
      </c>
      <c r="T34" t="b">
        <v>0</v>
      </c>
      <c r="U34" t="str">
        <f t="shared" si="3"/>
        <v>No Return</v>
      </c>
    </row>
    <row r="35" spans="1:21" hidden="1" x14ac:dyDescent="0.3">
      <c r="A35" t="s">
        <v>86</v>
      </c>
      <c r="B35" t="s">
        <v>21</v>
      </c>
      <c r="C35" t="s">
        <v>32</v>
      </c>
      <c r="D35" t="s">
        <v>62</v>
      </c>
      <c r="E35" t="str">
        <f t="shared" si="0"/>
        <v>XXL</v>
      </c>
      <c r="F35" t="s">
        <v>18</v>
      </c>
      <c r="G35" t="s">
        <v>40</v>
      </c>
      <c r="H35" s="8">
        <v>88.23</v>
      </c>
      <c r="I35" s="3">
        <f t="shared" si="1"/>
        <v>0</v>
      </c>
      <c r="J35" s="4">
        <v>0</v>
      </c>
      <c r="K35" s="11">
        <f>Table1[[#This Row],[original_price]]* (Table1[[#This Row],[Markdown percentage updated]])</f>
        <v>0</v>
      </c>
      <c r="L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5" s="6">
        <v>88.23</v>
      </c>
      <c r="N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5" s="7">
        <v>45875</v>
      </c>
      <c r="P35">
        <v>44</v>
      </c>
      <c r="Q35" s="16" t="str">
        <f>IF(Table1[[#This Row],[stock_quantity]]=0,"NO STOCK",
IF(Table1[[#This Row],[stock_quantity]]&lt;=10,"LOW STOCK",
"IN STOCK"))</f>
        <v>IN STOCK</v>
      </c>
      <c r="R35" s="1">
        <f t="shared" si="2"/>
        <v>1.6</v>
      </c>
      <c r="S35">
        <v>1.6</v>
      </c>
      <c r="T35" t="b">
        <v>0</v>
      </c>
      <c r="U35" t="str">
        <f t="shared" si="3"/>
        <v>No Return</v>
      </c>
    </row>
    <row r="36" spans="1:21" hidden="1" x14ac:dyDescent="0.3">
      <c r="A36" t="s">
        <v>87</v>
      </c>
      <c r="B36" t="s">
        <v>27</v>
      </c>
      <c r="C36" t="s">
        <v>75</v>
      </c>
      <c r="D36" t="s">
        <v>34</v>
      </c>
      <c r="E36" t="str">
        <f t="shared" si="0"/>
        <v>L</v>
      </c>
      <c r="G36" t="s">
        <v>64</v>
      </c>
      <c r="H36" s="8">
        <v>58.57</v>
      </c>
      <c r="I36" s="3">
        <f t="shared" si="1"/>
        <v>0</v>
      </c>
      <c r="J36" s="4">
        <v>0</v>
      </c>
      <c r="K36" s="11">
        <f>Table1[[#This Row],[original_price]]* (Table1[[#This Row],[Markdown percentage updated]])</f>
        <v>0</v>
      </c>
      <c r="L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6" s="6">
        <v>58.57</v>
      </c>
      <c r="N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6" s="7">
        <v>45875</v>
      </c>
      <c r="P36">
        <v>38</v>
      </c>
      <c r="Q36" s="16" t="str">
        <f>IF(Table1[[#This Row],[stock_quantity]]=0,"NO STOCK",
IF(Table1[[#This Row],[stock_quantity]]&lt;=10,"LOW STOCK",
"IN STOCK"))</f>
        <v>IN STOCK</v>
      </c>
      <c r="R36" s="1">
        <f t="shared" si="2"/>
        <v>1.5</v>
      </c>
      <c r="S36">
        <v>1.5</v>
      </c>
      <c r="T36" t="b">
        <v>0</v>
      </c>
      <c r="U36" t="str">
        <f t="shared" si="3"/>
        <v>No Return</v>
      </c>
    </row>
    <row r="37" spans="1:21" hidden="1" x14ac:dyDescent="0.3">
      <c r="A37" t="s">
        <v>88</v>
      </c>
      <c r="B37" t="s">
        <v>21</v>
      </c>
      <c r="C37" t="s">
        <v>22</v>
      </c>
      <c r="D37" t="s">
        <v>23</v>
      </c>
      <c r="E37" t="str">
        <f t="shared" si="0"/>
        <v>XS</v>
      </c>
      <c r="F37" t="s">
        <v>49</v>
      </c>
      <c r="G37" t="s">
        <v>35</v>
      </c>
      <c r="H37" s="8">
        <v>119.7</v>
      </c>
      <c r="I37" s="3">
        <f t="shared" si="1"/>
        <v>5.7000000000000002E-2</v>
      </c>
      <c r="J37" s="4">
        <v>5.7</v>
      </c>
      <c r="K37" s="11">
        <f>Table1[[#This Row],[original_price]]* (Table1[[#This Row],[Markdown percentage updated]])</f>
        <v>6.8229000000000006</v>
      </c>
      <c r="L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7" s="6">
        <v>112.88</v>
      </c>
      <c r="N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7" s="7">
        <v>45875</v>
      </c>
      <c r="P37">
        <v>37</v>
      </c>
      <c r="Q37" s="16" t="str">
        <f>IF(Table1[[#This Row],[stock_quantity]]=0,"NO STOCK",
IF(Table1[[#This Row],[stock_quantity]]&lt;=10,"LOW STOCK",
"IN STOCK"))</f>
        <v>IN STOCK</v>
      </c>
      <c r="R37" s="1">
        <f t="shared" si="2"/>
        <v>4.9000000000000004</v>
      </c>
      <c r="S37">
        <v>4.9000000000000004</v>
      </c>
      <c r="T37" t="b">
        <v>0</v>
      </c>
      <c r="U37" t="str">
        <f t="shared" si="3"/>
        <v>No Return</v>
      </c>
    </row>
    <row r="38" spans="1:21" hidden="1" x14ac:dyDescent="0.3">
      <c r="A38" t="s">
        <v>89</v>
      </c>
      <c r="B38" t="s">
        <v>38</v>
      </c>
      <c r="C38" t="s">
        <v>32</v>
      </c>
      <c r="D38" t="s">
        <v>34</v>
      </c>
      <c r="E38" t="str">
        <f t="shared" si="0"/>
        <v>OS</v>
      </c>
      <c r="F38" t="s">
        <v>49</v>
      </c>
      <c r="G38" t="s">
        <v>46</v>
      </c>
      <c r="H38" s="8">
        <v>97.06</v>
      </c>
      <c r="I38" s="3">
        <f t="shared" si="1"/>
        <v>0.47799999999999998</v>
      </c>
      <c r="J38" s="4">
        <v>47.8</v>
      </c>
      <c r="K38" s="11">
        <f>Table1[[#This Row],[original_price]]* (Table1[[#This Row],[Markdown percentage updated]])</f>
        <v>46.394680000000001</v>
      </c>
      <c r="L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8" s="6">
        <v>50.67</v>
      </c>
      <c r="N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8" s="7">
        <v>45875</v>
      </c>
      <c r="P38">
        <v>31</v>
      </c>
      <c r="Q38" s="16" t="str">
        <f>IF(Table1[[#This Row],[stock_quantity]]=0,"NO STOCK",
IF(Table1[[#This Row],[stock_quantity]]&lt;=10,"LOW STOCK",
"IN STOCK"))</f>
        <v>IN STOCK</v>
      </c>
      <c r="R38" s="1">
        <f t="shared" si="2"/>
        <v>4.0999999999999996</v>
      </c>
      <c r="S38">
        <v>4.0999999999999996</v>
      </c>
      <c r="T38" t="b">
        <v>0</v>
      </c>
      <c r="U38" t="str">
        <f t="shared" si="3"/>
        <v>No Return</v>
      </c>
    </row>
    <row r="39" spans="1:21" hidden="1" x14ac:dyDescent="0.3">
      <c r="A39" t="s">
        <v>90</v>
      </c>
      <c r="B39" t="s">
        <v>42</v>
      </c>
      <c r="C39" t="s">
        <v>32</v>
      </c>
      <c r="D39" t="s">
        <v>62</v>
      </c>
      <c r="E39" t="str">
        <f t="shared" si="0"/>
        <v>S</v>
      </c>
      <c r="F39" t="s">
        <v>24</v>
      </c>
      <c r="G39" t="s">
        <v>35</v>
      </c>
      <c r="H39" s="8">
        <v>110.09</v>
      </c>
      <c r="I39" s="3">
        <f t="shared" si="1"/>
        <v>0</v>
      </c>
      <c r="J39" s="4">
        <v>0</v>
      </c>
      <c r="K39" s="11">
        <f>Table1[[#This Row],[original_price]]* (Table1[[#This Row],[Markdown percentage updated]])</f>
        <v>0</v>
      </c>
      <c r="L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9" s="6">
        <v>110.09</v>
      </c>
      <c r="N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9" s="7">
        <v>45875</v>
      </c>
      <c r="P39">
        <v>32</v>
      </c>
      <c r="Q39" s="16" t="str">
        <f>IF(Table1[[#This Row],[stock_quantity]]=0,"NO STOCK",
IF(Table1[[#This Row],[stock_quantity]]&lt;=10,"LOW STOCK",
"IN STOCK"))</f>
        <v>IN STOCK</v>
      </c>
      <c r="R39" s="1">
        <f t="shared" si="2"/>
        <v>3.4</v>
      </c>
      <c r="S39">
        <v>3.4</v>
      </c>
      <c r="T39" t="b">
        <v>0</v>
      </c>
      <c r="U39" t="str">
        <f t="shared" si="3"/>
        <v>No Return</v>
      </c>
    </row>
    <row r="40" spans="1:21" hidden="1" x14ac:dyDescent="0.3">
      <c r="A40" t="s">
        <v>91</v>
      </c>
      <c r="B40" t="s">
        <v>30</v>
      </c>
      <c r="C40" t="s">
        <v>16</v>
      </c>
      <c r="D40" t="s">
        <v>23</v>
      </c>
      <c r="E40" t="str">
        <f t="shared" si="0"/>
        <v>M</v>
      </c>
      <c r="F40" t="s">
        <v>55</v>
      </c>
      <c r="G40" t="s">
        <v>46</v>
      </c>
      <c r="H40" s="8">
        <v>198.42</v>
      </c>
      <c r="I40" s="3">
        <f t="shared" si="1"/>
        <v>0.14199999999999999</v>
      </c>
      <c r="J40" s="4">
        <v>14.2</v>
      </c>
      <c r="K40" s="11">
        <f>Table1[[#This Row],[original_price]]* (Table1[[#This Row],[Markdown percentage updated]])</f>
        <v>28.175639999999994</v>
      </c>
      <c r="L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0" s="6">
        <v>170.24</v>
      </c>
      <c r="N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0" s="7">
        <v>45875</v>
      </c>
      <c r="P40">
        <v>10</v>
      </c>
      <c r="Q40" s="17" t="str">
        <f>IF(Table1[[#This Row],[stock_quantity]]=0,"NO STOCK",
IF(Table1[[#This Row],[stock_quantity]]&lt;=10,"LOW STOCK",
"IN STOCK"))</f>
        <v>LOW STOCK</v>
      </c>
      <c r="R40" s="1">
        <f t="shared" si="2"/>
        <v>0</v>
      </c>
      <c r="T40" t="b">
        <v>0</v>
      </c>
      <c r="U40" t="str">
        <f t="shared" si="3"/>
        <v>No Return</v>
      </c>
    </row>
    <row r="41" spans="1:21" hidden="1" x14ac:dyDescent="0.3">
      <c r="A41" t="s">
        <v>92</v>
      </c>
      <c r="B41" t="s">
        <v>38</v>
      </c>
      <c r="C41" t="s">
        <v>32</v>
      </c>
      <c r="D41" t="s">
        <v>23</v>
      </c>
      <c r="E41" t="str">
        <f t="shared" si="0"/>
        <v>XS</v>
      </c>
      <c r="G41" t="s">
        <v>66</v>
      </c>
      <c r="H41" s="8">
        <v>101.72</v>
      </c>
      <c r="I41" s="3">
        <f t="shared" si="1"/>
        <v>0</v>
      </c>
      <c r="J41" s="4">
        <v>0</v>
      </c>
      <c r="K41" s="11">
        <f>Table1[[#This Row],[original_price]]* (Table1[[#This Row],[Markdown percentage updated]])</f>
        <v>0</v>
      </c>
      <c r="L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1" s="6">
        <v>101.72</v>
      </c>
      <c r="N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1" s="7">
        <v>45875</v>
      </c>
      <c r="P41">
        <v>40</v>
      </c>
      <c r="Q41" s="16" t="str">
        <f>IF(Table1[[#This Row],[stock_quantity]]=0,"NO STOCK",
IF(Table1[[#This Row],[stock_quantity]]&lt;=10,"LOW STOCK",
"IN STOCK"))</f>
        <v>IN STOCK</v>
      </c>
      <c r="R41" s="1">
        <f t="shared" si="2"/>
        <v>0</v>
      </c>
      <c r="T41" t="b">
        <v>0</v>
      </c>
      <c r="U41" t="str">
        <f t="shared" si="3"/>
        <v>No Return</v>
      </c>
    </row>
    <row r="42" spans="1:21" hidden="1" x14ac:dyDescent="0.3">
      <c r="A42" t="s">
        <v>93</v>
      </c>
      <c r="B42" t="s">
        <v>21</v>
      </c>
      <c r="C42" t="s">
        <v>22</v>
      </c>
      <c r="D42" t="s">
        <v>62</v>
      </c>
      <c r="E42" t="str">
        <f t="shared" si="0"/>
        <v>XL</v>
      </c>
      <c r="F42" t="s">
        <v>39</v>
      </c>
      <c r="G42" t="s">
        <v>35</v>
      </c>
      <c r="H42" s="8">
        <v>117.86</v>
      </c>
      <c r="I42" s="3">
        <f t="shared" si="1"/>
        <v>0</v>
      </c>
      <c r="J42" s="4">
        <v>0</v>
      </c>
      <c r="K42" s="11">
        <f>Table1[[#This Row],[original_price]]* (Table1[[#This Row],[Markdown percentage updated]])</f>
        <v>0</v>
      </c>
      <c r="L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2" s="6">
        <v>117.86</v>
      </c>
      <c r="N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2" s="7">
        <v>45875</v>
      </c>
      <c r="P42">
        <v>6</v>
      </c>
      <c r="Q42" s="17" t="str">
        <f>IF(Table1[[#This Row],[stock_quantity]]=0,"NO STOCK",
IF(Table1[[#This Row],[stock_quantity]]&lt;=10,"LOW STOCK",
"IN STOCK"))</f>
        <v>LOW STOCK</v>
      </c>
      <c r="R42" s="1">
        <f t="shared" si="2"/>
        <v>0</v>
      </c>
      <c r="T42" t="b">
        <v>0</v>
      </c>
      <c r="U42" t="str">
        <f t="shared" si="3"/>
        <v>No Return</v>
      </c>
    </row>
    <row r="43" spans="1:21" hidden="1" x14ac:dyDescent="0.3">
      <c r="A43" t="s">
        <v>94</v>
      </c>
      <c r="B43" t="s">
        <v>21</v>
      </c>
      <c r="C43" t="s">
        <v>53</v>
      </c>
      <c r="D43" t="s">
        <v>62</v>
      </c>
      <c r="E43" t="str">
        <f t="shared" si="0"/>
        <v>XXL</v>
      </c>
      <c r="F43" t="s">
        <v>58</v>
      </c>
      <c r="G43" t="s">
        <v>46</v>
      </c>
      <c r="H43" s="8">
        <v>78.86</v>
      </c>
      <c r="I43" s="3">
        <f t="shared" si="1"/>
        <v>0</v>
      </c>
      <c r="J43" s="4">
        <v>0</v>
      </c>
      <c r="K43" s="11">
        <f>Table1[[#This Row],[original_price]]* (Table1[[#This Row],[Markdown percentage updated]])</f>
        <v>0</v>
      </c>
      <c r="L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3" s="6">
        <v>78.86</v>
      </c>
      <c r="N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3" s="7">
        <v>45875</v>
      </c>
      <c r="P43">
        <v>22</v>
      </c>
      <c r="Q43" s="16" t="str">
        <f>IF(Table1[[#This Row],[stock_quantity]]=0,"NO STOCK",
IF(Table1[[#This Row],[stock_quantity]]&lt;=10,"LOW STOCK",
"IN STOCK"))</f>
        <v>IN STOCK</v>
      </c>
      <c r="R43" s="1">
        <f t="shared" si="2"/>
        <v>4.3</v>
      </c>
      <c r="S43">
        <v>4.3</v>
      </c>
      <c r="T43" t="b">
        <v>0</v>
      </c>
      <c r="U43" t="str">
        <f t="shared" si="3"/>
        <v>No Return</v>
      </c>
    </row>
    <row r="44" spans="1:21" hidden="1" x14ac:dyDescent="0.3">
      <c r="A44" t="s">
        <v>95</v>
      </c>
      <c r="B44" t="s">
        <v>15</v>
      </c>
      <c r="C44" t="s">
        <v>16</v>
      </c>
      <c r="D44" t="s">
        <v>23</v>
      </c>
      <c r="E44" t="str">
        <f t="shared" si="0"/>
        <v>XL</v>
      </c>
      <c r="F44" t="s">
        <v>55</v>
      </c>
      <c r="G44" t="s">
        <v>64</v>
      </c>
      <c r="H44" s="8">
        <v>216.16</v>
      </c>
      <c r="I44" s="3">
        <f t="shared" si="1"/>
        <v>0.51400000000000001</v>
      </c>
      <c r="J44" s="4">
        <v>51.4</v>
      </c>
      <c r="K44" s="11">
        <f>Table1[[#This Row],[original_price]]* (Table1[[#This Row],[Markdown percentage updated]])</f>
        <v>111.10624</v>
      </c>
      <c r="L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4" s="6">
        <v>105.05</v>
      </c>
      <c r="N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4" s="7">
        <v>45875</v>
      </c>
      <c r="P44">
        <v>36</v>
      </c>
      <c r="Q44" s="16" t="str">
        <f>IF(Table1[[#This Row],[stock_quantity]]=0,"NO STOCK",
IF(Table1[[#This Row],[stock_quantity]]&lt;=10,"LOW STOCK",
"IN STOCK"))</f>
        <v>IN STOCK</v>
      </c>
      <c r="R44" s="1">
        <f t="shared" si="2"/>
        <v>4</v>
      </c>
      <c r="S44">
        <v>4</v>
      </c>
      <c r="T44" t="b">
        <v>0</v>
      </c>
      <c r="U44" t="str">
        <f t="shared" si="3"/>
        <v>No Return</v>
      </c>
    </row>
    <row r="45" spans="1:21" hidden="1" x14ac:dyDescent="0.3">
      <c r="A45" t="s">
        <v>96</v>
      </c>
      <c r="B45" t="s">
        <v>30</v>
      </c>
      <c r="C45" t="s">
        <v>16</v>
      </c>
      <c r="D45" t="s">
        <v>17</v>
      </c>
      <c r="E45" t="str">
        <f t="shared" si="0"/>
        <v>L</v>
      </c>
      <c r="F45" t="s">
        <v>18</v>
      </c>
      <c r="G45" t="s">
        <v>25</v>
      </c>
      <c r="H45" s="8">
        <v>129.85</v>
      </c>
      <c r="I45" s="3">
        <f t="shared" si="1"/>
        <v>0</v>
      </c>
      <c r="J45" s="4">
        <v>0</v>
      </c>
      <c r="K45" s="11">
        <f>Table1[[#This Row],[original_price]]* (Table1[[#This Row],[Markdown percentage updated]])</f>
        <v>0</v>
      </c>
      <c r="L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5" s="6">
        <v>129.85</v>
      </c>
      <c r="N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5" s="7">
        <v>45772</v>
      </c>
      <c r="P45">
        <v>36</v>
      </c>
      <c r="Q45" s="16" t="str">
        <f>IF(Table1[[#This Row],[stock_quantity]]=0,"NO STOCK",
IF(Table1[[#This Row],[stock_quantity]]&lt;=10,"LOW STOCK",
"IN STOCK"))</f>
        <v>IN STOCK</v>
      </c>
      <c r="R45" s="1">
        <f t="shared" si="2"/>
        <v>3.3</v>
      </c>
      <c r="S45">
        <v>3.3</v>
      </c>
      <c r="T45" t="b">
        <v>0</v>
      </c>
      <c r="U45" t="str">
        <f t="shared" si="3"/>
        <v>No Return</v>
      </c>
    </row>
    <row r="46" spans="1:21" hidden="1" x14ac:dyDescent="0.3">
      <c r="A46" t="s">
        <v>97</v>
      </c>
      <c r="B46" t="s">
        <v>21</v>
      </c>
      <c r="C46" t="s">
        <v>32</v>
      </c>
      <c r="D46" t="s">
        <v>23</v>
      </c>
      <c r="E46" t="str">
        <f t="shared" si="0"/>
        <v>OS</v>
      </c>
      <c r="F46" t="s">
        <v>49</v>
      </c>
      <c r="G46" t="s">
        <v>46</v>
      </c>
      <c r="H46" s="8">
        <v>111.3</v>
      </c>
      <c r="I46" s="3">
        <f t="shared" si="1"/>
        <v>0</v>
      </c>
      <c r="J46" s="4">
        <v>0</v>
      </c>
      <c r="K46" s="11">
        <f>Table1[[#This Row],[original_price]]* (Table1[[#This Row],[Markdown percentage updated]])</f>
        <v>0</v>
      </c>
      <c r="L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6" s="6">
        <v>111.3</v>
      </c>
      <c r="N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6" s="7">
        <v>45875</v>
      </c>
      <c r="P46">
        <v>11</v>
      </c>
      <c r="Q46" s="16" t="str">
        <f>IF(Table1[[#This Row],[stock_quantity]]=0,"NO STOCK",
IF(Table1[[#This Row],[stock_quantity]]&lt;=10,"LOW STOCK",
"IN STOCK"))</f>
        <v>IN STOCK</v>
      </c>
      <c r="R46" s="1">
        <f t="shared" si="2"/>
        <v>1.7</v>
      </c>
      <c r="S46">
        <v>1.7</v>
      </c>
      <c r="T46" t="b">
        <v>0</v>
      </c>
      <c r="U46" t="str">
        <f t="shared" si="3"/>
        <v>No Return</v>
      </c>
    </row>
    <row r="47" spans="1:21" hidden="1" x14ac:dyDescent="0.3">
      <c r="A47" t="s">
        <v>98</v>
      </c>
      <c r="B47" t="s">
        <v>42</v>
      </c>
      <c r="C47" t="s">
        <v>22</v>
      </c>
      <c r="D47" t="s">
        <v>62</v>
      </c>
      <c r="E47" t="str">
        <f t="shared" si="0"/>
        <v>XL</v>
      </c>
      <c r="F47" t="s">
        <v>18</v>
      </c>
      <c r="G47" t="s">
        <v>70</v>
      </c>
      <c r="H47" s="8">
        <v>73.650000000000006</v>
      </c>
      <c r="I47" s="3">
        <f t="shared" si="1"/>
        <v>0</v>
      </c>
      <c r="J47" s="4">
        <v>0</v>
      </c>
      <c r="K47" s="11">
        <f>Table1[[#This Row],[original_price]]* (Table1[[#This Row],[Markdown percentage updated]])</f>
        <v>0</v>
      </c>
      <c r="L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7" s="6">
        <v>73.650000000000006</v>
      </c>
      <c r="N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7" s="7">
        <v>45875</v>
      </c>
      <c r="P47">
        <v>33</v>
      </c>
      <c r="Q47" s="16" t="str">
        <f>IF(Table1[[#This Row],[stock_quantity]]=0,"NO STOCK",
IF(Table1[[#This Row],[stock_quantity]]&lt;=10,"LOW STOCK",
"IN STOCK"))</f>
        <v>IN STOCK</v>
      </c>
      <c r="R47" s="1">
        <f t="shared" si="2"/>
        <v>3.6</v>
      </c>
      <c r="S47">
        <v>3.6</v>
      </c>
      <c r="T47" t="b">
        <v>0</v>
      </c>
      <c r="U47" t="str">
        <f t="shared" si="3"/>
        <v>No Return</v>
      </c>
    </row>
    <row r="48" spans="1:21" hidden="1" x14ac:dyDescent="0.3">
      <c r="A48" t="s">
        <v>99</v>
      </c>
      <c r="B48" t="s">
        <v>30</v>
      </c>
      <c r="C48" t="s">
        <v>43</v>
      </c>
      <c r="D48" t="s">
        <v>62</v>
      </c>
      <c r="E48" t="str">
        <f t="shared" si="0"/>
        <v>OS</v>
      </c>
      <c r="F48" t="s">
        <v>24</v>
      </c>
      <c r="G48" t="s">
        <v>25</v>
      </c>
      <c r="H48" s="8">
        <v>147.13</v>
      </c>
      <c r="I48" s="3">
        <f t="shared" si="1"/>
        <v>0.30299999999999999</v>
      </c>
      <c r="J48" s="4">
        <v>30.3</v>
      </c>
      <c r="K48" s="11">
        <f>Table1[[#This Row],[original_price]]* (Table1[[#This Row],[Markdown percentage updated]])</f>
        <v>44.580389999999994</v>
      </c>
      <c r="L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8" s="6">
        <v>102.55</v>
      </c>
      <c r="N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8" s="7">
        <v>45875</v>
      </c>
      <c r="P48">
        <v>13</v>
      </c>
      <c r="Q48" s="16" t="str">
        <f>IF(Table1[[#This Row],[stock_quantity]]=0,"NO STOCK",
IF(Table1[[#This Row],[stock_quantity]]&lt;=10,"LOW STOCK",
"IN STOCK"))</f>
        <v>IN STOCK</v>
      </c>
      <c r="R48" s="1">
        <f t="shared" si="2"/>
        <v>4.4000000000000004</v>
      </c>
      <c r="S48">
        <v>4.4000000000000004</v>
      </c>
      <c r="T48" t="b">
        <v>0</v>
      </c>
      <c r="U48" t="str">
        <f t="shared" si="3"/>
        <v>No Return</v>
      </c>
    </row>
    <row r="49" spans="1:22" hidden="1" x14ac:dyDescent="0.3">
      <c r="A49" t="s">
        <v>100</v>
      </c>
      <c r="B49" t="s">
        <v>27</v>
      </c>
      <c r="C49" t="s">
        <v>53</v>
      </c>
      <c r="D49" t="s">
        <v>23</v>
      </c>
      <c r="E49" t="str">
        <f t="shared" si="0"/>
        <v>M</v>
      </c>
      <c r="G49" t="s">
        <v>46</v>
      </c>
      <c r="H49" s="8">
        <v>44.6</v>
      </c>
      <c r="I49" s="3">
        <f t="shared" si="1"/>
        <v>0.53900000000000003</v>
      </c>
      <c r="J49" s="4">
        <v>53.9</v>
      </c>
      <c r="K49" s="11">
        <f>Table1[[#This Row],[original_price]]* (Table1[[#This Row],[Markdown percentage updated]])</f>
        <v>24.039400000000001</v>
      </c>
      <c r="L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9" s="6">
        <v>20.56</v>
      </c>
      <c r="N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9" s="7">
        <v>45875</v>
      </c>
      <c r="P49">
        <v>42</v>
      </c>
      <c r="Q49" s="16" t="str">
        <f>IF(Table1[[#This Row],[stock_quantity]]=0,"NO STOCK",
IF(Table1[[#This Row],[stock_quantity]]&lt;=10,"LOW STOCK",
"IN STOCK"))</f>
        <v>IN STOCK</v>
      </c>
      <c r="R49" s="1">
        <f t="shared" si="2"/>
        <v>2.4</v>
      </c>
      <c r="S49">
        <v>2.4</v>
      </c>
      <c r="T49" t="b">
        <v>0</v>
      </c>
      <c r="U49" t="str">
        <f t="shared" si="3"/>
        <v>No Return</v>
      </c>
    </row>
    <row r="50" spans="1:22" hidden="1" x14ac:dyDescent="0.3">
      <c r="A50" t="s">
        <v>101</v>
      </c>
      <c r="B50" t="s">
        <v>38</v>
      </c>
      <c r="C50" t="s">
        <v>75</v>
      </c>
      <c r="D50" t="s">
        <v>62</v>
      </c>
      <c r="E50" t="str">
        <f t="shared" si="0"/>
        <v>S</v>
      </c>
      <c r="F50" t="s">
        <v>18</v>
      </c>
      <c r="G50" t="s">
        <v>35</v>
      </c>
      <c r="H50" s="8">
        <v>101.8</v>
      </c>
      <c r="I50" s="3">
        <f t="shared" si="1"/>
        <v>0</v>
      </c>
      <c r="J50" s="4">
        <v>0</v>
      </c>
      <c r="K50" s="11">
        <f>Table1[[#This Row],[original_price]]* (Table1[[#This Row],[Markdown percentage updated]])</f>
        <v>0</v>
      </c>
      <c r="L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0" s="6">
        <v>101.8</v>
      </c>
      <c r="N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0" s="7">
        <v>45875</v>
      </c>
      <c r="P50">
        <v>7</v>
      </c>
      <c r="Q50" s="17" t="str">
        <f>IF(Table1[[#This Row],[stock_quantity]]=0,"NO STOCK",
IF(Table1[[#This Row],[stock_quantity]]&lt;=10,"LOW STOCK",
"IN STOCK"))</f>
        <v>LOW STOCK</v>
      </c>
      <c r="R50" s="1">
        <f t="shared" si="2"/>
        <v>2.8</v>
      </c>
      <c r="S50">
        <v>2.8</v>
      </c>
      <c r="T50" t="b">
        <v>0</v>
      </c>
      <c r="U50" t="str">
        <f t="shared" si="3"/>
        <v>No Return</v>
      </c>
    </row>
    <row r="51" spans="1:22" hidden="1" x14ac:dyDescent="0.3">
      <c r="A51" t="s">
        <v>102</v>
      </c>
      <c r="B51" t="s">
        <v>27</v>
      </c>
      <c r="C51" t="s">
        <v>32</v>
      </c>
      <c r="D51" t="s">
        <v>62</v>
      </c>
      <c r="E51" t="str">
        <f t="shared" si="0"/>
        <v>S</v>
      </c>
      <c r="G51" t="s">
        <v>70</v>
      </c>
      <c r="H51" s="8">
        <v>16.52</v>
      </c>
      <c r="I51" s="3">
        <f t="shared" si="1"/>
        <v>0.55899999999999994</v>
      </c>
      <c r="J51" s="4">
        <v>55.9</v>
      </c>
      <c r="K51" s="11">
        <f>Table1[[#This Row],[original_price]]* (Table1[[#This Row],[Markdown percentage updated]])</f>
        <v>9.2346799999999991</v>
      </c>
      <c r="L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1" s="6">
        <v>7.29</v>
      </c>
      <c r="N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51" s="7">
        <v>45875</v>
      </c>
      <c r="P51">
        <v>43</v>
      </c>
      <c r="Q51" s="16" t="str">
        <f>IF(Table1[[#This Row],[stock_quantity]]=0,"NO STOCK",
IF(Table1[[#This Row],[stock_quantity]]&lt;=10,"LOW STOCK",
"IN STOCK"))</f>
        <v>IN STOCK</v>
      </c>
      <c r="R51" s="1">
        <f t="shared" si="2"/>
        <v>0</v>
      </c>
      <c r="T51" t="b">
        <v>0</v>
      </c>
      <c r="U51" t="str">
        <f t="shared" si="3"/>
        <v>No Return</v>
      </c>
    </row>
    <row r="52" spans="1:22" hidden="1" x14ac:dyDescent="0.3">
      <c r="A52" t="s">
        <v>103</v>
      </c>
      <c r="B52" t="s">
        <v>38</v>
      </c>
      <c r="C52" t="s">
        <v>48</v>
      </c>
      <c r="D52" t="s">
        <v>34</v>
      </c>
      <c r="E52" t="str">
        <f t="shared" si="0"/>
        <v>S</v>
      </c>
      <c r="F52" t="s">
        <v>58</v>
      </c>
      <c r="G52" t="s">
        <v>56</v>
      </c>
      <c r="H52" s="8">
        <v>50.91</v>
      </c>
      <c r="I52" s="3">
        <f t="shared" si="1"/>
        <v>0</v>
      </c>
      <c r="J52" s="4">
        <v>0</v>
      </c>
      <c r="K52" s="11">
        <f>Table1[[#This Row],[original_price]]* (Table1[[#This Row],[Markdown percentage updated]])</f>
        <v>0</v>
      </c>
      <c r="L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2" s="6">
        <v>50.91</v>
      </c>
      <c r="N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2" s="7">
        <v>45875</v>
      </c>
      <c r="P52">
        <v>3</v>
      </c>
      <c r="Q52" s="17" t="str">
        <f>IF(Table1[[#This Row],[stock_quantity]]=0,"NO STOCK",
IF(Table1[[#This Row],[stock_quantity]]&lt;=10,"LOW STOCK",
"IN STOCK"))</f>
        <v>LOW STOCK</v>
      </c>
      <c r="R52" s="1">
        <f t="shared" si="2"/>
        <v>1.8</v>
      </c>
      <c r="S52">
        <v>1.8</v>
      </c>
      <c r="T52" t="b">
        <v>0</v>
      </c>
      <c r="U52" t="str">
        <f t="shared" si="3"/>
        <v>No Return</v>
      </c>
    </row>
    <row r="53" spans="1:22" hidden="1" x14ac:dyDescent="0.3">
      <c r="A53" t="s">
        <v>104</v>
      </c>
      <c r="B53" t="s">
        <v>15</v>
      </c>
      <c r="C53" t="s">
        <v>75</v>
      </c>
      <c r="D53" t="s">
        <v>17</v>
      </c>
      <c r="E53" t="str">
        <f t="shared" si="0"/>
        <v>OS</v>
      </c>
      <c r="F53" t="s">
        <v>39</v>
      </c>
      <c r="G53" t="s">
        <v>35</v>
      </c>
      <c r="H53" s="8">
        <v>222.26</v>
      </c>
      <c r="I53" s="3">
        <f t="shared" si="1"/>
        <v>0</v>
      </c>
      <c r="J53" s="4">
        <v>0</v>
      </c>
      <c r="K53" s="11">
        <f>Table1[[#This Row],[original_price]]* (Table1[[#This Row],[Markdown percentage updated]])</f>
        <v>0</v>
      </c>
      <c r="L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3" s="6">
        <v>222.26</v>
      </c>
      <c r="N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3" s="7">
        <v>45780</v>
      </c>
      <c r="P53">
        <v>50</v>
      </c>
      <c r="Q53" s="16" t="str">
        <f>IF(Table1[[#This Row],[stock_quantity]]=0,"NO STOCK",
IF(Table1[[#This Row],[stock_quantity]]&lt;=10,"LOW STOCK",
"IN STOCK"))</f>
        <v>IN STOCK</v>
      </c>
      <c r="R53" s="1">
        <f t="shared" si="2"/>
        <v>4.5</v>
      </c>
      <c r="S53">
        <v>4.5</v>
      </c>
      <c r="T53" t="b">
        <v>0</v>
      </c>
      <c r="U53" t="str">
        <f t="shared" si="3"/>
        <v>No Return</v>
      </c>
    </row>
    <row r="54" spans="1:22" hidden="1" x14ac:dyDescent="0.3">
      <c r="A54" t="s">
        <v>105</v>
      </c>
      <c r="B54" t="s">
        <v>30</v>
      </c>
      <c r="C54" t="s">
        <v>61</v>
      </c>
      <c r="D54" t="s">
        <v>62</v>
      </c>
      <c r="E54" t="str">
        <f t="shared" si="0"/>
        <v>S</v>
      </c>
      <c r="F54" t="s">
        <v>39</v>
      </c>
      <c r="G54" t="s">
        <v>64</v>
      </c>
      <c r="H54" s="8">
        <v>104.14</v>
      </c>
      <c r="I54" s="3">
        <f t="shared" si="1"/>
        <v>0.57100000000000006</v>
      </c>
      <c r="J54" s="4">
        <v>57.1</v>
      </c>
      <c r="K54" s="11">
        <f>Table1[[#This Row],[original_price]]* (Table1[[#This Row],[Markdown percentage updated]])</f>
        <v>59.463940000000008</v>
      </c>
      <c r="L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4" s="6">
        <v>44.68</v>
      </c>
      <c r="N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4" s="7">
        <v>45875</v>
      </c>
      <c r="P54">
        <v>14</v>
      </c>
      <c r="Q54" s="16" t="str">
        <f>IF(Table1[[#This Row],[stock_quantity]]=0,"NO STOCK",
IF(Table1[[#This Row],[stock_quantity]]&lt;=10,"LOW STOCK",
"IN STOCK"))</f>
        <v>IN STOCK</v>
      </c>
      <c r="R54" s="1">
        <f t="shared" si="2"/>
        <v>1.8</v>
      </c>
      <c r="S54">
        <v>1.8</v>
      </c>
      <c r="T54" t="b">
        <v>0</v>
      </c>
      <c r="U54" t="str">
        <f t="shared" si="3"/>
        <v>No Return</v>
      </c>
    </row>
    <row r="55" spans="1:22" hidden="1" x14ac:dyDescent="0.3">
      <c r="A55" t="s">
        <v>106</v>
      </c>
      <c r="B55" t="s">
        <v>15</v>
      </c>
      <c r="C55" t="s">
        <v>16</v>
      </c>
      <c r="D55" t="s">
        <v>17</v>
      </c>
      <c r="E55" t="str">
        <f t="shared" si="0"/>
        <v>S</v>
      </c>
      <c r="F55" t="s">
        <v>39</v>
      </c>
      <c r="G55" t="s">
        <v>35</v>
      </c>
      <c r="H55" s="8">
        <v>166.76</v>
      </c>
      <c r="I55" s="3">
        <f t="shared" si="1"/>
        <v>0</v>
      </c>
      <c r="J55" s="4">
        <v>0</v>
      </c>
      <c r="K55" s="11">
        <f>Table1[[#This Row],[original_price]]* (Table1[[#This Row],[Markdown percentage updated]])</f>
        <v>0</v>
      </c>
      <c r="L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5" s="6">
        <v>166.76</v>
      </c>
      <c r="N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5" s="7">
        <v>45820</v>
      </c>
      <c r="P55">
        <v>21</v>
      </c>
      <c r="Q55" s="16" t="str">
        <f>IF(Table1[[#This Row],[stock_quantity]]=0,"NO STOCK",
IF(Table1[[#This Row],[stock_quantity]]&lt;=10,"LOW STOCK",
"IN STOCK"))</f>
        <v>IN STOCK</v>
      </c>
      <c r="R55" s="1">
        <f t="shared" si="2"/>
        <v>4.2</v>
      </c>
      <c r="S55">
        <v>4.2</v>
      </c>
      <c r="T55" t="b">
        <v>0</v>
      </c>
      <c r="U55" t="str">
        <f t="shared" si="3"/>
        <v>No Return</v>
      </c>
    </row>
    <row r="56" spans="1:22" hidden="1" x14ac:dyDescent="0.3">
      <c r="A56" t="s">
        <v>107</v>
      </c>
      <c r="B56" t="s">
        <v>27</v>
      </c>
      <c r="C56" t="s">
        <v>32</v>
      </c>
      <c r="D56" t="s">
        <v>34</v>
      </c>
      <c r="E56" t="str">
        <f t="shared" si="0"/>
        <v>XL</v>
      </c>
      <c r="G56" t="s">
        <v>28</v>
      </c>
      <c r="H56" s="8">
        <v>44.13</v>
      </c>
      <c r="I56" s="3">
        <f t="shared" si="1"/>
        <v>0.50900000000000001</v>
      </c>
      <c r="J56" s="4">
        <v>50.9</v>
      </c>
      <c r="K56" s="11">
        <f>Table1[[#This Row],[original_price]]* (Table1[[#This Row],[Markdown percentage updated]])</f>
        <v>22.46217</v>
      </c>
      <c r="L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6" s="6">
        <v>21.67</v>
      </c>
      <c r="N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6" s="7">
        <v>45875</v>
      </c>
      <c r="P56">
        <v>21</v>
      </c>
      <c r="Q56" s="16" t="str">
        <f>IF(Table1[[#This Row],[stock_quantity]]=0,"NO STOCK",
IF(Table1[[#This Row],[stock_quantity]]&lt;=10,"LOW STOCK",
"IN STOCK"))</f>
        <v>IN STOCK</v>
      </c>
      <c r="R56" s="1">
        <f t="shared" si="2"/>
        <v>3</v>
      </c>
      <c r="S56">
        <v>3</v>
      </c>
      <c r="T56" t="b">
        <v>0</v>
      </c>
      <c r="U56" t="str">
        <f t="shared" si="3"/>
        <v>No Return</v>
      </c>
    </row>
    <row r="57" spans="1:22" hidden="1" x14ac:dyDescent="0.3">
      <c r="A57" t="s">
        <v>108</v>
      </c>
      <c r="B57" t="s">
        <v>15</v>
      </c>
      <c r="C57" t="s">
        <v>61</v>
      </c>
      <c r="D57" t="s">
        <v>62</v>
      </c>
      <c r="E57" t="str">
        <f t="shared" si="0"/>
        <v>XS</v>
      </c>
      <c r="F57" t="s">
        <v>39</v>
      </c>
      <c r="G57" t="s">
        <v>46</v>
      </c>
      <c r="H57" s="8">
        <v>121.29</v>
      </c>
      <c r="I57" s="3">
        <f t="shared" si="1"/>
        <v>0.152</v>
      </c>
      <c r="J57" s="4">
        <v>15.2</v>
      </c>
      <c r="K57" s="11">
        <f>Table1[[#This Row],[original_price]]* (Table1[[#This Row],[Markdown percentage updated]])</f>
        <v>18.43608</v>
      </c>
      <c r="L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57" s="6">
        <v>102.85</v>
      </c>
      <c r="N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57" s="7">
        <v>45875</v>
      </c>
      <c r="P57">
        <v>42</v>
      </c>
      <c r="Q57" s="16" t="str">
        <f>IF(Table1[[#This Row],[stock_quantity]]=0,"NO STOCK",
IF(Table1[[#This Row],[stock_quantity]]&lt;=10,"LOW STOCK",
"IN STOCK"))</f>
        <v>IN STOCK</v>
      </c>
      <c r="R57" s="1">
        <f t="shared" si="2"/>
        <v>0</v>
      </c>
      <c r="T57" t="b">
        <v>0</v>
      </c>
      <c r="U57" t="str">
        <f t="shared" si="3"/>
        <v>No Return</v>
      </c>
    </row>
    <row r="58" spans="1:22" hidden="1" x14ac:dyDescent="0.3">
      <c r="A58" t="s">
        <v>109</v>
      </c>
      <c r="B58" t="s">
        <v>21</v>
      </c>
      <c r="C58" t="s">
        <v>48</v>
      </c>
      <c r="D58" t="s">
        <v>17</v>
      </c>
      <c r="E58" t="str">
        <f t="shared" si="0"/>
        <v>XXL</v>
      </c>
      <c r="F58" t="s">
        <v>39</v>
      </c>
      <c r="G58" t="s">
        <v>56</v>
      </c>
      <c r="H58" s="8">
        <v>73.709999999999994</v>
      </c>
      <c r="I58" s="3">
        <f t="shared" si="1"/>
        <v>0</v>
      </c>
      <c r="J58" s="4">
        <v>0</v>
      </c>
      <c r="K58" s="11">
        <f>Table1[[#This Row],[original_price]]* (Table1[[#This Row],[Markdown percentage updated]])</f>
        <v>0</v>
      </c>
      <c r="L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8" s="6">
        <v>73.709999999999994</v>
      </c>
      <c r="N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8" s="7">
        <v>45848</v>
      </c>
      <c r="P58">
        <v>35</v>
      </c>
      <c r="Q58" s="16" t="str">
        <f>IF(Table1[[#This Row],[stock_quantity]]=0,"NO STOCK",
IF(Table1[[#This Row],[stock_quantity]]&lt;=10,"LOW STOCK",
"IN STOCK"))</f>
        <v>IN STOCK</v>
      </c>
      <c r="R58" s="1">
        <f t="shared" si="2"/>
        <v>3.9</v>
      </c>
      <c r="S58">
        <v>3.9</v>
      </c>
      <c r="T58" t="b">
        <v>1</v>
      </c>
      <c r="U58" s="13" t="str">
        <f t="shared" si="3"/>
        <v>Quality Issue</v>
      </c>
      <c r="V58" t="s">
        <v>83</v>
      </c>
    </row>
    <row r="59" spans="1:22" hidden="1" x14ac:dyDescent="0.3">
      <c r="A59" t="s">
        <v>110</v>
      </c>
      <c r="B59" t="s">
        <v>38</v>
      </c>
      <c r="C59" t="s">
        <v>16</v>
      </c>
      <c r="D59" t="s">
        <v>17</v>
      </c>
      <c r="E59" t="str">
        <f t="shared" si="0"/>
        <v>M</v>
      </c>
      <c r="F59" t="s">
        <v>18</v>
      </c>
      <c r="G59" t="s">
        <v>70</v>
      </c>
      <c r="H59" s="8">
        <v>84.07</v>
      </c>
      <c r="I59" s="3">
        <f t="shared" si="1"/>
        <v>0.26300000000000001</v>
      </c>
      <c r="J59" s="4">
        <v>26.3</v>
      </c>
      <c r="K59" s="11">
        <f>Table1[[#This Row],[original_price]]* (Table1[[#This Row],[Markdown percentage updated]])</f>
        <v>22.110409999999998</v>
      </c>
      <c r="L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59" s="6">
        <v>61.96</v>
      </c>
      <c r="N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9" s="7">
        <v>45590</v>
      </c>
      <c r="P59">
        <v>19</v>
      </c>
      <c r="Q59" s="16" t="str">
        <f>IF(Table1[[#This Row],[stock_quantity]]=0,"NO STOCK",
IF(Table1[[#This Row],[stock_quantity]]&lt;=10,"LOW STOCK",
"IN STOCK"))</f>
        <v>IN STOCK</v>
      </c>
      <c r="R59" s="1">
        <f t="shared" si="2"/>
        <v>2.2999999999999998</v>
      </c>
      <c r="S59">
        <v>2.2999999999999998</v>
      </c>
      <c r="T59" t="b">
        <v>1</v>
      </c>
      <c r="U59" s="13" t="str">
        <f t="shared" si="3"/>
        <v>Size Issue</v>
      </c>
      <c r="V59" t="s">
        <v>73</v>
      </c>
    </row>
    <row r="60" spans="1:22" hidden="1" x14ac:dyDescent="0.3">
      <c r="A60" t="s">
        <v>111</v>
      </c>
      <c r="B60" t="s">
        <v>21</v>
      </c>
      <c r="C60" t="s">
        <v>43</v>
      </c>
      <c r="D60" t="s">
        <v>62</v>
      </c>
      <c r="E60" t="str">
        <f t="shared" si="0"/>
        <v>M</v>
      </c>
      <c r="F60" t="s">
        <v>55</v>
      </c>
      <c r="G60" t="s">
        <v>28</v>
      </c>
      <c r="H60" s="8">
        <v>28.59</v>
      </c>
      <c r="I60" s="3">
        <f t="shared" si="1"/>
        <v>0</v>
      </c>
      <c r="J60" s="4">
        <v>0</v>
      </c>
      <c r="K60" s="11">
        <f>Table1[[#This Row],[original_price]]* (Table1[[#This Row],[Markdown percentage updated]])</f>
        <v>0</v>
      </c>
      <c r="L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0" s="6">
        <v>28.59</v>
      </c>
      <c r="N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0" s="7">
        <v>45875</v>
      </c>
      <c r="P60">
        <v>39</v>
      </c>
      <c r="Q60" s="16" t="str">
        <f>IF(Table1[[#This Row],[stock_quantity]]=0,"NO STOCK",
IF(Table1[[#This Row],[stock_quantity]]&lt;=10,"LOW STOCK",
"IN STOCK"))</f>
        <v>IN STOCK</v>
      </c>
      <c r="R60" s="1">
        <f t="shared" si="2"/>
        <v>1.4</v>
      </c>
      <c r="S60">
        <v>1.4</v>
      </c>
      <c r="T60" t="b">
        <v>0</v>
      </c>
      <c r="U60" t="str">
        <f t="shared" si="3"/>
        <v>No Return</v>
      </c>
    </row>
    <row r="61" spans="1:22" hidden="1" x14ac:dyDescent="0.3">
      <c r="A61" t="s">
        <v>112</v>
      </c>
      <c r="B61" t="s">
        <v>30</v>
      </c>
      <c r="C61" t="s">
        <v>43</v>
      </c>
      <c r="D61" t="s">
        <v>23</v>
      </c>
      <c r="E61" t="str">
        <f t="shared" si="0"/>
        <v>OS</v>
      </c>
      <c r="F61" t="s">
        <v>49</v>
      </c>
      <c r="G61" t="s">
        <v>44</v>
      </c>
      <c r="H61" s="8">
        <v>166.49</v>
      </c>
      <c r="I61" s="3">
        <f t="shared" si="1"/>
        <v>2.6000000000000002E-2</v>
      </c>
      <c r="J61" s="4">
        <v>2.6</v>
      </c>
      <c r="K61" s="11">
        <f>Table1[[#This Row],[original_price]]* (Table1[[#This Row],[Markdown percentage updated]])</f>
        <v>4.3287400000000007</v>
      </c>
      <c r="L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1" s="6">
        <v>162.16</v>
      </c>
      <c r="N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1" s="7">
        <v>45875</v>
      </c>
      <c r="P61">
        <v>27</v>
      </c>
      <c r="Q61" s="16" t="str">
        <f>IF(Table1[[#This Row],[stock_quantity]]=0,"NO STOCK",
IF(Table1[[#This Row],[stock_quantity]]&lt;=10,"LOW STOCK",
"IN STOCK"))</f>
        <v>IN STOCK</v>
      </c>
      <c r="R61" s="1">
        <f t="shared" si="2"/>
        <v>0</v>
      </c>
      <c r="T61" t="b">
        <v>0</v>
      </c>
      <c r="U61" t="str">
        <f t="shared" si="3"/>
        <v>No Return</v>
      </c>
    </row>
    <row r="62" spans="1:22" hidden="1" x14ac:dyDescent="0.3">
      <c r="A62" t="s">
        <v>113</v>
      </c>
      <c r="B62" t="s">
        <v>30</v>
      </c>
      <c r="C62" t="s">
        <v>53</v>
      </c>
      <c r="D62" t="s">
        <v>62</v>
      </c>
      <c r="E62" t="str">
        <f t="shared" si="0"/>
        <v>OS</v>
      </c>
      <c r="F62" t="s">
        <v>58</v>
      </c>
      <c r="G62" t="s">
        <v>35</v>
      </c>
      <c r="H62" s="8">
        <v>145.94999999999999</v>
      </c>
      <c r="I62" s="3">
        <f t="shared" si="1"/>
        <v>6.6000000000000003E-2</v>
      </c>
      <c r="J62" s="4">
        <v>6.6</v>
      </c>
      <c r="K62" s="11">
        <f>Table1[[#This Row],[original_price]]* (Table1[[#This Row],[Markdown percentage updated]])</f>
        <v>9.6326999999999998</v>
      </c>
      <c r="L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2" s="6">
        <v>136.32</v>
      </c>
      <c r="N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2" s="7">
        <v>45875</v>
      </c>
      <c r="P62">
        <v>15</v>
      </c>
      <c r="Q62" s="16" t="str">
        <f>IF(Table1[[#This Row],[stock_quantity]]=0,"NO STOCK",
IF(Table1[[#This Row],[stock_quantity]]&lt;=10,"LOW STOCK",
"IN STOCK"))</f>
        <v>IN STOCK</v>
      </c>
      <c r="R62" s="1">
        <f t="shared" si="2"/>
        <v>4</v>
      </c>
      <c r="S62">
        <v>4</v>
      </c>
      <c r="T62" t="b">
        <v>0</v>
      </c>
      <c r="U62" t="str">
        <f t="shared" si="3"/>
        <v>No Return</v>
      </c>
    </row>
    <row r="63" spans="1:22" x14ac:dyDescent="0.3">
      <c r="A63" t="s">
        <v>114</v>
      </c>
      <c r="B63" t="s">
        <v>15</v>
      </c>
      <c r="C63" t="s">
        <v>61</v>
      </c>
      <c r="D63" t="s">
        <v>34</v>
      </c>
      <c r="E63" t="str">
        <f t="shared" si="0"/>
        <v>XS</v>
      </c>
      <c r="F63" t="s">
        <v>58</v>
      </c>
      <c r="G63" t="s">
        <v>66</v>
      </c>
      <c r="H63" s="8">
        <v>218.42</v>
      </c>
      <c r="I63" s="3">
        <f t="shared" si="1"/>
        <v>0</v>
      </c>
      <c r="J63" s="4">
        <v>0</v>
      </c>
      <c r="K63" s="11">
        <f>Table1[[#This Row],[original_price]]* (Table1[[#This Row],[Markdown percentage updated]])</f>
        <v>0</v>
      </c>
      <c r="L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3" s="6">
        <v>218.42</v>
      </c>
      <c r="N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3" s="7">
        <v>45875</v>
      </c>
      <c r="P63">
        <v>33</v>
      </c>
      <c r="Q63" s="16" t="str">
        <f>IF(Table1[[#This Row],[stock_quantity]]=0,"NO STOCK",
IF(Table1[[#This Row],[stock_quantity]]&lt;=10,"LOW STOCK",
"IN STOCK"))</f>
        <v>IN STOCK</v>
      </c>
      <c r="R63" s="1">
        <f t="shared" si="2"/>
        <v>4.4000000000000004</v>
      </c>
      <c r="S63">
        <v>4.4000000000000004</v>
      </c>
      <c r="T63" t="b">
        <v>1</v>
      </c>
      <c r="U63" s="13" t="str">
        <f t="shared" si="3"/>
        <v>Changed Mind</v>
      </c>
      <c r="V63" t="s">
        <v>115</v>
      </c>
    </row>
    <row r="64" spans="1:22" hidden="1" x14ac:dyDescent="0.3">
      <c r="A64" t="s">
        <v>116</v>
      </c>
      <c r="B64" t="s">
        <v>27</v>
      </c>
      <c r="C64" t="s">
        <v>75</v>
      </c>
      <c r="D64" t="s">
        <v>23</v>
      </c>
      <c r="E64" t="str">
        <f t="shared" si="0"/>
        <v>XS</v>
      </c>
      <c r="G64" t="s">
        <v>35</v>
      </c>
      <c r="H64" s="8">
        <v>46.17</v>
      </c>
      <c r="I64" s="3">
        <f t="shared" si="1"/>
        <v>1.1000000000000001E-2</v>
      </c>
      <c r="J64" s="4">
        <v>1.1000000000000001</v>
      </c>
      <c r="K64" s="11">
        <f>Table1[[#This Row],[original_price]]* (Table1[[#This Row],[Markdown percentage updated]])</f>
        <v>0.50787000000000004</v>
      </c>
      <c r="L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4" s="6">
        <v>45.66</v>
      </c>
      <c r="N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4" s="7">
        <v>45875</v>
      </c>
      <c r="P64">
        <v>30</v>
      </c>
      <c r="Q64" s="16" t="str">
        <f>IF(Table1[[#This Row],[stock_quantity]]=0,"NO STOCK",
IF(Table1[[#This Row],[stock_quantity]]&lt;=10,"LOW STOCK",
"IN STOCK"))</f>
        <v>IN STOCK</v>
      </c>
      <c r="R64" s="1">
        <f t="shared" si="2"/>
        <v>1.9</v>
      </c>
      <c r="S64">
        <v>1.9</v>
      </c>
      <c r="T64" t="b">
        <v>0</v>
      </c>
      <c r="U64" t="str">
        <f t="shared" si="3"/>
        <v>No Return</v>
      </c>
    </row>
    <row r="65" spans="1:22" hidden="1" x14ac:dyDescent="0.3">
      <c r="A65" t="s">
        <v>117</v>
      </c>
      <c r="B65" t="s">
        <v>30</v>
      </c>
      <c r="C65" t="s">
        <v>48</v>
      </c>
      <c r="D65" t="s">
        <v>62</v>
      </c>
      <c r="E65" t="str">
        <f t="shared" si="0"/>
        <v>OS</v>
      </c>
      <c r="G65" t="s">
        <v>46</v>
      </c>
      <c r="H65" s="8">
        <v>106.18</v>
      </c>
      <c r="I65" s="3">
        <f t="shared" si="1"/>
        <v>0.18</v>
      </c>
      <c r="J65" s="4">
        <v>18</v>
      </c>
      <c r="K65" s="11">
        <f>Table1[[#This Row],[original_price]]* (Table1[[#This Row],[Markdown percentage updated]])</f>
        <v>19.112400000000001</v>
      </c>
      <c r="L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5" s="6">
        <v>87.07</v>
      </c>
      <c r="N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65" s="7">
        <v>45875</v>
      </c>
      <c r="P65">
        <v>11</v>
      </c>
      <c r="Q65" s="16" t="str">
        <f>IF(Table1[[#This Row],[stock_quantity]]=0,"NO STOCK",
IF(Table1[[#This Row],[stock_quantity]]&lt;=10,"LOW STOCK",
"IN STOCK"))</f>
        <v>IN STOCK</v>
      </c>
      <c r="R65" s="1">
        <f t="shared" si="2"/>
        <v>4.5</v>
      </c>
      <c r="S65">
        <v>4.5</v>
      </c>
      <c r="T65" t="b">
        <v>0</v>
      </c>
      <c r="U65" t="str">
        <f t="shared" si="3"/>
        <v>No Return</v>
      </c>
    </row>
    <row r="66" spans="1:22" hidden="1" x14ac:dyDescent="0.3">
      <c r="A66" t="s">
        <v>118</v>
      </c>
      <c r="B66" t="s">
        <v>21</v>
      </c>
      <c r="C66" t="s">
        <v>16</v>
      </c>
      <c r="D66" t="s">
        <v>23</v>
      </c>
      <c r="E66" t="str">
        <f t="shared" ref="E66:E129" si="4">IF(ISBLANK(F69),"OS",F69)</f>
        <v>XL</v>
      </c>
      <c r="F66" t="s">
        <v>55</v>
      </c>
      <c r="G66" t="s">
        <v>40</v>
      </c>
      <c r="H66" s="8">
        <v>93.33</v>
      </c>
      <c r="I66" s="3">
        <f t="shared" ref="I66:I129" si="5">J66/100</f>
        <v>2.4E-2</v>
      </c>
      <c r="J66" s="4">
        <v>2.4</v>
      </c>
      <c r="K66" s="11">
        <f>Table1[[#This Row],[original_price]]* (Table1[[#This Row],[Markdown percentage updated]])</f>
        <v>2.2399200000000001</v>
      </c>
      <c r="L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6" s="6">
        <v>91.09</v>
      </c>
      <c r="N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6" s="7">
        <v>45875</v>
      </c>
      <c r="P66">
        <v>20</v>
      </c>
      <c r="Q66" s="16" t="str">
        <f>IF(Table1[[#This Row],[stock_quantity]]=0,"NO STOCK",
IF(Table1[[#This Row],[stock_quantity]]&lt;=10,"LOW STOCK",
"IN STOCK"))</f>
        <v>IN STOCK</v>
      </c>
      <c r="R66" s="1">
        <f t="shared" si="2"/>
        <v>4.2</v>
      </c>
      <c r="S66">
        <v>4.2</v>
      </c>
      <c r="T66" t="b">
        <v>0</v>
      </c>
      <c r="U66" t="str">
        <f t="shared" si="3"/>
        <v>No Return</v>
      </c>
    </row>
    <row r="67" spans="1:22" x14ac:dyDescent="0.3">
      <c r="A67" t="s">
        <v>119</v>
      </c>
      <c r="B67" t="s">
        <v>38</v>
      </c>
      <c r="C67" t="s">
        <v>43</v>
      </c>
      <c r="D67" t="s">
        <v>17</v>
      </c>
      <c r="E67" t="str">
        <f t="shared" si="4"/>
        <v>XS</v>
      </c>
      <c r="F67" t="s">
        <v>55</v>
      </c>
      <c r="G67" t="s">
        <v>35</v>
      </c>
      <c r="H67" s="8">
        <v>86.54</v>
      </c>
      <c r="I67" s="3">
        <f t="shared" si="5"/>
        <v>0.217</v>
      </c>
      <c r="J67" s="4">
        <v>21.7</v>
      </c>
      <c r="K67" s="11">
        <f>Table1[[#This Row],[original_price]]* (Table1[[#This Row],[Markdown percentage updated]])</f>
        <v>18.77918</v>
      </c>
      <c r="L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67" s="6">
        <v>67.760000000000005</v>
      </c>
      <c r="N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67" s="7">
        <v>45809</v>
      </c>
      <c r="P67">
        <v>21</v>
      </c>
      <c r="Q67" s="16" t="str">
        <f>IF(Table1[[#This Row],[stock_quantity]]=0,"NO STOCK",
IF(Table1[[#This Row],[stock_quantity]]&lt;=10,"LOW STOCK",
"IN STOCK"))</f>
        <v>IN STOCK</v>
      </c>
      <c r="R67" s="1">
        <f t="shared" ref="R67:R130" si="6">IF(ISBLANK(S67), 0, S67)</f>
        <v>3.6</v>
      </c>
      <c r="S67">
        <v>3.6</v>
      </c>
      <c r="T67" t="b">
        <v>1</v>
      </c>
      <c r="U67" s="13" t="str">
        <f t="shared" ref="U67:U130" si="7">IF(V67="","No Return",V67)</f>
        <v>Changed Mind</v>
      </c>
      <c r="V67" t="s">
        <v>115</v>
      </c>
    </row>
    <row r="68" spans="1:22" hidden="1" x14ac:dyDescent="0.3">
      <c r="A68" t="s">
        <v>120</v>
      </c>
      <c r="B68" t="s">
        <v>27</v>
      </c>
      <c r="C68" t="s">
        <v>53</v>
      </c>
      <c r="D68" t="s">
        <v>62</v>
      </c>
      <c r="E68" t="str">
        <f t="shared" si="4"/>
        <v>XL</v>
      </c>
      <c r="G68" t="s">
        <v>46</v>
      </c>
      <c r="H68" s="8">
        <v>55.57</v>
      </c>
      <c r="I68" s="3">
        <f t="shared" si="5"/>
        <v>0</v>
      </c>
      <c r="J68" s="4">
        <v>0</v>
      </c>
      <c r="K68" s="11">
        <f>Table1[[#This Row],[original_price]]* (Table1[[#This Row],[Markdown percentage updated]])</f>
        <v>0</v>
      </c>
      <c r="L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8" s="6">
        <v>55.57</v>
      </c>
      <c r="N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8" s="7">
        <v>45875</v>
      </c>
      <c r="P68">
        <v>44</v>
      </c>
      <c r="Q68" s="16" t="str">
        <f>IF(Table1[[#This Row],[stock_quantity]]=0,"NO STOCK",
IF(Table1[[#This Row],[stock_quantity]]&lt;=10,"LOW STOCK",
"IN STOCK"))</f>
        <v>IN STOCK</v>
      </c>
      <c r="R68" s="1">
        <f t="shared" si="6"/>
        <v>3.8</v>
      </c>
      <c r="S68">
        <v>3.8</v>
      </c>
      <c r="T68" t="b">
        <v>0</v>
      </c>
      <c r="U68" t="str">
        <f t="shared" si="7"/>
        <v>No Return</v>
      </c>
    </row>
    <row r="69" spans="1:22" hidden="1" x14ac:dyDescent="0.3">
      <c r="A69" t="s">
        <v>121</v>
      </c>
      <c r="B69" t="s">
        <v>21</v>
      </c>
      <c r="C69" t="s">
        <v>75</v>
      </c>
      <c r="D69" t="s">
        <v>17</v>
      </c>
      <c r="E69" t="str">
        <f t="shared" si="4"/>
        <v>XL</v>
      </c>
      <c r="F69" t="s">
        <v>18</v>
      </c>
      <c r="G69" t="s">
        <v>28</v>
      </c>
      <c r="H69" s="8">
        <v>76.5</v>
      </c>
      <c r="I69" s="3">
        <f t="shared" si="5"/>
        <v>0</v>
      </c>
      <c r="J69" s="4">
        <v>0</v>
      </c>
      <c r="K69" s="11">
        <f>Table1[[#This Row],[original_price]]* (Table1[[#This Row],[Markdown percentage updated]])</f>
        <v>0</v>
      </c>
      <c r="L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9" s="6">
        <v>76.5</v>
      </c>
      <c r="N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9" s="7">
        <v>45683</v>
      </c>
      <c r="P69">
        <v>17</v>
      </c>
      <c r="Q69" s="16" t="str">
        <f>IF(Table1[[#This Row],[stock_quantity]]=0,"NO STOCK",
IF(Table1[[#This Row],[stock_quantity]]&lt;=10,"LOW STOCK",
"IN STOCK"))</f>
        <v>IN STOCK</v>
      </c>
      <c r="R69" s="1">
        <f t="shared" si="6"/>
        <v>4.5999999999999996</v>
      </c>
      <c r="S69">
        <v>4.5999999999999996</v>
      </c>
      <c r="T69" t="b">
        <v>0</v>
      </c>
      <c r="U69" t="str">
        <f t="shared" si="7"/>
        <v>No Return</v>
      </c>
    </row>
    <row r="70" spans="1:22" hidden="1" x14ac:dyDescent="0.3">
      <c r="A70" t="s">
        <v>122</v>
      </c>
      <c r="B70" t="s">
        <v>42</v>
      </c>
      <c r="C70" t="s">
        <v>75</v>
      </c>
      <c r="D70" t="s">
        <v>17</v>
      </c>
      <c r="E70" t="str">
        <f t="shared" si="4"/>
        <v>XXL</v>
      </c>
      <c r="F70" t="s">
        <v>55</v>
      </c>
      <c r="G70" t="s">
        <v>46</v>
      </c>
      <c r="H70" s="8">
        <v>137.19</v>
      </c>
      <c r="I70" s="3">
        <f t="shared" si="5"/>
        <v>9.5000000000000001E-2</v>
      </c>
      <c r="J70" s="4">
        <v>9.5</v>
      </c>
      <c r="K70" s="11">
        <f>Table1[[#This Row],[original_price]]* (Table1[[#This Row],[Markdown percentage updated]])</f>
        <v>13.033049999999999</v>
      </c>
      <c r="L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0" s="6">
        <v>124.16</v>
      </c>
      <c r="N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70" s="7">
        <v>45748</v>
      </c>
      <c r="P70">
        <v>17</v>
      </c>
      <c r="Q70" s="16" t="str">
        <f>IF(Table1[[#This Row],[stock_quantity]]=0,"NO STOCK",
IF(Table1[[#This Row],[stock_quantity]]&lt;=10,"LOW STOCK",
"IN STOCK"))</f>
        <v>IN STOCK</v>
      </c>
      <c r="R70" s="1">
        <f t="shared" si="6"/>
        <v>0</v>
      </c>
      <c r="T70" t="b">
        <v>0</v>
      </c>
      <c r="U70" t="str">
        <f t="shared" si="7"/>
        <v>No Return</v>
      </c>
    </row>
    <row r="71" spans="1:22" hidden="1" x14ac:dyDescent="0.3">
      <c r="A71" t="s">
        <v>123</v>
      </c>
      <c r="B71" t="s">
        <v>21</v>
      </c>
      <c r="C71" t="s">
        <v>16</v>
      </c>
      <c r="D71" t="s">
        <v>62</v>
      </c>
      <c r="E71" t="str">
        <f t="shared" si="4"/>
        <v>M</v>
      </c>
      <c r="F71" t="s">
        <v>18</v>
      </c>
      <c r="G71" t="s">
        <v>66</v>
      </c>
      <c r="H71" s="8">
        <v>48.92</v>
      </c>
      <c r="I71" s="3">
        <f t="shared" si="5"/>
        <v>0.19800000000000001</v>
      </c>
      <c r="J71" s="4">
        <v>19.8</v>
      </c>
      <c r="K71" s="11">
        <f>Table1[[#This Row],[original_price]]* (Table1[[#This Row],[Markdown percentage updated]])</f>
        <v>9.686160000000001</v>
      </c>
      <c r="L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1" s="6">
        <v>39.229999999999997</v>
      </c>
      <c r="N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71" s="7">
        <v>45875</v>
      </c>
      <c r="P71">
        <v>17</v>
      </c>
      <c r="Q71" s="16" t="str">
        <f>IF(Table1[[#This Row],[stock_quantity]]=0,"NO STOCK",
IF(Table1[[#This Row],[stock_quantity]]&lt;=10,"LOW STOCK",
"IN STOCK"))</f>
        <v>IN STOCK</v>
      </c>
      <c r="R71" s="1">
        <f t="shared" si="6"/>
        <v>2.6</v>
      </c>
      <c r="S71">
        <v>2.6</v>
      </c>
      <c r="T71" t="b">
        <v>0</v>
      </c>
      <c r="U71" t="str">
        <f t="shared" si="7"/>
        <v>No Return</v>
      </c>
    </row>
    <row r="72" spans="1:22" hidden="1" x14ac:dyDescent="0.3">
      <c r="A72" t="s">
        <v>124</v>
      </c>
      <c r="B72" t="s">
        <v>30</v>
      </c>
      <c r="C72" t="s">
        <v>53</v>
      </c>
      <c r="D72" t="s">
        <v>23</v>
      </c>
      <c r="E72" t="str">
        <f t="shared" si="4"/>
        <v>XS</v>
      </c>
      <c r="F72" t="s">
        <v>18</v>
      </c>
      <c r="G72" t="s">
        <v>35</v>
      </c>
      <c r="H72" s="8">
        <v>69.819999999999993</v>
      </c>
      <c r="I72" s="3">
        <f t="shared" si="5"/>
        <v>0</v>
      </c>
      <c r="J72" s="4">
        <v>0</v>
      </c>
      <c r="K72" s="11">
        <f>Table1[[#This Row],[original_price]]* (Table1[[#This Row],[Markdown percentage updated]])</f>
        <v>0</v>
      </c>
      <c r="L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2" s="6">
        <v>69.819999999999993</v>
      </c>
      <c r="N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2" s="7">
        <v>45875</v>
      </c>
      <c r="P72">
        <v>46</v>
      </c>
      <c r="Q72" s="16" t="str">
        <f>IF(Table1[[#This Row],[stock_quantity]]=0,"NO STOCK",
IF(Table1[[#This Row],[stock_quantity]]&lt;=10,"LOW STOCK",
"IN STOCK"))</f>
        <v>IN STOCK</v>
      </c>
      <c r="R72" s="1">
        <f t="shared" si="6"/>
        <v>0</v>
      </c>
      <c r="T72" t="b">
        <v>1</v>
      </c>
      <c r="U72" s="13" t="str">
        <f t="shared" si="7"/>
        <v>Wrong Item</v>
      </c>
      <c r="V72" t="s">
        <v>125</v>
      </c>
    </row>
    <row r="73" spans="1:22" hidden="1" x14ac:dyDescent="0.3">
      <c r="A73" t="s">
        <v>126</v>
      </c>
      <c r="B73" t="s">
        <v>15</v>
      </c>
      <c r="C73" t="s">
        <v>43</v>
      </c>
      <c r="D73" t="s">
        <v>62</v>
      </c>
      <c r="E73" t="str">
        <f t="shared" si="4"/>
        <v>XS</v>
      </c>
      <c r="F73" t="s">
        <v>49</v>
      </c>
      <c r="G73" t="s">
        <v>19</v>
      </c>
      <c r="H73" s="8">
        <v>199.39</v>
      </c>
      <c r="I73" s="3">
        <f t="shared" si="5"/>
        <v>7.400000000000001E-2</v>
      </c>
      <c r="J73" s="4">
        <v>7.4</v>
      </c>
      <c r="K73" s="11">
        <f>Table1[[#This Row],[original_price]]* (Table1[[#This Row],[Markdown percentage updated]])</f>
        <v>14.754860000000001</v>
      </c>
      <c r="L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3" s="6">
        <v>184.64</v>
      </c>
      <c r="N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73" s="7">
        <v>45875</v>
      </c>
      <c r="P73">
        <v>49</v>
      </c>
      <c r="Q73" s="16" t="str">
        <f>IF(Table1[[#This Row],[stock_quantity]]=0,"NO STOCK",
IF(Table1[[#This Row],[stock_quantity]]&lt;=10,"LOW STOCK",
"IN STOCK"))</f>
        <v>IN STOCK</v>
      </c>
      <c r="R73" s="1">
        <f t="shared" si="6"/>
        <v>0</v>
      </c>
      <c r="T73" t="b">
        <v>0</v>
      </c>
      <c r="U73" t="str">
        <f t="shared" si="7"/>
        <v>No Return</v>
      </c>
    </row>
    <row r="74" spans="1:22" hidden="1" x14ac:dyDescent="0.3">
      <c r="A74" t="s">
        <v>127</v>
      </c>
      <c r="B74" t="s">
        <v>15</v>
      </c>
      <c r="C74" t="s">
        <v>32</v>
      </c>
      <c r="D74" t="s">
        <v>62</v>
      </c>
      <c r="E74" t="str">
        <f t="shared" si="4"/>
        <v>XL</v>
      </c>
      <c r="F74" t="s">
        <v>58</v>
      </c>
      <c r="G74" t="s">
        <v>35</v>
      </c>
      <c r="H74" s="8">
        <v>222.09</v>
      </c>
      <c r="I74" s="3">
        <f t="shared" si="5"/>
        <v>0.55200000000000005</v>
      </c>
      <c r="J74" s="4">
        <v>55.2</v>
      </c>
      <c r="K74" s="11">
        <f>Table1[[#This Row],[original_price]]* (Table1[[#This Row],[Markdown percentage updated]])</f>
        <v>122.59368000000001</v>
      </c>
      <c r="L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4" s="6">
        <v>99.5</v>
      </c>
      <c r="N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4" s="7">
        <v>45875</v>
      </c>
      <c r="P74">
        <v>21</v>
      </c>
      <c r="Q74" s="16" t="str">
        <f>IF(Table1[[#This Row],[stock_quantity]]=0,"NO STOCK",
IF(Table1[[#This Row],[stock_quantity]]&lt;=10,"LOW STOCK",
"IN STOCK"))</f>
        <v>IN STOCK</v>
      </c>
      <c r="R74" s="1">
        <f t="shared" si="6"/>
        <v>4.5</v>
      </c>
      <c r="S74">
        <v>4.5</v>
      </c>
      <c r="T74" t="b">
        <v>0</v>
      </c>
      <c r="U74" t="str">
        <f t="shared" si="7"/>
        <v>No Return</v>
      </c>
    </row>
    <row r="75" spans="1:22" hidden="1" x14ac:dyDescent="0.3">
      <c r="A75" t="s">
        <v>128</v>
      </c>
      <c r="B75" t="s">
        <v>21</v>
      </c>
      <c r="C75" t="s">
        <v>43</v>
      </c>
      <c r="D75" t="s">
        <v>34</v>
      </c>
      <c r="E75" t="str">
        <f t="shared" si="4"/>
        <v>XXL</v>
      </c>
      <c r="F75" t="s">
        <v>55</v>
      </c>
      <c r="G75" t="s">
        <v>19</v>
      </c>
      <c r="H75" s="8">
        <v>112.86</v>
      </c>
      <c r="I75" s="3">
        <f t="shared" si="5"/>
        <v>0</v>
      </c>
      <c r="J75" s="4">
        <v>0</v>
      </c>
      <c r="K75" s="11">
        <f>Table1[[#This Row],[original_price]]* (Table1[[#This Row],[Markdown percentage updated]])</f>
        <v>0</v>
      </c>
      <c r="L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5" s="6">
        <v>112.86</v>
      </c>
      <c r="N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5" s="7">
        <v>45875</v>
      </c>
      <c r="P75">
        <v>8</v>
      </c>
      <c r="Q75" s="17" t="str">
        <f>IF(Table1[[#This Row],[stock_quantity]]=0,"NO STOCK",
IF(Table1[[#This Row],[stock_quantity]]&lt;=10,"LOW STOCK",
"IN STOCK"))</f>
        <v>LOW STOCK</v>
      </c>
      <c r="R75" s="1">
        <f t="shared" si="6"/>
        <v>2.9</v>
      </c>
      <c r="S75">
        <v>2.9</v>
      </c>
      <c r="T75" t="b">
        <v>0</v>
      </c>
      <c r="U75" t="str">
        <f t="shared" si="7"/>
        <v>No Return</v>
      </c>
    </row>
    <row r="76" spans="1:22" hidden="1" x14ac:dyDescent="0.3">
      <c r="A76" t="s">
        <v>129</v>
      </c>
      <c r="B76" t="s">
        <v>42</v>
      </c>
      <c r="C76" t="s">
        <v>43</v>
      </c>
      <c r="D76" t="s">
        <v>17</v>
      </c>
      <c r="E76" t="str">
        <f t="shared" si="4"/>
        <v>OS</v>
      </c>
      <c r="F76" t="s">
        <v>55</v>
      </c>
      <c r="G76" t="s">
        <v>46</v>
      </c>
      <c r="H76" s="8">
        <v>100.96</v>
      </c>
      <c r="I76" s="3">
        <f t="shared" si="5"/>
        <v>0</v>
      </c>
      <c r="J76" s="4">
        <v>0</v>
      </c>
      <c r="K76" s="11">
        <f>Table1[[#This Row],[original_price]]* (Table1[[#This Row],[Markdown percentage updated]])</f>
        <v>0</v>
      </c>
      <c r="L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6" s="6">
        <v>100.96</v>
      </c>
      <c r="N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6" s="7">
        <v>45787</v>
      </c>
      <c r="P76">
        <v>32</v>
      </c>
      <c r="Q76" s="16" t="str">
        <f>IF(Table1[[#This Row],[stock_quantity]]=0,"NO STOCK",
IF(Table1[[#This Row],[stock_quantity]]&lt;=10,"LOW STOCK",
"IN STOCK"))</f>
        <v>IN STOCK</v>
      </c>
      <c r="R76" s="1">
        <f t="shared" si="6"/>
        <v>3.3</v>
      </c>
      <c r="S76">
        <v>3.3</v>
      </c>
      <c r="T76" t="b">
        <v>0</v>
      </c>
      <c r="U76" t="str">
        <f t="shared" si="7"/>
        <v>No Return</v>
      </c>
    </row>
    <row r="77" spans="1:22" x14ac:dyDescent="0.3">
      <c r="A77" t="s">
        <v>130</v>
      </c>
      <c r="B77" t="s">
        <v>15</v>
      </c>
      <c r="C77" t="s">
        <v>61</v>
      </c>
      <c r="D77" t="s">
        <v>17</v>
      </c>
      <c r="E77" t="str">
        <f t="shared" si="4"/>
        <v>S</v>
      </c>
      <c r="F77" t="s">
        <v>18</v>
      </c>
      <c r="G77" t="s">
        <v>46</v>
      </c>
      <c r="H77" s="8">
        <v>243.56</v>
      </c>
      <c r="I77" s="3">
        <f t="shared" si="5"/>
        <v>0.48</v>
      </c>
      <c r="J77" s="4">
        <v>48</v>
      </c>
      <c r="K77" s="11">
        <f>Table1[[#This Row],[original_price]]* (Table1[[#This Row],[Markdown percentage updated]])</f>
        <v>116.9088</v>
      </c>
      <c r="L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7" s="6">
        <v>126.65</v>
      </c>
      <c r="N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7" s="7">
        <v>45579</v>
      </c>
      <c r="P77">
        <v>22</v>
      </c>
      <c r="Q77" s="16" t="str">
        <f>IF(Table1[[#This Row],[stock_quantity]]=0,"NO STOCK",
IF(Table1[[#This Row],[stock_quantity]]&lt;=10,"LOW STOCK",
"IN STOCK"))</f>
        <v>IN STOCK</v>
      </c>
      <c r="R77" s="1">
        <f t="shared" si="6"/>
        <v>4.4000000000000004</v>
      </c>
      <c r="S77">
        <v>4.4000000000000004</v>
      </c>
      <c r="T77" t="b">
        <v>1</v>
      </c>
      <c r="U77" s="13" t="str">
        <f t="shared" si="7"/>
        <v>Changed Mind</v>
      </c>
      <c r="V77" t="s">
        <v>115</v>
      </c>
    </row>
    <row r="78" spans="1:22" hidden="1" x14ac:dyDescent="0.3">
      <c r="A78" t="s">
        <v>131</v>
      </c>
      <c r="B78" t="s">
        <v>42</v>
      </c>
      <c r="C78" t="s">
        <v>43</v>
      </c>
      <c r="D78" t="s">
        <v>17</v>
      </c>
      <c r="E78" t="str">
        <f t="shared" si="4"/>
        <v>OS</v>
      </c>
      <c r="F78" t="s">
        <v>49</v>
      </c>
      <c r="G78" t="s">
        <v>19</v>
      </c>
      <c r="H78" s="8">
        <v>153.32</v>
      </c>
      <c r="I78" s="3">
        <f t="shared" si="5"/>
        <v>0</v>
      </c>
      <c r="J78" s="4">
        <v>0</v>
      </c>
      <c r="K78" s="11">
        <f>Table1[[#This Row],[original_price]]* (Table1[[#This Row],[Markdown percentage updated]])</f>
        <v>0</v>
      </c>
      <c r="L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8" s="6">
        <v>153.32</v>
      </c>
      <c r="N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8" s="7">
        <v>45548</v>
      </c>
      <c r="P78">
        <v>43</v>
      </c>
      <c r="Q78" s="16" t="str">
        <f>IF(Table1[[#This Row],[stock_quantity]]=0,"NO STOCK",
IF(Table1[[#This Row],[stock_quantity]]&lt;=10,"LOW STOCK",
"IN STOCK"))</f>
        <v>IN STOCK</v>
      </c>
      <c r="R78" s="1">
        <f t="shared" si="6"/>
        <v>2.9</v>
      </c>
      <c r="S78">
        <v>2.9</v>
      </c>
      <c r="T78" t="b">
        <v>0</v>
      </c>
      <c r="U78" t="str">
        <f t="shared" si="7"/>
        <v>No Return</v>
      </c>
    </row>
    <row r="79" spans="1:22" hidden="1" x14ac:dyDescent="0.3">
      <c r="A79" t="s">
        <v>132</v>
      </c>
      <c r="B79" t="s">
        <v>27</v>
      </c>
      <c r="C79" t="s">
        <v>22</v>
      </c>
      <c r="D79" t="s">
        <v>34</v>
      </c>
      <c r="E79" t="str">
        <f t="shared" si="4"/>
        <v>S</v>
      </c>
      <c r="G79" t="s">
        <v>66</v>
      </c>
      <c r="H79" s="8">
        <v>42.95</v>
      </c>
      <c r="I79" s="3">
        <f t="shared" si="5"/>
        <v>0.22500000000000001</v>
      </c>
      <c r="J79" s="4">
        <v>22.5</v>
      </c>
      <c r="K79" s="11">
        <f>Table1[[#This Row],[original_price]]* (Table1[[#This Row],[Markdown percentage updated]])</f>
        <v>9.6637500000000003</v>
      </c>
      <c r="L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79" s="6">
        <v>33.29</v>
      </c>
      <c r="N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79" s="7">
        <v>45875</v>
      </c>
      <c r="P79">
        <v>7</v>
      </c>
      <c r="Q79" s="17" t="str">
        <f>IF(Table1[[#This Row],[stock_quantity]]=0,"NO STOCK",
IF(Table1[[#This Row],[stock_quantity]]&lt;=10,"LOW STOCK",
"IN STOCK"))</f>
        <v>LOW STOCK</v>
      </c>
      <c r="R79" s="1">
        <f t="shared" si="6"/>
        <v>1.9</v>
      </c>
      <c r="S79">
        <v>1.9</v>
      </c>
      <c r="T79" t="b">
        <v>1</v>
      </c>
      <c r="U79" s="13" t="str">
        <f t="shared" si="7"/>
        <v>Size Issue</v>
      </c>
      <c r="V79" t="s">
        <v>73</v>
      </c>
    </row>
    <row r="80" spans="1:22" hidden="1" x14ac:dyDescent="0.3">
      <c r="A80" t="s">
        <v>133</v>
      </c>
      <c r="B80" t="s">
        <v>21</v>
      </c>
      <c r="C80" t="s">
        <v>48</v>
      </c>
      <c r="D80" t="s">
        <v>62</v>
      </c>
      <c r="E80" t="str">
        <f t="shared" si="4"/>
        <v>M</v>
      </c>
      <c r="F80" t="s">
        <v>39</v>
      </c>
      <c r="G80" t="s">
        <v>46</v>
      </c>
      <c r="H80" s="8">
        <v>30.79</v>
      </c>
      <c r="I80" s="3">
        <f t="shared" si="5"/>
        <v>0</v>
      </c>
      <c r="J80" s="4">
        <v>0</v>
      </c>
      <c r="K80" s="11">
        <f>Table1[[#This Row],[original_price]]* (Table1[[#This Row],[Markdown percentage updated]])</f>
        <v>0</v>
      </c>
      <c r="L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0" s="6">
        <v>30.79</v>
      </c>
      <c r="N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0" s="7">
        <v>45875</v>
      </c>
      <c r="P80">
        <v>36</v>
      </c>
      <c r="Q80" s="16" t="str">
        <f>IF(Table1[[#This Row],[stock_quantity]]=0,"NO STOCK",
IF(Table1[[#This Row],[stock_quantity]]&lt;=10,"LOW STOCK",
"IN STOCK"))</f>
        <v>IN STOCK</v>
      </c>
      <c r="R80" s="1">
        <f t="shared" si="6"/>
        <v>3.4</v>
      </c>
      <c r="S80">
        <v>3.4</v>
      </c>
      <c r="T80" t="b">
        <v>0</v>
      </c>
      <c r="U80" t="str">
        <f t="shared" si="7"/>
        <v>No Return</v>
      </c>
    </row>
    <row r="81" spans="1:22" hidden="1" x14ac:dyDescent="0.3">
      <c r="A81" t="s">
        <v>134</v>
      </c>
      <c r="B81" t="s">
        <v>27</v>
      </c>
      <c r="C81" t="s">
        <v>22</v>
      </c>
      <c r="D81" t="s">
        <v>34</v>
      </c>
      <c r="E81" t="str">
        <f t="shared" si="4"/>
        <v>S</v>
      </c>
      <c r="G81" t="s">
        <v>70</v>
      </c>
      <c r="H81" s="8">
        <v>59.85</v>
      </c>
      <c r="I81" s="3">
        <f t="shared" si="5"/>
        <v>0</v>
      </c>
      <c r="J81" s="4">
        <v>0</v>
      </c>
      <c r="K81" s="11">
        <f>Table1[[#This Row],[original_price]]* (Table1[[#This Row],[Markdown percentage updated]])</f>
        <v>0</v>
      </c>
      <c r="L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1" s="6">
        <v>59.85</v>
      </c>
      <c r="N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1" s="7">
        <v>45875</v>
      </c>
      <c r="P81">
        <v>38</v>
      </c>
      <c r="Q81" s="16" t="str">
        <f>IF(Table1[[#This Row],[stock_quantity]]=0,"NO STOCK",
IF(Table1[[#This Row],[stock_quantity]]&lt;=10,"LOW STOCK",
"IN STOCK"))</f>
        <v>IN STOCK</v>
      </c>
      <c r="R81" s="1">
        <f t="shared" si="6"/>
        <v>4</v>
      </c>
      <c r="S81">
        <v>4</v>
      </c>
      <c r="T81" t="b">
        <v>0</v>
      </c>
      <c r="U81" t="str">
        <f t="shared" si="7"/>
        <v>No Return</v>
      </c>
    </row>
    <row r="82" spans="1:22" hidden="1" x14ac:dyDescent="0.3">
      <c r="A82" t="s">
        <v>135</v>
      </c>
      <c r="B82" t="s">
        <v>21</v>
      </c>
      <c r="C82" t="s">
        <v>32</v>
      </c>
      <c r="D82" t="s">
        <v>17</v>
      </c>
      <c r="E82" t="str">
        <f t="shared" si="4"/>
        <v>XS</v>
      </c>
      <c r="F82" t="s">
        <v>39</v>
      </c>
      <c r="G82" t="s">
        <v>64</v>
      </c>
      <c r="H82" s="8">
        <v>78.16</v>
      </c>
      <c r="I82" s="3">
        <f t="shared" si="5"/>
        <v>0.191</v>
      </c>
      <c r="J82" s="4">
        <v>19.100000000000001</v>
      </c>
      <c r="K82" s="11">
        <f>Table1[[#This Row],[original_price]]* (Table1[[#This Row],[Markdown percentage updated]])</f>
        <v>14.928559999999999</v>
      </c>
      <c r="L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2" s="6">
        <v>63.23</v>
      </c>
      <c r="N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2" s="7">
        <v>45863</v>
      </c>
      <c r="P82">
        <v>23</v>
      </c>
      <c r="Q82" s="16" t="str">
        <f>IF(Table1[[#This Row],[stock_quantity]]=0,"NO STOCK",
IF(Table1[[#This Row],[stock_quantity]]&lt;=10,"LOW STOCK",
"IN STOCK"))</f>
        <v>IN STOCK</v>
      </c>
      <c r="R82" s="1">
        <f t="shared" si="6"/>
        <v>0</v>
      </c>
      <c r="T82" t="b">
        <v>0</v>
      </c>
      <c r="U82" t="str">
        <f t="shared" si="7"/>
        <v>No Return</v>
      </c>
    </row>
    <row r="83" spans="1:22" hidden="1" x14ac:dyDescent="0.3">
      <c r="A83" t="s">
        <v>136</v>
      </c>
      <c r="B83" t="s">
        <v>21</v>
      </c>
      <c r="C83" t="s">
        <v>53</v>
      </c>
      <c r="D83" t="s">
        <v>34</v>
      </c>
      <c r="E83" t="str">
        <f t="shared" si="4"/>
        <v>XL</v>
      </c>
      <c r="F83" t="s">
        <v>58</v>
      </c>
      <c r="G83" t="s">
        <v>35</v>
      </c>
      <c r="H83" s="8">
        <v>113.17</v>
      </c>
      <c r="I83" s="3">
        <f t="shared" si="5"/>
        <v>0.191</v>
      </c>
      <c r="J83" s="4">
        <v>19.100000000000001</v>
      </c>
      <c r="K83" s="11">
        <f>Table1[[#This Row],[original_price]]* (Table1[[#This Row],[Markdown percentage updated]])</f>
        <v>21.615470000000002</v>
      </c>
      <c r="L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3" s="6">
        <v>91.55</v>
      </c>
      <c r="N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3" s="7">
        <v>45875</v>
      </c>
      <c r="P83">
        <v>15</v>
      </c>
      <c r="Q83" s="16" t="str">
        <f>IF(Table1[[#This Row],[stock_quantity]]=0,"NO STOCK",
IF(Table1[[#This Row],[stock_quantity]]&lt;=10,"LOW STOCK",
"IN STOCK"))</f>
        <v>IN STOCK</v>
      </c>
      <c r="R83" s="1">
        <f t="shared" si="6"/>
        <v>4.9000000000000004</v>
      </c>
      <c r="S83">
        <v>4.9000000000000004</v>
      </c>
      <c r="T83" t="b">
        <v>0</v>
      </c>
      <c r="U83" t="str">
        <f t="shared" si="7"/>
        <v>No Return</v>
      </c>
    </row>
    <row r="84" spans="1:22" hidden="1" x14ac:dyDescent="0.3">
      <c r="A84" t="s">
        <v>137</v>
      </c>
      <c r="B84" t="s">
        <v>42</v>
      </c>
      <c r="C84" t="s">
        <v>53</v>
      </c>
      <c r="D84" t="s">
        <v>23</v>
      </c>
      <c r="E84" t="str">
        <f t="shared" si="4"/>
        <v>XS</v>
      </c>
      <c r="F84" t="s">
        <v>39</v>
      </c>
      <c r="G84" t="s">
        <v>44</v>
      </c>
      <c r="H84" s="8">
        <v>174.13</v>
      </c>
      <c r="I84" s="3">
        <f t="shared" si="5"/>
        <v>0</v>
      </c>
      <c r="J84" s="4">
        <v>0</v>
      </c>
      <c r="K84" s="11">
        <f>Table1[[#This Row],[original_price]]* (Table1[[#This Row],[Markdown percentage updated]])</f>
        <v>0</v>
      </c>
      <c r="L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4" s="6">
        <v>174.13</v>
      </c>
      <c r="N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4" s="7">
        <v>45875</v>
      </c>
      <c r="P84">
        <v>34</v>
      </c>
      <c r="Q84" s="16" t="str">
        <f>IF(Table1[[#This Row],[stock_quantity]]=0,"NO STOCK",
IF(Table1[[#This Row],[stock_quantity]]&lt;=10,"LOW STOCK",
"IN STOCK"))</f>
        <v>IN STOCK</v>
      </c>
      <c r="R84" s="1">
        <f t="shared" si="6"/>
        <v>3.7</v>
      </c>
      <c r="S84">
        <v>3.7</v>
      </c>
      <c r="T84" t="b">
        <v>0</v>
      </c>
      <c r="U84" t="str">
        <f t="shared" si="7"/>
        <v>No Return</v>
      </c>
    </row>
    <row r="85" spans="1:22" hidden="1" x14ac:dyDescent="0.3">
      <c r="A85" t="s">
        <v>138</v>
      </c>
      <c r="B85" t="s">
        <v>30</v>
      </c>
      <c r="C85" t="s">
        <v>16</v>
      </c>
      <c r="D85" t="s">
        <v>62</v>
      </c>
      <c r="E85" t="str">
        <f t="shared" si="4"/>
        <v>M</v>
      </c>
      <c r="F85" t="s">
        <v>55</v>
      </c>
      <c r="G85" t="s">
        <v>66</v>
      </c>
      <c r="H85" s="8">
        <v>191.96</v>
      </c>
      <c r="I85" s="3">
        <f t="shared" si="5"/>
        <v>0</v>
      </c>
      <c r="J85" s="4">
        <v>0</v>
      </c>
      <c r="K85" s="11">
        <f>Table1[[#This Row],[original_price]]* (Table1[[#This Row],[Markdown percentage updated]])</f>
        <v>0</v>
      </c>
      <c r="L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5" s="6">
        <v>191.96</v>
      </c>
      <c r="N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5" s="7">
        <v>45875</v>
      </c>
      <c r="P85">
        <v>50</v>
      </c>
      <c r="Q85" s="16" t="str">
        <f>IF(Table1[[#This Row],[stock_quantity]]=0,"NO STOCK",
IF(Table1[[#This Row],[stock_quantity]]&lt;=10,"LOW STOCK",
"IN STOCK"))</f>
        <v>IN STOCK</v>
      </c>
      <c r="R85" s="1">
        <f t="shared" si="6"/>
        <v>0</v>
      </c>
      <c r="T85" t="b">
        <v>0</v>
      </c>
      <c r="U85" t="str">
        <f t="shared" si="7"/>
        <v>No Return</v>
      </c>
    </row>
    <row r="86" spans="1:22" hidden="1" x14ac:dyDescent="0.3">
      <c r="A86" t="s">
        <v>139</v>
      </c>
      <c r="B86" t="s">
        <v>15</v>
      </c>
      <c r="C86" t="s">
        <v>53</v>
      </c>
      <c r="D86" t="s">
        <v>17</v>
      </c>
      <c r="E86" t="str">
        <f t="shared" si="4"/>
        <v>S</v>
      </c>
      <c r="F86" t="s">
        <v>18</v>
      </c>
      <c r="G86" t="s">
        <v>56</v>
      </c>
      <c r="H86" s="8">
        <v>222.55</v>
      </c>
      <c r="I86" s="3">
        <f t="shared" si="5"/>
        <v>0.22600000000000001</v>
      </c>
      <c r="J86" s="4">
        <v>22.6</v>
      </c>
      <c r="K86" s="11">
        <f>Table1[[#This Row],[original_price]]* (Table1[[#This Row],[Markdown percentage updated]])</f>
        <v>50.296300000000002</v>
      </c>
      <c r="L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86" s="6">
        <v>172.25</v>
      </c>
      <c r="N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6" s="7">
        <v>45698</v>
      </c>
      <c r="P86">
        <v>50</v>
      </c>
      <c r="Q86" s="16" t="str">
        <f>IF(Table1[[#This Row],[stock_quantity]]=0,"NO STOCK",
IF(Table1[[#This Row],[stock_quantity]]&lt;=10,"LOW STOCK",
"IN STOCK"))</f>
        <v>IN STOCK</v>
      </c>
      <c r="R86" s="1">
        <f t="shared" si="6"/>
        <v>0</v>
      </c>
      <c r="T86" t="b">
        <v>0</v>
      </c>
      <c r="U86" t="str">
        <f t="shared" si="7"/>
        <v>No Return</v>
      </c>
    </row>
    <row r="87" spans="1:22" x14ac:dyDescent="0.3">
      <c r="A87" t="s">
        <v>140</v>
      </c>
      <c r="B87" t="s">
        <v>38</v>
      </c>
      <c r="C87" t="s">
        <v>75</v>
      </c>
      <c r="D87" t="s">
        <v>23</v>
      </c>
      <c r="E87" t="str">
        <f t="shared" si="4"/>
        <v>M</v>
      </c>
      <c r="F87" t="s">
        <v>55</v>
      </c>
      <c r="G87" t="s">
        <v>28</v>
      </c>
      <c r="H87" s="8">
        <v>37.85</v>
      </c>
      <c r="I87" s="3">
        <f t="shared" si="5"/>
        <v>0.11900000000000001</v>
      </c>
      <c r="J87" s="4">
        <v>11.9</v>
      </c>
      <c r="K87" s="11">
        <f>Table1[[#This Row],[original_price]]* (Table1[[#This Row],[Markdown percentage updated]])</f>
        <v>4.5041500000000001</v>
      </c>
      <c r="L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7" s="6">
        <v>33.35</v>
      </c>
      <c r="N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87" s="7">
        <v>45875</v>
      </c>
      <c r="P87">
        <v>45</v>
      </c>
      <c r="Q87" s="16" t="str">
        <f>IF(Table1[[#This Row],[stock_quantity]]=0,"NO STOCK",
IF(Table1[[#This Row],[stock_quantity]]&lt;=10,"LOW STOCK",
"IN STOCK"))</f>
        <v>IN STOCK</v>
      </c>
      <c r="R87" s="1">
        <f t="shared" si="6"/>
        <v>3.4</v>
      </c>
      <c r="S87">
        <v>3.4</v>
      </c>
      <c r="T87" t="b">
        <v>1</v>
      </c>
      <c r="U87" s="13" t="str">
        <f t="shared" si="7"/>
        <v>Changed Mind</v>
      </c>
      <c r="V87" t="s">
        <v>115</v>
      </c>
    </row>
    <row r="88" spans="1:22" hidden="1" x14ac:dyDescent="0.3">
      <c r="A88" t="s">
        <v>141</v>
      </c>
      <c r="B88" t="s">
        <v>15</v>
      </c>
      <c r="C88" t="s">
        <v>22</v>
      </c>
      <c r="D88" t="s">
        <v>62</v>
      </c>
      <c r="E88" t="str">
        <f t="shared" si="4"/>
        <v>XXL</v>
      </c>
      <c r="F88" t="s">
        <v>58</v>
      </c>
      <c r="G88" t="s">
        <v>40</v>
      </c>
      <c r="H88" s="8">
        <v>241.09</v>
      </c>
      <c r="I88" s="3">
        <f t="shared" si="5"/>
        <v>0</v>
      </c>
      <c r="J88" s="4">
        <v>0</v>
      </c>
      <c r="K88" s="11">
        <f>Table1[[#This Row],[original_price]]* (Table1[[#This Row],[Markdown percentage updated]])</f>
        <v>0</v>
      </c>
      <c r="L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8" s="6">
        <v>241.09</v>
      </c>
      <c r="N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8" s="7">
        <v>45875</v>
      </c>
      <c r="P88">
        <v>26</v>
      </c>
      <c r="Q88" s="16" t="str">
        <f>IF(Table1[[#This Row],[stock_quantity]]=0,"NO STOCK",
IF(Table1[[#This Row],[stock_quantity]]&lt;=10,"LOW STOCK",
"IN STOCK"))</f>
        <v>IN STOCK</v>
      </c>
      <c r="R88" s="1">
        <f t="shared" si="6"/>
        <v>0</v>
      </c>
      <c r="T88" t="b">
        <v>0</v>
      </c>
      <c r="U88" t="str">
        <f t="shared" si="7"/>
        <v>No Return</v>
      </c>
    </row>
    <row r="89" spans="1:22" hidden="1" x14ac:dyDescent="0.3">
      <c r="A89" t="s">
        <v>142</v>
      </c>
      <c r="B89" t="s">
        <v>42</v>
      </c>
      <c r="C89" t="s">
        <v>32</v>
      </c>
      <c r="D89" t="s">
        <v>17</v>
      </c>
      <c r="E89" t="str">
        <f t="shared" si="4"/>
        <v>S</v>
      </c>
      <c r="F89" t="s">
        <v>39</v>
      </c>
      <c r="G89" t="s">
        <v>64</v>
      </c>
      <c r="H89" s="8">
        <v>136.97</v>
      </c>
      <c r="I89" s="3">
        <f t="shared" si="5"/>
        <v>0</v>
      </c>
      <c r="J89" s="4">
        <v>0</v>
      </c>
      <c r="K89" s="11">
        <f>Table1[[#This Row],[original_price]]* (Table1[[#This Row],[Markdown percentage updated]])</f>
        <v>0</v>
      </c>
      <c r="L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9" s="6">
        <v>136.97</v>
      </c>
      <c r="N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9" s="7">
        <v>45590</v>
      </c>
      <c r="P89">
        <v>17</v>
      </c>
      <c r="Q89" s="16" t="str">
        <f>IF(Table1[[#This Row],[stock_quantity]]=0,"NO STOCK",
IF(Table1[[#This Row],[stock_quantity]]&lt;=10,"LOW STOCK",
"IN STOCK"))</f>
        <v>IN STOCK</v>
      </c>
      <c r="R89" s="1">
        <f t="shared" si="6"/>
        <v>4.4000000000000004</v>
      </c>
      <c r="S89">
        <v>4.4000000000000004</v>
      </c>
      <c r="T89" t="b">
        <v>1</v>
      </c>
      <c r="U89" s="13" t="str">
        <f t="shared" si="7"/>
        <v>Quality Issue</v>
      </c>
      <c r="V89" t="s">
        <v>83</v>
      </c>
    </row>
    <row r="90" spans="1:22" hidden="1" x14ac:dyDescent="0.3">
      <c r="A90" t="s">
        <v>143</v>
      </c>
      <c r="B90" t="s">
        <v>30</v>
      </c>
      <c r="C90" t="s">
        <v>48</v>
      </c>
      <c r="D90" t="s">
        <v>17</v>
      </c>
      <c r="E90" t="str">
        <f t="shared" si="4"/>
        <v>OS</v>
      </c>
      <c r="F90" t="s">
        <v>58</v>
      </c>
      <c r="G90" t="s">
        <v>44</v>
      </c>
      <c r="H90" s="8">
        <v>113.79</v>
      </c>
      <c r="I90" s="3">
        <f t="shared" si="5"/>
        <v>0.55299999999999994</v>
      </c>
      <c r="J90" s="4">
        <v>55.3</v>
      </c>
      <c r="K90" s="11">
        <f>Table1[[#This Row],[original_price]]* (Table1[[#This Row],[Markdown percentage updated]])</f>
        <v>62.925869999999996</v>
      </c>
      <c r="L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0" s="6">
        <v>50.86</v>
      </c>
      <c r="N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0" s="7">
        <v>45655</v>
      </c>
      <c r="P90">
        <v>47</v>
      </c>
      <c r="Q90" s="16" t="str">
        <f>IF(Table1[[#This Row],[stock_quantity]]=0,"NO STOCK",
IF(Table1[[#This Row],[stock_quantity]]&lt;=10,"LOW STOCK",
"IN STOCK"))</f>
        <v>IN STOCK</v>
      </c>
      <c r="R90" s="1">
        <f t="shared" si="6"/>
        <v>4.0999999999999996</v>
      </c>
      <c r="S90">
        <v>4.0999999999999996</v>
      </c>
      <c r="T90" t="b">
        <v>0</v>
      </c>
      <c r="U90" t="str">
        <f t="shared" si="7"/>
        <v>No Return</v>
      </c>
    </row>
    <row r="91" spans="1:22" hidden="1" x14ac:dyDescent="0.3">
      <c r="A91" t="s">
        <v>144</v>
      </c>
      <c r="B91" t="s">
        <v>38</v>
      </c>
      <c r="C91" t="s">
        <v>48</v>
      </c>
      <c r="D91" t="s">
        <v>62</v>
      </c>
      <c r="E91" t="str">
        <f t="shared" si="4"/>
        <v>S</v>
      </c>
      <c r="F91" t="s">
        <v>49</v>
      </c>
      <c r="G91" t="s">
        <v>35</v>
      </c>
      <c r="H91" s="8">
        <v>93.23</v>
      </c>
      <c r="I91" s="3">
        <f t="shared" si="5"/>
        <v>0.4</v>
      </c>
      <c r="J91" s="4">
        <v>40</v>
      </c>
      <c r="K91" s="11">
        <f>Table1[[#This Row],[original_price]]* (Table1[[#This Row],[Markdown percentage updated]])</f>
        <v>37.292000000000002</v>
      </c>
      <c r="L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1" s="6">
        <v>55.94</v>
      </c>
      <c r="N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1" s="7">
        <v>45875</v>
      </c>
      <c r="P91">
        <v>46</v>
      </c>
      <c r="Q91" s="16" t="str">
        <f>IF(Table1[[#This Row],[stock_quantity]]=0,"NO STOCK",
IF(Table1[[#This Row],[stock_quantity]]&lt;=10,"LOW STOCK",
"IN STOCK"))</f>
        <v>IN STOCK</v>
      </c>
      <c r="R91" s="1">
        <f t="shared" si="6"/>
        <v>1.9</v>
      </c>
      <c r="S91">
        <v>1.9</v>
      </c>
      <c r="T91" t="b">
        <v>0</v>
      </c>
      <c r="U91" t="str">
        <f t="shared" si="7"/>
        <v>No Return</v>
      </c>
    </row>
    <row r="92" spans="1:22" hidden="1" x14ac:dyDescent="0.3">
      <c r="A92" t="s">
        <v>145</v>
      </c>
      <c r="B92" t="s">
        <v>30</v>
      </c>
      <c r="C92" t="s">
        <v>22</v>
      </c>
      <c r="D92" t="s">
        <v>17</v>
      </c>
      <c r="E92" t="str">
        <f t="shared" si="4"/>
        <v>XS</v>
      </c>
      <c r="F92" t="s">
        <v>39</v>
      </c>
      <c r="G92" t="s">
        <v>64</v>
      </c>
      <c r="H92" s="8">
        <v>106.24</v>
      </c>
      <c r="I92" s="3">
        <f t="shared" si="5"/>
        <v>6.4000000000000001E-2</v>
      </c>
      <c r="J92" s="4">
        <v>6.4</v>
      </c>
      <c r="K92" s="11">
        <f>Table1[[#This Row],[original_price]]* (Table1[[#This Row],[Markdown percentage updated]])</f>
        <v>6.7993600000000001</v>
      </c>
      <c r="L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2" s="6">
        <v>99.44</v>
      </c>
      <c r="N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92" s="7">
        <v>45544</v>
      </c>
      <c r="P92">
        <v>50</v>
      </c>
      <c r="Q92" s="16" t="str">
        <f>IF(Table1[[#This Row],[stock_quantity]]=0,"NO STOCK",
IF(Table1[[#This Row],[stock_quantity]]&lt;=10,"LOW STOCK",
"IN STOCK"))</f>
        <v>IN STOCK</v>
      </c>
      <c r="R92" s="1">
        <f t="shared" si="6"/>
        <v>1.5</v>
      </c>
      <c r="S92">
        <v>1.5</v>
      </c>
      <c r="T92" t="b">
        <v>0</v>
      </c>
      <c r="U92" t="str">
        <f t="shared" si="7"/>
        <v>No Return</v>
      </c>
    </row>
    <row r="93" spans="1:22" x14ac:dyDescent="0.3">
      <c r="A93" t="s">
        <v>146</v>
      </c>
      <c r="B93" t="s">
        <v>27</v>
      </c>
      <c r="C93" t="s">
        <v>16</v>
      </c>
      <c r="D93" t="s">
        <v>23</v>
      </c>
      <c r="E93" t="str">
        <f t="shared" si="4"/>
        <v>XS</v>
      </c>
      <c r="G93" t="s">
        <v>70</v>
      </c>
      <c r="H93" s="8">
        <v>30.95</v>
      </c>
      <c r="I93" s="3">
        <f t="shared" si="5"/>
        <v>0</v>
      </c>
      <c r="J93" s="4">
        <v>0</v>
      </c>
      <c r="K93" s="11">
        <f>Table1[[#This Row],[original_price]]* (Table1[[#This Row],[Markdown percentage updated]])</f>
        <v>0</v>
      </c>
      <c r="L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3" s="6">
        <v>30.95</v>
      </c>
      <c r="N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3" s="7">
        <v>45875</v>
      </c>
      <c r="P93">
        <v>27</v>
      </c>
      <c r="Q93" s="16" t="str">
        <f>IF(Table1[[#This Row],[stock_quantity]]=0,"NO STOCK",
IF(Table1[[#This Row],[stock_quantity]]&lt;=10,"LOW STOCK",
"IN STOCK"))</f>
        <v>IN STOCK</v>
      </c>
      <c r="R93" s="1">
        <f t="shared" si="6"/>
        <v>3.1</v>
      </c>
      <c r="S93">
        <v>3.1</v>
      </c>
      <c r="T93" t="b">
        <v>1</v>
      </c>
      <c r="U93" s="13" t="str">
        <f t="shared" si="7"/>
        <v>Changed Mind</v>
      </c>
      <c r="V93" t="s">
        <v>115</v>
      </c>
    </row>
    <row r="94" spans="1:22" hidden="1" x14ac:dyDescent="0.3">
      <c r="A94" t="s">
        <v>147</v>
      </c>
      <c r="B94" t="s">
        <v>30</v>
      </c>
      <c r="C94" t="s">
        <v>16</v>
      </c>
      <c r="D94" t="s">
        <v>62</v>
      </c>
      <c r="E94" t="str">
        <f t="shared" si="4"/>
        <v>OS</v>
      </c>
      <c r="F94" t="s">
        <v>39</v>
      </c>
      <c r="G94" t="s">
        <v>28</v>
      </c>
      <c r="H94" s="8">
        <v>76.92</v>
      </c>
      <c r="I94" s="3">
        <f t="shared" si="5"/>
        <v>0.495</v>
      </c>
      <c r="J94" s="4">
        <v>49.5</v>
      </c>
      <c r="K94" s="11">
        <f>Table1[[#This Row],[original_price]]* (Table1[[#This Row],[Markdown percentage updated]])</f>
        <v>38.075400000000002</v>
      </c>
      <c r="L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4" s="6">
        <v>38.840000000000003</v>
      </c>
      <c r="N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4" s="7">
        <v>45875</v>
      </c>
      <c r="P94">
        <v>7</v>
      </c>
      <c r="Q94" s="17" t="str">
        <f>IF(Table1[[#This Row],[stock_quantity]]=0,"NO STOCK",
IF(Table1[[#This Row],[stock_quantity]]&lt;=10,"LOW STOCK",
"IN STOCK"))</f>
        <v>LOW STOCK</v>
      </c>
      <c r="R94" s="1">
        <f t="shared" si="6"/>
        <v>1.1000000000000001</v>
      </c>
      <c r="S94">
        <v>1.1000000000000001</v>
      </c>
      <c r="T94" t="b">
        <v>0</v>
      </c>
      <c r="U94" t="str">
        <f t="shared" si="7"/>
        <v>No Return</v>
      </c>
    </row>
    <row r="95" spans="1:22" hidden="1" x14ac:dyDescent="0.3">
      <c r="A95" t="s">
        <v>148</v>
      </c>
      <c r="B95" t="s">
        <v>38</v>
      </c>
      <c r="C95" t="s">
        <v>48</v>
      </c>
      <c r="D95" t="s">
        <v>34</v>
      </c>
      <c r="E95" t="str">
        <f t="shared" si="4"/>
        <v>M</v>
      </c>
      <c r="F95" t="s">
        <v>55</v>
      </c>
      <c r="G95" t="s">
        <v>56</v>
      </c>
      <c r="H95" s="8">
        <v>80.64</v>
      </c>
      <c r="I95" s="3">
        <f t="shared" si="5"/>
        <v>0</v>
      </c>
      <c r="J95" s="4">
        <v>0</v>
      </c>
      <c r="K95" s="11">
        <f>Table1[[#This Row],[original_price]]* (Table1[[#This Row],[Markdown percentage updated]])</f>
        <v>0</v>
      </c>
      <c r="L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5" s="6">
        <v>80.64</v>
      </c>
      <c r="N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5" s="7">
        <v>45875</v>
      </c>
      <c r="P95">
        <v>26</v>
      </c>
      <c r="Q95" s="16" t="str">
        <f>IF(Table1[[#This Row],[stock_quantity]]=0,"NO STOCK",
IF(Table1[[#This Row],[stock_quantity]]&lt;=10,"LOW STOCK",
"IN STOCK"))</f>
        <v>IN STOCK</v>
      </c>
      <c r="R95" s="1">
        <f t="shared" si="6"/>
        <v>0</v>
      </c>
      <c r="T95" t="b">
        <v>0</v>
      </c>
      <c r="U95" t="str">
        <f t="shared" si="7"/>
        <v>No Return</v>
      </c>
    </row>
    <row r="96" spans="1:22" hidden="1" x14ac:dyDescent="0.3">
      <c r="A96" t="s">
        <v>149</v>
      </c>
      <c r="B96" t="s">
        <v>38</v>
      </c>
      <c r="C96" t="s">
        <v>16</v>
      </c>
      <c r="D96" t="s">
        <v>34</v>
      </c>
      <c r="E96" t="str">
        <f t="shared" si="4"/>
        <v>XXL</v>
      </c>
      <c r="F96" t="s">
        <v>55</v>
      </c>
      <c r="G96" t="s">
        <v>56</v>
      </c>
      <c r="H96" s="8">
        <v>32.46</v>
      </c>
      <c r="I96" s="3">
        <f t="shared" si="5"/>
        <v>0.52400000000000002</v>
      </c>
      <c r="J96" s="4">
        <v>52.4</v>
      </c>
      <c r="K96" s="11">
        <f>Table1[[#This Row],[original_price]]* (Table1[[#This Row],[Markdown percentage updated]])</f>
        <v>17.009040000000002</v>
      </c>
      <c r="L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6" s="6">
        <v>15.45</v>
      </c>
      <c r="N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96" s="7">
        <v>45875</v>
      </c>
      <c r="P96">
        <v>14</v>
      </c>
      <c r="Q96" s="16" t="str">
        <f>IF(Table1[[#This Row],[stock_quantity]]=0,"NO STOCK",
IF(Table1[[#This Row],[stock_quantity]]&lt;=10,"LOW STOCK",
"IN STOCK"))</f>
        <v>IN STOCK</v>
      </c>
      <c r="R96" s="1">
        <f t="shared" si="6"/>
        <v>3.9</v>
      </c>
      <c r="S96">
        <v>3.9</v>
      </c>
      <c r="T96" t="b">
        <v>0</v>
      </c>
      <c r="U96" t="str">
        <f t="shared" si="7"/>
        <v>No Return</v>
      </c>
    </row>
    <row r="97" spans="1:21" hidden="1" x14ac:dyDescent="0.3">
      <c r="A97" t="s">
        <v>150</v>
      </c>
      <c r="B97" t="s">
        <v>27</v>
      </c>
      <c r="C97" t="s">
        <v>61</v>
      </c>
      <c r="D97" t="s">
        <v>62</v>
      </c>
      <c r="E97" t="str">
        <f t="shared" si="4"/>
        <v>XS</v>
      </c>
      <c r="G97" t="s">
        <v>28</v>
      </c>
      <c r="H97" s="8">
        <v>54.79</v>
      </c>
      <c r="I97" s="3">
        <f t="shared" si="5"/>
        <v>0</v>
      </c>
      <c r="J97" s="4">
        <v>0</v>
      </c>
      <c r="K97" s="11">
        <f>Table1[[#This Row],[original_price]]* (Table1[[#This Row],[Markdown percentage updated]])</f>
        <v>0</v>
      </c>
      <c r="L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7" s="6">
        <v>54.79</v>
      </c>
      <c r="N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7" s="7">
        <v>45875</v>
      </c>
      <c r="P97">
        <v>12</v>
      </c>
      <c r="Q97" s="16" t="str">
        <f>IF(Table1[[#This Row],[stock_quantity]]=0,"NO STOCK",
IF(Table1[[#This Row],[stock_quantity]]&lt;=10,"LOW STOCK",
"IN STOCK"))</f>
        <v>IN STOCK</v>
      </c>
      <c r="R97" s="1">
        <f t="shared" si="6"/>
        <v>4.5</v>
      </c>
      <c r="S97">
        <v>4.5</v>
      </c>
      <c r="T97" t="b">
        <v>0</v>
      </c>
      <c r="U97" t="str">
        <f t="shared" si="7"/>
        <v>No Return</v>
      </c>
    </row>
    <row r="98" spans="1:21" hidden="1" x14ac:dyDescent="0.3">
      <c r="A98" t="s">
        <v>151</v>
      </c>
      <c r="B98" t="s">
        <v>38</v>
      </c>
      <c r="C98" t="s">
        <v>48</v>
      </c>
      <c r="D98" t="s">
        <v>23</v>
      </c>
      <c r="E98" t="str">
        <f t="shared" si="4"/>
        <v>L</v>
      </c>
      <c r="F98" t="s">
        <v>58</v>
      </c>
      <c r="G98" t="s">
        <v>25</v>
      </c>
      <c r="H98" s="8">
        <v>71.14</v>
      </c>
      <c r="I98" s="3">
        <f t="shared" si="5"/>
        <v>0.56399999999999995</v>
      </c>
      <c r="J98" s="4">
        <v>56.4</v>
      </c>
      <c r="K98" s="11">
        <f>Table1[[#This Row],[original_price]]* (Table1[[#This Row],[Markdown percentage updated]])</f>
        <v>40.122959999999999</v>
      </c>
      <c r="L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8" s="6">
        <v>31.02</v>
      </c>
      <c r="N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8" s="7">
        <v>45875</v>
      </c>
      <c r="P98">
        <v>12</v>
      </c>
      <c r="Q98" s="16" t="str">
        <f>IF(Table1[[#This Row],[stock_quantity]]=0,"NO STOCK",
IF(Table1[[#This Row],[stock_quantity]]&lt;=10,"LOW STOCK",
"IN STOCK"))</f>
        <v>IN STOCK</v>
      </c>
      <c r="R98" s="1">
        <f t="shared" si="6"/>
        <v>3.4</v>
      </c>
      <c r="S98">
        <v>3.4</v>
      </c>
      <c r="T98" t="b">
        <v>0</v>
      </c>
      <c r="U98" t="str">
        <f t="shared" si="7"/>
        <v>No Return</v>
      </c>
    </row>
    <row r="99" spans="1:21" hidden="1" x14ac:dyDescent="0.3">
      <c r="A99" t="s">
        <v>152</v>
      </c>
      <c r="B99" t="s">
        <v>38</v>
      </c>
      <c r="C99" t="s">
        <v>53</v>
      </c>
      <c r="D99" t="s">
        <v>62</v>
      </c>
      <c r="E99" t="str">
        <f t="shared" si="4"/>
        <v>L</v>
      </c>
      <c r="F99" t="s">
        <v>49</v>
      </c>
      <c r="G99" t="s">
        <v>64</v>
      </c>
      <c r="H99" s="8">
        <v>57.85</v>
      </c>
      <c r="I99" s="3">
        <f t="shared" si="5"/>
        <v>0</v>
      </c>
      <c r="J99" s="4">
        <v>0</v>
      </c>
      <c r="K99" s="11">
        <f>Table1[[#This Row],[original_price]]* (Table1[[#This Row],[Markdown percentage updated]])</f>
        <v>0</v>
      </c>
      <c r="L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9" s="6">
        <v>57.85</v>
      </c>
      <c r="N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9" s="7">
        <v>45875</v>
      </c>
      <c r="P99">
        <v>36</v>
      </c>
      <c r="Q99" s="16" t="str">
        <f>IF(Table1[[#This Row],[stock_quantity]]=0,"NO STOCK",
IF(Table1[[#This Row],[stock_quantity]]&lt;=10,"LOW STOCK",
"IN STOCK"))</f>
        <v>IN STOCK</v>
      </c>
      <c r="R99" s="1">
        <f t="shared" si="6"/>
        <v>3.5</v>
      </c>
      <c r="S99">
        <v>3.5</v>
      </c>
      <c r="T99" t="b">
        <v>0</v>
      </c>
      <c r="U99" t="str">
        <f t="shared" si="7"/>
        <v>No Return</v>
      </c>
    </row>
    <row r="100" spans="1:21" hidden="1" x14ac:dyDescent="0.3">
      <c r="A100" t="s">
        <v>153</v>
      </c>
      <c r="B100" t="s">
        <v>38</v>
      </c>
      <c r="C100" t="s">
        <v>16</v>
      </c>
      <c r="D100" t="s">
        <v>62</v>
      </c>
      <c r="E100" t="str">
        <f t="shared" si="4"/>
        <v>S</v>
      </c>
      <c r="F100" t="s">
        <v>55</v>
      </c>
      <c r="G100" t="s">
        <v>46</v>
      </c>
      <c r="H100" s="8">
        <v>33.369999999999997</v>
      </c>
      <c r="I100" s="3">
        <f t="shared" si="5"/>
        <v>0.03</v>
      </c>
      <c r="J100" s="4">
        <v>3</v>
      </c>
      <c r="K100" s="11">
        <f>Table1[[#This Row],[original_price]]* (Table1[[#This Row],[Markdown percentage updated]])</f>
        <v>1.0010999999999999</v>
      </c>
      <c r="L1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0" s="6">
        <v>32.369999999999997</v>
      </c>
      <c r="N1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0" s="7">
        <v>45875</v>
      </c>
      <c r="P100">
        <v>40</v>
      </c>
      <c r="Q100" s="16" t="str">
        <f>IF(Table1[[#This Row],[stock_quantity]]=0,"NO STOCK",
IF(Table1[[#This Row],[stock_quantity]]&lt;=10,"LOW STOCK",
"IN STOCK"))</f>
        <v>IN STOCK</v>
      </c>
      <c r="R100" s="1">
        <f t="shared" si="6"/>
        <v>1.3</v>
      </c>
      <c r="S100">
        <v>1.3</v>
      </c>
      <c r="T100" t="b">
        <v>0</v>
      </c>
      <c r="U100" t="str">
        <f t="shared" si="7"/>
        <v>No Return</v>
      </c>
    </row>
    <row r="101" spans="1:21" hidden="1" x14ac:dyDescent="0.3">
      <c r="A101" t="s">
        <v>154</v>
      </c>
      <c r="B101" t="s">
        <v>21</v>
      </c>
      <c r="C101" t="s">
        <v>61</v>
      </c>
      <c r="D101" t="s">
        <v>62</v>
      </c>
      <c r="E101" t="str">
        <f t="shared" si="4"/>
        <v>S</v>
      </c>
      <c r="F101" t="s">
        <v>24</v>
      </c>
      <c r="G101" t="s">
        <v>28</v>
      </c>
      <c r="H101" s="8">
        <v>91.83</v>
      </c>
      <c r="I101" s="3">
        <f t="shared" si="5"/>
        <v>0</v>
      </c>
      <c r="J101" s="4">
        <v>0</v>
      </c>
      <c r="K101" s="11">
        <f>Table1[[#This Row],[original_price]]* (Table1[[#This Row],[Markdown percentage updated]])</f>
        <v>0</v>
      </c>
      <c r="L1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1" s="6">
        <v>91.83</v>
      </c>
      <c r="N1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1" s="7">
        <v>45875</v>
      </c>
      <c r="P101">
        <v>39</v>
      </c>
      <c r="Q101" s="16" t="str">
        <f>IF(Table1[[#This Row],[stock_quantity]]=0,"NO STOCK",
IF(Table1[[#This Row],[stock_quantity]]&lt;=10,"LOW STOCK",
"IN STOCK"))</f>
        <v>IN STOCK</v>
      </c>
      <c r="R101" s="1">
        <f t="shared" si="6"/>
        <v>4.9000000000000004</v>
      </c>
      <c r="S101">
        <v>4.9000000000000004</v>
      </c>
      <c r="T101" t="b">
        <v>0</v>
      </c>
      <c r="U101" t="str">
        <f t="shared" si="7"/>
        <v>No Return</v>
      </c>
    </row>
    <row r="102" spans="1:21" hidden="1" x14ac:dyDescent="0.3">
      <c r="A102" t="s">
        <v>155</v>
      </c>
      <c r="B102" t="s">
        <v>38</v>
      </c>
      <c r="C102" t="s">
        <v>16</v>
      </c>
      <c r="D102" t="s">
        <v>34</v>
      </c>
      <c r="E102" t="str">
        <f t="shared" si="4"/>
        <v>L</v>
      </c>
      <c r="F102" t="s">
        <v>24</v>
      </c>
      <c r="G102" t="s">
        <v>35</v>
      </c>
      <c r="H102" s="8">
        <v>60.12</v>
      </c>
      <c r="I102" s="3">
        <f t="shared" si="5"/>
        <v>0.19500000000000001</v>
      </c>
      <c r="J102" s="4">
        <v>19.5</v>
      </c>
      <c r="K102" s="11">
        <f>Table1[[#This Row],[original_price]]* (Table1[[#This Row],[Markdown percentage updated]])</f>
        <v>11.7234</v>
      </c>
      <c r="L1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2" s="6">
        <v>48.4</v>
      </c>
      <c r="N1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02" s="7">
        <v>45875</v>
      </c>
      <c r="P102">
        <v>42</v>
      </c>
      <c r="Q102" s="16" t="str">
        <f>IF(Table1[[#This Row],[stock_quantity]]=0,"NO STOCK",
IF(Table1[[#This Row],[stock_quantity]]&lt;=10,"LOW STOCK",
"IN STOCK"))</f>
        <v>IN STOCK</v>
      </c>
      <c r="R102" s="1">
        <f t="shared" si="6"/>
        <v>1</v>
      </c>
      <c r="S102">
        <v>1</v>
      </c>
      <c r="T102" t="b">
        <v>0</v>
      </c>
      <c r="U102" t="str">
        <f t="shared" si="7"/>
        <v>No Return</v>
      </c>
    </row>
    <row r="103" spans="1:21" hidden="1" x14ac:dyDescent="0.3">
      <c r="A103" t="s">
        <v>156</v>
      </c>
      <c r="B103" t="s">
        <v>42</v>
      </c>
      <c r="C103" t="s">
        <v>32</v>
      </c>
      <c r="D103" t="s">
        <v>23</v>
      </c>
      <c r="E103" t="str">
        <f t="shared" si="4"/>
        <v>S</v>
      </c>
      <c r="F103" t="s">
        <v>39</v>
      </c>
      <c r="G103" t="s">
        <v>35</v>
      </c>
      <c r="H103" s="8">
        <v>163.5</v>
      </c>
      <c r="I103" s="3">
        <f t="shared" si="5"/>
        <v>0</v>
      </c>
      <c r="J103" s="4">
        <v>0</v>
      </c>
      <c r="K103" s="11">
        <f>Table1[[#This Row],[original_price]]* (Table1[[#This Row],[Markdown percentage updated]])</f>
        <v>0</v>
      </c>
      <c r="L1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3" s="6">
        <v>163.5</v>
      </c>
      <c r="N1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3" s="7">
        <v>45875</v>
      </c>
      <c r="P103">
        <v>34</v>
      </c>
      <c r="Q103" s="16" t="str">
        <f>IF(Table1[[#This Row],[stock_quantity]]=0,"NO STOCK",
IF(Table1[[#This Row],[stock_quantity]]&lt;=10,"LOW STOCK",
"IN STOCK"))</f>
        <v>IN STOCK</v>
      </c>
      <c r="R103" s="1">
        <f t="shared" si="6"/>
        <v>4.9000000000000004</v>
      </c>
      <c r="S103">
        <v>4.9000000000000004</v>
      </c>
      <c r="T103" t="b">
        <v>0</v>
      </c>
      <c r="U103" t="str">
        <f t="shared" si="7"/>
        <v>No Return</v>
      </c>
    </row>
    <row r="104" spans="1:21" hidden="1" x14ac:dyDescent="0.3">
      <c r="A104" t="s">
        <v>157</v>
      </c>
      <c r="B104" t="s">
        <v>42</v>
      </c>
      <c r="C104" t="s">
        <v>22</v>
      </c>
      <c r="D104" t="s">
        <v>17</v>
      </c>
      <c r="E104" t="str">
        <f t="shared" si="4"/>
        <v>XL</v>
      </c>
      <c r="F104" t="s">
        <v>39</v>
      </c>
      <c r="G104" t="s">
        <v>56</v>
      </c>
      <c r="H104" s="8">
        <v>126.37</v>
      </c>
      <c r="I104" s="3">
        <f t="shared" si="5"/>
        <v>0</v>
      </c>
      <c r="J104" s="4">
        <v>0</v>
      </c>
      <c r="K104" s="11">
        <f>Table1[[#This Row],[original_price]]* (Table1[[#This Row],[Markdown percentage updated]])</f>
        <v>0</v>
      </c>
      <c r="L1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4" s="6">
        <v>126.37</v>
      </c>
      <c r="N1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4" s="7">
        <v>45604</v>
      </c>
      <c r="P104">
        <v>25</v>
      </c>
      <c r="Q104" s="16" t="str">
        <f>IF(Table1[[#This Row],[stock_quantity]]=0,"NO STOCK",
IF(Table1[[#This Row],[stock_quantity]]&lt;=10,"LOW STOCK",
"IN STOCK"))</f>
        <v>IN STOCK</v>
      </c>
      <c r="R104" s="1">
        <f t="shared" si="6"/>
        <v>1.8</v>
      </c>
      <c r="S104">
        <v>1.8</v>
      </c>
      <c r="T104" t="b">
        <v>0</v>
      </c>
      <c r="U104" t="str">
        <f t="shared" si="7"/>
        <v>No Return</v>
      </c>
    </row>
    <row r="105" spans="1:21" hidden="1" x14ac:dyDescent="0.3">
      <c r="A105" t="s">
        <v>158</v>
      </c>
      <c r="B105" t="s">
        <v>38</v>
      </c>
      <c r="C105" t="s">
        <v>22</v>
      </c>
      <c r="D105" t="s">
        <v>23</v>
      </c>
      <c r="E105" t="str">
        <f t="shared" si="4"/>
        <v>M</v>
      </c>
      <c r="F105" t="s">
        <v>24</v>
      </c>
      <c r="G105" t="s">
        <v>64</v>
      </c>
      <c r="H105" s="8">
        <v>50.01</v>
      </c>
      <c r="I105" s="3">
        <f t="shared" si="5"/>
        <v>0.58200000000000007</v>
      </c>
      <c r="J105" s="4">
        <v>58.2</v>
      </c>
      <c r="K105" s="11">
        <f>Table1[[#This Row],[original_price]]* (Table1[[#This Row],[Markdown percentage updated]])</f>
        <v>29.105820000000001</v>
      </c>
      <c r="L1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5" s="6">
        <v>20.9</v>
      </c>
      <c r="N1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5" s="7">
        <v>45875</v>
      </c>
      <c r="P105">
        <v>32</v>
      </c>
      <c r="Q105" s="16" t="str">
        <f>IF(Table1[[#This Row],[stock_quantity]]=0,"NO STOCK",
IF(Table1[[#This Row],[stock_quantity]]&lt;=10,"LOW STOCK",
"IN STOCK"))</f>
        <v>IN STOCK</v>
      </c>
      <c r="R105" s="1">
        <f t="shared" si="6"/>
        <v>4.8</v>
      </c>
      <c r="S105">
        <v>4.8</v>
      </c>
      <c r="T105" t="b">
        <v>0</v>
      </c>
      <c r="U105" t="str">
        <f t="shared" si="7"/>
        <v>No Return</v>
      </c>
    </row>
    <row r="106" spans="1:21" hidden="1" x14ac:dyDescent="0.3">
      <c r="A106" t="s">
        <v>159</v>
      </c>
      <c r="B106" t="s">
        <v>30</v>
      </c>
      <c r="C106" t="s">
        <v>48</v>
      </c>
      <c r="D106" t="s">
        <v>23</v>
      </c>
      <c r="E106" t="str">
        <f t="shared" si="4"/>
        <v>XL</v>
      </c>
      <c r="F106" t="s">
        <v>39</v>
      </c>
      <c r="G106" t="s">
        <v>19</v>
      </c>
      <c r="H106" s="8">
        <v>84.31</v>
      </c>
      <c r="I106" s="3">
        <f t="shared" si="5"/>
        <v>0</v>
      </c>
      <c r="J106" s="4">
        <v>0</v>
      </c>
      <c r="K106" s="11">
        <f>Table1[[#This Row],[original_price]]* (Table1[[#This Row],[Markdown percentage updated]])</f>
        <v>0</v>
      </c>
      <c r="L1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6" s="6">
        <v>84.31</v>
      </c>
      <c r="N1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6" s="7">
        <v>45875</v>
      </c>
      <c r="P106">
        <v>10</v>
      </c>
      <c r="Q106" s="17" t="str">
        <f>IF(Table1[[#This Row],[stock_quantity]]=0,"NO STOCK",
IF(Table1[[#This Row],[stock_quantity]]&lt;=10,"LOW STOCK",
"IN STOCK"))</f>
        <v>LOW STOCK</v>
      </c>
      <c r="R106" s="1">
        <f t="shared" si="6"/>
        <v>3.9</v>
      </c>
      <c r="S106">
        <v>3.9</v>
      </c>
      <c r="T106" t="b">
        <v>0</v>
      </c>
      <c r="U106" t="str">
        <f t="shared" si="7"/>
        <v>No Return</v>
      </c>
    </row>
    <row r="107" spans="1:21" hidden="1" x14ac:dyDescent="0.3">
      <c r="A107" t="s">
        <v>160</v>
      </c>
      <c r="B107" t="s">
        <v>38</v>
      </c>
      <c r="C107" t="s">
        <v>32</v>
      </c>
      <c r="D107" t="s">
        <v>17</v>
      </c>
      <c r="E107" t="str">
        <f t="shared" si="4"/>
        <v>XS</v>
      </c>
      <c r="F107" t="s">
        <v>18</v>
      </c>
      <c r="G107" t="s">
        <v>56</v>
      </c>
      <c r="H107" s="8">
        <v>100.98</v>
      </c>
      <c r="I107" s="3">
        <f t="shared" si="5"/>
        <v>0</v>
      </c>
      <c r="J107" s="4">
        <v>0</v>
      </c>
      <c r="K107" s="11">
        <f>Table1[[#This Row],[original_price]]* (Table1[[#This Row],[Markdown percentage updated]])</f>
        <v>0</v>
      </c>
      <c r="L1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7" s="6">
        <v>100.98</v>
      </c>
      <c r="N1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7" s="7">
        <v>45825</v>
      </c>
      <c r="P107">
        <v>21</v>
      </c>
      <c r="Q107" s="16" t="str">
        <f>IF(Table1[[#This Row],[stock_quantity]]=0,"NO STOCK",
IF(Table1[[#This Row],[stock_quantity]]&lt;=10,"LOW STOCK",
"IN STOCK"))</f>
        <v>IN STOCK</v>
      </c>
      <c r="R107" s="1">
        <f t="shared" si="6"/>
        <v>2.8</v>
      </c>
      <c r="S107">
        <v>2.8</v>
      </c>
      <c r="T107" t="b">
        <v>0</v>
      </c>
      <c r="U107" t="str">
        <f t="shared" si="7"/>
        <v>No Return</v>
      </c>
    </row>
    <row r="108" spans="1:21" hidden="1" x14ac:dyDescent="0.3">
      <c r="A108" t="s">
        <v>161</v>
      </c>
      <c r="B108" t="s">
        <v>38</v>
      </c>
      <c r="C108" t="s">
        <v>32</v>
      </c>
      <c r="D108" t="s">
        <v>62</v>
      </c>
      <c r="E108" t="str">
        <f t="shared" si="4"/>
        <v>S</v>
      </c>
      <c r="F108" t="s">
        <v>58</v>
      </c>
      <c r="G108" t="s">
        <v>56</v>
      </c>
      <c r="H108" s="8">
        <v>38.020000000000003</v>
      </c>
      <c r="I108" s="3">
        <f t="shared" si="5"/>
        <v>0</v>
      </c>
      <c r="J108" s="4">
        <v>0</v>
      </c>
      <c r="K108" s="11">
        <f>Table1[[#This Row],[original_price]]* (Table1[[#This Row],[Markdown percentage updated]])</f>
        <v>0</v>
      </c>
      <c r="L1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8" s="6">
        <v>38.020000000000003</v>
      </c>
      <c r="N1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8" s="7">
        <v>45875</v>
      </c>
      <c r="P108">
        <v>44</v>
      </c>
      <c r="Q108" s="16" t="str">
        <f>IF(Table1[[#This Row],[stock_quantity]]=0,"NO STOCK",
IF(Table1[[#This Row],[stock_quantity]]&lt;=10,"LOW STOCK",
"IN STOCK"))</f>
        <v>IN STOCK</v>
      </c>
      <c r="R108" s="1">
        <f t="shared" si="6"/>
        <v>4.7</v>
      </c>
      <c r="S108">
        <v>4.7</v>
      </c>
      <c r="T108" t="b">
        <v>0</v>
      </c>
      <c r="U108" t="str">
        <f t="shared" si="7"/>
        <v>No Return</v>
      </c>
    </row>
    <row r="109" spans="1:21" hidden="1" x14ac:dyDescent="0.3">
      <c r="A109" t="s">
        <v>162</v>
      </c>
      <c r="B109" t="s">
        <v>38</v>
      </c>
      <c r="C109" t="s">
        <v>48</v>
      </c>
      <c r="D109" t="s">
        <v>34</v>
      </c>
      <c r="E109" t="str">
        <f t="shared" si="4"/>
        <v>L</v>
      </c>
      <c r="F109" t="s">
        <v>18</v>
      </c>
      <c r="G109" t="s">
        <v>44</v>
      </c>
      <c r="H109" s="8">
        <v>63.85</v>
      </c>
      <c r="I109" s="3">
        <f t="shared" si="5"/>
        <v>0</v>
      </c>
      <c r="J109" s="4">
        <v>0</v>
      </c>
      <c r="K109" s="11">
        <f>Table1[[#This Row],[original_price]]* (Table1[[#This Row],[Markdown percentage updated]])</f>
        <v>0</v>
      </c>
      <c r="L1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9" s="6">
        <v>63.85</v>
      </c>
      <c r="N1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9" s="7">
        <v>45875</v>
      </c>
      <c r="P109">
        <v>41</v>
      </c>
      <c r="Q109" s="16" t="str">
        <f>IF(Table1[[#This Row],[stock_quantity]]=0,"NO STOCK",
IF(Table1[[#This Row],[stock_quantity]]&lt;=10,"LOW STOCK",
"IN STOCK"))</f>
        <v>IN STOCK</v>
      </c>
      <c r="R109" s="1">
        <f t="shared" si="6"/>
        <v>0</v>
      </c>
      <c r="T109" t="b">
        <v>0</v>
      </c>
      <c r="U109" t="str">
        <f t="shared" si="7"/>
        <v>No Return</v>
      </c>
    </row>
    <row r="110" spans="1:21" hidden="1" x14ac:dyDescent="0.3">
      <c r="A110" t="s">
        <v>163</v>
      </c>
      <c r="B110" t="s">
        <v>30</v>
      </c>
      <c r="C110" t="s">
        <v>48</v>
      </c>
      <c r="D110" t="s">
        <v>34</v>
      </c>
      <c r="E110" t="str">
        <f t="shared" si="4"/>
        <v>OS</v>
      </c>
      <c r="F110" t="s">
        <v>55</v>
      </c>
      <c r="G110" t="s">
        <v>64</v>
      </c>
      <c r="H110" s="8">
        <v>183.15</v>
      </c>
      <c r="I110" s="3">
        <f t="shared" si="5"/>
        <v>0</v>
      </c>
      <c r="J110" s="4">
        <v>0</v>
      </c>
      <c r="K110" s="11">
        <f>Table1[[#This Row],[original_price]]* (Table1[[#This Row],[Markdown percentage updated]])</f>
        <v>0</v>
      </c>
      <c r="L1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0" s="6">
        <v>183.15</v>
      </c>
      <c r="N1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0" s="7">
        <v>45875</v>
      </c>
      <c r="P110">
        <v>23</v>
      </c>
      <c r="Q110" s="16" t="str">
        <f>IF(Table1[[#This Row],[stock_quantity]]=0,"NO STOCK",
IF(Table1[[#This Row],[stock_quantity]]&lt;=10,"LOW STOCK",
"IN STOCK"))</f>
        <v>IN STOCK</v>
      </c>
      <c r="R110" s="1">
        <f t="shared" si="6"/>
        <v>4.0999999999999996</v>
      </c>
      <c r="S110">
        <v>4.0999999999999996</v>
      </c>
      <c r="T110" t="b">
        <v>0</v>
      </c>
      <c r="U110" t="str">
        <f t="shared" si="7"/>
        <v>No Return</v>
      </c>
    </row>
    <row r="111" spans="1:21" hidden="1" x14ac:dyDescent="0.3">
      <c r="A111" t="s">
        <v>164</v>
      </c>
      <c r="B111" t="s">
        <v>42</v>
      </c>
      <c r="C111" t="s">
        <v>16</v>
      </c>
      <c r="D111" t="s">
        <v>23</v>
      </c>
      <c r="E111" t="str">
        <f t="shared" si="4"/>
        <v>S</v>
      </c>
      <c r="F111" t="s">
        <v>39</v>
      </c>
      <c r="G111" t="s">
        <v>40</v>
      </c>
      <c r="H111" s="8">
        <v>91</v>
      </c>
      <c r="I111" s="3">
        <f t="shared" si="5"/>
        <v>0.59499999999999997</v>
      </c>
      <c r="J111" s="4">
        <v>59.5</v>
      </c>
      <c r="K111" s="11">
        <f>Table1[[#This Row],[original_price]]* (Table1[[#This Row],[Markdown percentage updated]])</f>
        <v>54.144999999999996</v>
      </c>
      <c r="L1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1" s="6">
        <v>36.86</v>
      </c>
      <c r="N1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1" s="7">
        <v>45875</v>
      </c>
      <c r="P111">
        <v>5</v>
      </c>
      <c r="Q111" s="17" t="str">
        <f>IF(Table1[[#This Row],[stock_quantity]]=0,"NO STOCK",
IF(Table1[[#This Row],[stock_quantity]]&lt;=10,"LOW STOCK",
"IN STOCK"))</f>
        <v>LOW STOCK</v>
      </c>
      <c r="R111" s="1">
        <f t="shared" si="6"/>
        <v>3.9</v>
      </c>
      <c r="S111">
        <v>3.9</v>
      </c>
      <c r="T111" t="b">
        <v>0</v>
      </c>
      <c r="U111" t="str">
        <f t="shared" si="7"/>
        <v>No Return</v>
      </c>
    </row>
    <row r="112" spans="1:21" hidden="1" x14ac:dyDescent="0.3">
      <c r="A112" t="s">
        <v>165</v>
      </c>
      <c r="B112" t="s">
        <v>15</v>
      </c>
      <c r="C112" t="s">
        <v>22</v>
      </c>
      <c r="D112" t="s">
        <v>17</v>
      </c>
      <c r="E112" t="str">
        <f t="shared" si="4"/>
        <v>XXL</v>
      </c>
      <c r="F112" t="s">
        <v>24</v>
      </c>
      <c r="G112" t="s">
        <v>28</v>
      </c>
      <c r="H112" s="8">
        <v>92.83</v>
      </c>
      <c r="I112" s="3">
        <f t="shared" si="5"/>
        <v>0</v>
      </c>
      <c r="J112" s="4">
        <v>0</v>
      </c>
      <c r="K112" s="11">
        <f>Table1[[#This Row],[original_price]]* (Table1[[#This Row],[Markdown percentage updated]])</f>
        <v>0</v>
      </c>
      <c r="L1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2" s="6">
        <v>92.83</v>
      </c>
      <c r="N1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2" s="7">
        <v>45858</v>
      </c>
      <c r="P112">
        <v>9</v>
      </c>
      <c r="Q112" s="17" t="str">
        <f>IF(Table1[[#This Row],[stock_quantity]]=0,"NO STOCK",
IF(Table1[[#This Row],[stock_quantity]]&lt;=10,"LOW STOCK",
"IN STOCK"))</f>
        <v>LOW STOCK</v>
      </c>
      <c r="R112" s="1">
        <f t="shared" si="6"/>
        <v>1.2</v>
      </c>
      <c r="S112">
        <v>1.2</v>
      </c>
      <c r="T112" t="b">
        <v>0</v>
      </c>
      <c r="U112" t="str">
        <f t="shared" si="7"/>
        <v>No Return</v>
      </c>
    </row>
    <row r="113" spans="1:22" hidden="1" x14ac:dyDescent="0.3">
      <c r="A113" t="s">
        <v>166</v>
      </c>
      <c r="B113" t="s">
        <v>27</v>
      </c>
      <c r="C113" t="s">
        <v>32</v>
      </c>
      <c r="D113" t="s">
        <v>23</v>
      </c>
      <c r="E113" t="str">
        <f t="shared" si="4"/>
        <v>S</v>
      </c>
      <c r="G113" t="s">
        <v>70</v>
      </c>
      <c r="H113" s="8">
        <v>34.450000000000003</v>
      </c>
      <c r="I113" s="3">
        <f t="shared" si="5"/>
        <v>0</v>
      </c>
      <c r="J113" s="4">
        <v>0</v>
      </c>
      <c r="K113" s="11">
        <f>Table1[[#This Row],[original_price]]* (Table1[[#This Row],[Markdown percentage updated]])</f>
        <v>0</v>
      </c>
      <c r="L1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3" s="6">
        <v>34.450000000000003</v>
      </c>
      <c r="N1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3" s="7">
        <v>45875</v>
      </c>
      <c r="P113">
        <v>4</v>
      </c>
      <c r="Q113" s="17" t="str">
        <f>IF(Table1[[#This Row],[stock_quantity]]=0,"NO STOCK",
IF(Table1[[#This Row],[stock_quantity]]&lt;=10,"LOW STOCK",
"IN STOCK"))</f>
        <v>LOW STOCK</v>
      </c>
      <c r="R113" s="1">
        <f t="shared" si="6"/>
        <v>4.5</v>
      </c>
      <c r="S113">
        <v>4.5</v>
      </c>
      <c r="T113" t="b">
        <v>0</v>
      </c>
      <c r="U113" t="str">
        <f t="shared" si="7"/>
        <v>No Return</v>
      </c>
    </row>
    <row r="114" spans="1:22" hidden="1" x14ac:dyDescent="0.3">
      <c r="A114" t="s">
        <v>167</v>
      </c>
      <c r="B114" t="s">
        <v>42</v>
      </c>
      <c r="C114" t="s">
        <v>48</v>
      </c>
      <c r="D114" t="s">
        <v>34</v>
      </c>
      <c r="E114" t="str">
        <f t="shared" si="4"/>
        <v>XXL</v>
      </c>
      <c r="F114" t="s">
        <v>39</v>
      </c>
      <c r="G114" t="s">
        <v>66</v>
      </c>
      <c r="H114" s="8">
        <v>128.15</v>
      </c>
      <c r="I114" s="3">
        <f t="shared" si="5"/>
        <v>0.5</v>
      </c>
      <c r="J114" s="4">
        <v>50</v>
      </c>
      <c r="K114" s="11">
        <f>Table1[[#This Row],[original_price]]* (Table1[[#This Row],[Markdown percentage updated]])</f>
        <v>64.075000000000003</v>
      </c>
      <c r="L1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4" s="6">
        <v>64.08</v>
      </c>
      <c r="N1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4" s="7">
        <v>45875</v>
      </c>
      <c r="P114">
        <v>28</v>
      </c>
      <c r="Q114" s="16" t="str">
        <f>IF(Table1[[#This Row],[stock_quantity]]=0,"NO STOCK",
IF(Table1[[#This Row],[stock_quantity]]&lt;=10,"LOW STOCK",
"IN STOCK"))</f>
        <v>IN STOCK</v>
      </c>
      <c r="R114" s="1">
        <f t="shared" si="6"/>
        <v>3.2</v>
      </c>
      <c r="S114">
        <v>3.2</v>
      </c>
      <c r="T114" t="b">
        <v>0</v>
      </c>
      <c r="U114" t="str">
        <f t="shared" si="7"/>
        <v>No Return</v>
      </c>
    </row>
    <row r="115" spans="1:22" hidden="1" x14ac:dyDescent="0.3">
      <c r="A115" t="s">
        <v>168</v>
      </c>
      <c r="B115" t="s">
        <v>21</v>
      </c>
      <c r="C115" t="s">
        <v>43</v>
      </c>
      <c r="D115" t="s">
        <v>62</v>
      </c>
      <c r="E115" t="str">
        <f t="shared" si="4"/>
        <v>OS</v>
      </c>
      <c r="F115" t="s">
        <v>49</v>
      </c>
      <c r="G115" t="s">
        <v>19</v>
      </c>
      <c r="H115" s="8">
        <v>99.62</v>
      </c>
      <c r="I115" s="3">
        <f t="shared" si="5"/>
        <v>0.33799999999999997</v>
      </c>
      <c r="J115" s="4">
        <v>33.799999999999997</v>
      </c>
      <c r="K115" s="11">
        <f>Table1[[#This Row],[original_price]]* (Table1[[#This Row],[Markdown percentage updated]])</f>
        <v>33.671559999999999</v>
      </c>
      <c r="L1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5" s="6">
        <v>65.95</v>
      </c>
      <c r="N1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5" s="7">
        <v>45875</v>
      </c>
      <c r="P115">
        <v>27</v>
      </c>
      <c r="Q115" s="16" t="str">
        <f>IF(Table1[[#This Row],[stock_quantity]]=0,"NO STOCK",
IF(Table1[[#This Row],[stock_quantity]]&lt;=10,"LOW STOCK",
"IN STOCK"))</f>
        <v>IN STOCK</v>
      </c>
      <c r="R115" s="1">
        <f t="shared" si="6"/>
        <v>2.1</v>
      </c>
      <c r="S115">
        <v>2.1</v>
      </c>
      <c r="T115" t="b">
        <v>0</v>
      </c>
      <c r="U115" t="str">
        <f t="shared" si="7"/>
        <v>No Return</v>
      </c>
    </row>
    <row r="116" spans="1:22" hidden="1" x14ac:dyDescent="0.3">
      <c r="A116" t="s">
        <v>169</v>
      </c>
      <c r="B116" t="s">
        <v>38</v>
      </c>
      <c r="C116" t="s">
        <v>75</v>
      </c>
      <c r="D116" t="s">
        <v>23</v>
      </c>
      <c r="E116" t="str">
        <f t="shared" si="4"/>
        <v>M</v>
      </c>
      <c r="F116" t="s">
        <v>39</v>
      </c>
      <c r="G116" t="s">
        <v>25</v>
      </c>
      <c r="H116" s="8">
        <v>87.39</v>
      </c>
      <c r="I116" s="3">
        <f t="shared" si="5"/>
        <v>0.255</v>
      </c>
      <c r="J116" s="4">
        <v>25.5</v>
      </c>
      <c r="K116" s="11">
        <f>Table1[[#This Row],[original_price]]* (Table1[[#This Row],[Markdown percentage updated]])</f>
        <v>22.28445</v>
      </c>
      <c r="L1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16" s="6">
        <v>65.11</v>
      </c>
      <c r="N1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6" s="7">
        <v>45875</v>
      </c>
      <c r="P116">
        <v>8</v>
      </c>
      <c r="Q116" s="17" t="str">
        <f>IF(Table1[[#This Row],[stock_quantity]]=0,"NO STOCK",
IF(Table1[[#This Row],[stock_quantity]]&lt;=10,"LOW STOCK",
"IN STOCK"))</f>
        <v>LOW STOCK</v>
      </c>
      <c r="R116" s="1">
        <f t="shared" si="6"/>
        <v>2.2999999999999998</v>
      </c>
      <c r="S116">
        <v>2.2999999999999998</v>
      </c>
      <c r="T116" t="b">
        <v>0</v>
      </c>
      <c r="U116" t="str">
        <f t="shared" si="7"/>
        <v>No Return</v>
      </c>
    </row>
    <row r="117" spans="1:22" hidden="1" x14ac:dyDescent="0.3">
      <c r="A117" t="s">
        <v>170</v>
      </c>
      <c r="B117" t="s">
        <v>21</v>
      </c>
      <c r="C117" t="s">
        <v>16</v>
      </c>
      <c r="D117" t="s">
        <v>17</v>
      </c>
      <c r="E117" t="str">
        <f t="shared" si="4"/>
        <v>S</v>
      </c>
      <c r="F117" t="s">
        <v>49</v>
      </c>
      <c r="G117" t="s">
        <v>70</v>
      </c>
      <c r="H117" s="8">
        <v>49.67</v>
      </c>
      <c r="I117" s="3">
        <f t="shared" si="5"/>
        <v>0</v>
      </c>
      <c r="J117" s="4">
        <v>0</v>
      </c>
      <c r="K117" s="11">
        <f>Table1[[#This Row],[original_price]]* (Table1[[#This Row],[Markdown percentage updated]])</f>
        <v>0</v>
      </c>
      <c r="L1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7" s="6">
        <v>49.67</v>
      </c>
      <c r="N1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7" s="7">
        <v>45541</v>
      </c>
      <c r="P117">
        <v>37</v>
      </c>
      <c r="Q117" s="16" t="str">
        <f>IF(Table1[[#This Row],[stock_quantity]]=0,"NO STOCK",
IF(Table1[[#This Row],[stock_quantity]]&lt;=10,"LOW STOCK",
"IN STOCK"))</f>
        <v>IN STOCK</v>
      </c>
      <c r="R117" s="1">
        <f t="shared" si="6"/>
        <v>2.2999999999999998</v>
      </c>
      <c r="S117">
        <v>2.2999999999999998</v>
      </c>
      <c r="T117" t="b">
        <v>0</v>
      </c>
      <c r="U117" t="str">
        <f t="shared" si="7"/>
        <v>No Return</v>
      </c>
    </row>
    <row r="118" spans="1:22" hidden="1" x14ac:dyDescent="0.3">
      <c r="A118" t="s">
        <v>171</v>
      </c>
      <c r="B118" t="s">
        <v>27</v>
      </c>
      <c r="C118" t="s">
        <v>22</v>
      </c>
      <c r="D118" t="s">
        <v>34</v>
      </c>
      <c r="E118" t="str">
        <f t="shared" si="4"/>
        <v>L</v>
      </c>
      <c r="G118" t="s">
        <v>70</v>
      </c>
      <c r="H118" s="8">
        <v>72.040000000000006</v>
      </c>
      <c r="I118" s="3">
        <f t="shared" si="5"/>
        <v>0</v>
      </c>
      <c r="J118" s="4">
        <v>0</v>
      </c>
      <c r="K118" s="11">
        <f>Table1[[#This Row],[original_price]]* (Table1[[#This Row],[Markdown percentage updated]])</f>
        <v>0</v>
      </c>
      <c r="L1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8" s="6">
        <v>72.040000000000006</v>
      </c>
      <c r="N1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8" s="7">
        <v>45875</v>
      </c>
      <c r="P118">
        <v>48</v>
      </c>
      <c r="Q118" s="16" t="str">
        <f>IF(Table1[[#This Row],[stock_quantity]]=0,"NO STOCK",
IF(Table1[[#This Row],[stock_quantity]]&lt;=10,"LOW STOCK",
"IN STOCK"))</f>
        <v>IN STOCK</v>
      </c>
      <c r="R118" s="1">
        <f t="shared" si="6"/>
        <v>0</v>
      </c>
      <c r="T118" t="b">
        <v>1</v>
      </c>
      <c r="U118" s="13" t="str">
        <f t="shared" si="7"/>
        <v>Wrong Item</v>
      </c>
      <c r="V118" t="s">
        <v>125</v>
      </c>
    </row>
    <row r="119" spans="1:22" hidden="1" x14ac:dyDescent="0.3">
      <c r="A119" t="s">
        <v>172</v>
      </c>
      <c r="B119" t="s">
        <v>42</v>
      </c>
      <c r="C119" t="s">
        <v>16</v>
      </c>
      <c r="D119" t="s">
        <v>17</v>
      </c>
      <c r="E119" t="str">
        <f t="shared" si="4"/>
        <v>XXL</v>
      </c>
      <c r="F119" t="s">
        <v>58</v>
      </c>
      <c r="G119" t="s">
        <v>64</v>
      </c>
      <c r="H119" s="8">
        <v>133.82</v>
      </c>
      <c r="I119" s="3">
        <f t="shared" si="5"/>
        <v>0</v>
      </c>
      <c r="J119" s="4">
        <v>0</v>
      </c>
      <c r="K119" s="11">
        <f>Table1[[#This Row],[original_price]]* (Table1[[#This Row],[Markdown percentage updated]])</f>
        <v>0</v>
      </c>
      <c r="L1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9" s="6">
        <v>133.82</v>
      </c>
      <c r="N1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9" s="7">
        <v>45621</v>
      </c>
      <c r="P119">
        <v>12</v>
      </c>
      <c r="Q119" s="16" t="str">
        <f>IF(Table1[[#This Row],[stock_quantity]]=0,"NO STOCK",
IF(Table1[[#This Row],[stock_quantity]]&lt;=10,"LOW STOCK",
"IN STOCK"))</f>
        <v>IN STOCK</v>
      </c>
      <c r="R119" s="1">
        <f t="shared" si="6"/>
        <v>1.7</v>
      </c>
      <c r="S119">
        <v>1.7</v>
      </c>
      <c r="T119" t="b">
        <v>0</v>
      </c>
      <c r="U119" t="str">
        <f t="shared" si="7"/>
        <v>No Return</v>
      </c>
    </row>
    <row r="120" spans="1:22" hidden="1" x14ac:dyDescent="0.3">
      <c r="A120" t="s">
        <v>173</v>
      </c>
      <c r="B120" t="s">
        <v>38</v>
      </c>
      <c r="C120" t="s">
        <v>22</v>
      </c>
      <c r="D120" t="s">
        <v>23</v>
      </c>
      <c r="E120" t="str">
        <f t="shared" si="4"/>
        <v>S</v>
      </c>
      <c r="F120" t="s">
        <v>39</v>
      </c>
      <c r="G120" t="s">
        <v>28</v>
      </c>
      <c r="H120" s="8">
        <v>62.93</v>
      </c>
      <c r="I120" s="3">
        <f t="shared" si="5"/>
        <v>0</v>
      </c>
      <c r="J120" s="4">
        <v>0</v>
      </c>
      <c r="K120" s="11">
        <f>Table1[[#This Row],[original_price]]* (Table1[[#This Row],[Markdown percentage updated]])</f>
        <v>0</v>
      </c>
      <c r="L1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0" s="6">
        <v>62.93</v>
      </c>
      <c r="N1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0" s="7">
        <v>45875</v>
      </c>
      <c r="P120">
        <v>49</v>
      </c>
      <c r="Q120" s="16" t="str">
        <f>IF(Table1[[#This Row],[stock_quantity]]=0,"NO STOCK",
IF(Table1[[#This Row],[stock_quantity]]&lt;=10,"LOW STOCK",
"IN STOCK"))</f>
        <v>IN STOCK</v>
      </c>
      <c r="R120" s="1">
        <f t="shared" si="6"/>
        <v>0</v>
      </c>
      <c r="T120" t="b">
        <v>0</v>
      </c>
      <c r="U120" t="str">
        <f t="shared" si="7"/>
        <v>No Return</v>
      </c>
    </row>
    <row r="121" spans="1:22" hidden="1" x14ac:dyDescent="0.3">
      <c r="A121" t="s">
        <v>174</v>
      </c>
      <c r="B121" t="s">
        <v>15</v>
      </c>
      <c r="C121" t="s">
        <v>16</v>
      </c>
      <c r="D121" t="s">
        <v>17</v>
      </c>
      <c r="E121" t="str">
        <f t="shared" si="4"/>
        <v>XXL</v>
      </c>
      <c r="F121" t="s">
        <v>24</v>
      </c>
      <c r="G121" t="s">
        <v>19</v>
      </c>
      <c r="H121" s="8">
        <v>248.58</v>
      </c>
      <c r="I121" s="3">
        <f t="shared" si="5"/>
        <v>0</v>
      </c>
      <c r="J121" s="4">
        <v>0</v>
      </c>
      <c r="K121" s="11">
        <f>Table1[[#This Row],[original_price]]* (Table1[[#This Row],[Markdown percentage updated]])</f>
        <v>0</v>
      </c>
      <c r="L1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1" s="6">
        <v>248.58</v>
      </c>
      <c r="N1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1" s="7">
        <v>45842</v>
      </c>
      <c r="P121">
        <v>27</v>
      </c>
      <c r="Q121" s="16" t="str">
        <f>IF(Table1[[#This Row],[stock_quantity]]=0,"NO STOCK",
IF(Table1[[#This Row],[stock_quantity]]&lt;=10,"LOW STOCK",
"IN STOCK"))</f>
        <v>IN STOCK</v>
      </c>
      <c r="R121" s="1">
        <f t="shared" si="6"/>
        <v>1.5</v>
      </c>
      <c r="S121">
        <v>1.5</v>
      </c>
      <c r="T121" t="b">
        <v>0</v>
      </c>
      <c r="U121" t="str">
        <f t="shared" si="7"/>
        <v>No Return</v>
      </c>
    </row>
    <row r="122" spans="1:22" x14ac:dyDescent="0.3">
      <c r="A122" t="s">
        <v>175</v>
      </c>
      <c r="B122" t="s">
        <v>30</v>
      </c>
      <c r="C122" t="s">
        <v>22</v>
      </c>
      <c r="D122" t="s">
        <v>34</v>
      </c>
      <c r="E122" t="str">
        <f t="shared" si="4"/>
        <v>XS</v>
      </c>
      <c r="F122" t="s">
        <v>49</v>
      </c>
      <c r="G122" t="s">
        <v>64</v>
      </c>
      <c r="H122" s="8">
        <v>61.08</v>
      </c>
      <c r="I122" s="3">
        <f t="shared" si="5"/>
        <v>0</v>
      </c>
      <c r="J122" s="4">
        <v>0</v>
      </c>
      <c r="K122" s="11">
        <f>Table1[[#This Row],[original_price]]* (Table1[[#This Row],[Markdown percentage updated]])</f>
        <v>0</v>
      </c>
      <c r="L1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2" s="6">
        <v>61.08</v>
      </c>
      <c r="N1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2" s="7">
        <v>45875</v>
      </c>
      <c r="P122">
        <v>27</v>
      </c>
      <c r="Q122" s="16" t="str">
        <f>IF(Table1[[#This Row],[stock_quantity]]=0,"NO STOCK",
IF(Table1[[#This Row],[stock_quantity]]&lt;=10,"LOW STOCK",
"IN STOCK"))</f>
        <v>IN STOCK</v>
      </c>
      <c r="R122" s="1">
        <f t="shared" si="6"/>
        <v>0</v>
      </c>
      <c r="T122" t="b">
        <v>1</v>
      </c>
      <c r="U122" s="13" t="str">
        <f t="shared" si="7"/>
        <v>Changed Mind</v>
      </c>
      <c r="V122" t="s">
        <v>115</v>
      </c>
    </row>
    <row r="123" spans="1:22" hidden="1" x14ac:dyDescent="0.3">
      <c r="A123" t="s">
        <v>176</v>
      </c>
      <c r="B123" t="s">
        <v>38</v>
      </c>
      <c r="C123" t="s">
        <v>61</v>
      </c>
      <c r="D123" t="s">
        <v>23</v>
      </c>
      <c r="E123" t="str">
        <f t="shared" si="4"/>
        <v>OS</v>
      </c>
      <c r="F123" t="s">
        <v>39</v>
      </c>
      <c r="G123" t="s">
        <v>19</v>
      </c>
      <c r="H123" s="8">
        <v>109.12</v>
      </c>
      <c r="I123" s="3">
        <f t="shared" si="5"/>
        <v>0</v>
      </c>
      <c r="J123" s="4">
        <v>0</v>
      </c>
      <c r="K123" s="11">
        <f>Table1[[#This Row],[original_price]]* (Table1[[#This Row],[Markdown percentage updated]])</f>
        <v>0</v>
      </c>
      <c r="L1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3" s="6">
        <v>109.12</v>
      </c>
      <c r="N1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3" s="7">
        <v>45875</v>
      </c>
      <c r="P123">
        <v>34</v>
      </c>
      <c r="Q123" s="16" t="str">
        <f>IF(Table1[[#This Row],[stock_quantity]]=0,"NO STOCK",
IF(Table1[[#This Row],[stock_quantity]]&lt;=10,"LOW STOCK",
"IN STOCK"))</f>
        <v>IN STOCK</v>
      </c>
      <c r="R123" s="1">
        <f t="shared" si="6"/>
        <v>0</v>
      </c>
      <c r="T123" t="b">
        <v>0</v>
      </c>
      <c r="U123" t="str">
        <f t="shared" si="7"/>
        <v>No Return</v>
      </c>
    </row>
    <row r="124" spans="1:22" hidden="1" x14ac:dyDescent="0.3">
      <c r="A124" t="s">
        <v>177</v>
      </c>
      <c r="B124" t="s">
        <v>15</v>
      </c>
      <c r="C124" t="s">
        <v>16</v>
      </c>
      <c r="D124" t="s">
        <v>23</v>
      </c>
      <c r="E124" t="str">
        <f t="shared" si="4"/>
        <v>XXL</v>
      </c>
      <c r="F124" t="s">
        <v>49</v>
      </c>
      <c r="G124" t="s">
        <v>66</v>
      </c>
      <c r="H124" s="8">
        <v>82.91</v>
      </c>
      <c r="I124" s="3">
        <f t="shared" si="5"/>
        <v>0.45899999999999996</v>
      </c>
      <c r="J124" s="4">
        <v>45.9</v>
      </c>
      <c r="K124" s="11">
        <f>Table1[[#This Row],[original_price]]* (Table1[[#This Row],[Markdown percentage updated]])</f>
        <v>38.055689999999998</v>
      </c>
      <c r="L1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4" s="6">
        <v>44.85</v>
      </c>
      <c r="N1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4" s="7">
        <v>45875</v>
      </c>
      <c r="P124">
        <v>24</v>
      </c>
      <c r="Q124" s="16" t="str">
        <f>IF(Table1[[#This Row],[stock_quantity]]=0,"NO STOCK",
IF(Table1[[#This Row],[stock_quantity]]&lt;=10,"LOW STOCK",
"IN STOCK"))</f>
        <v>IN STOCK</v>
      </c>
      <c r="R124" s="1">
        <f t="shared" si="6"/>
        <v>0</v>
      </c>
      <c r="T124" t="b">
        <v>1</v>
      </c>
      <c r="U124" s="13" t="str">
        <f t="shared" si="7"/>
        <v>Quality Issue</v>
      </c>
      <c r="V124" t="s">
        <v>83</v>
      </c>
    </row>
    <row r="125" spans="1:22" hidden="1" x14ac:dyDescent="0.3">
      <c r="A125" t="s">
        <v>178</v>
      </c>
      <c r="B125" t="s">
        <v>30</v>
      </c>
      <c r="C125" t="s">
        <v>48</v>
      </c>
      <c r="D125" t="s">
        <v>62</v>
      </c>
      <c r="E125" t="str">
        <f t="shared" si="4"/>
        <v>XXL</v>
      </c>
      <c r="F125" t="s">
        <v>55</v>
      </c>
      <c r="G125" t="s">
        <v>66</v>
      </c>
      <c r="H125" s="8">
        <v>113.53</v>
      </c>
      <c r="I125" s="3">
        <f t="shared" si="5"/>
        <v>0.109</v>
      </c>
      <c r="J125" s="4">
        <v>10.9</v>
      </c>
      <c r="K125" s="11">
        <f>Table1[[#This Row],[original_price]]* (Table1[[#This Row],[Markdown percentage updated]])</f>
        <v>12.37477</v>
      </c>
      <c r="L1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5" s="6">
        <v>101.16</v>
      </c>
      <c r="N1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5" s="7">
        <v>45875</v>
      </c>
      <c r="P125">
        <v>40</v>
      </c>
      <c r="Q125" s="16" t="str">
        <f>IF(Table1[[#This Row],[stock_quantity]]=0,"NO STOCK",
IF(Table1[[#This Row],[stock_quantity]]&lt;=10,"LOW STOCK",
"IN STOCK"))</f>
        <v>IN STOCK</v>
      </c>
      <c r="R125" s="1">
        <f t="shared" si="6"/>
        <v>2.8</v>
      </c>
      <c r="S125">
        <v>2.8</v>
      </c>
      <c r="T125" t="b">
        <v>0</v>
      </c>
      <c r="U125" t="str">
        <f t="shared" si="7"/>
        <v>No Return</v>
      </c>
    </row>
    <row r="126" spans="1:22" hidden="1" x14ac:dyDescent="0.3">
      <c r="A126" t="s">
        <v>179</v>
      </c>
      <c r="B126" t="s">
        <v>27</v>
      </c>
      <c r="C126" t="s">
        <v>22</v>
      </c>
      <c r="D126" t="s">
        <v>23</v>
      </c>
      <c r="E126" t="str">
        <f t="shared" si="4"/>
        <v>XXL</v>
      </c>
      <c r="G126" t="s">
        <v>70</v>
      </c>
      <c r="H126" s="8">
        <v>38.89</v>
      </c>
      <c r="I126" s="3">
        <f t="shared" si="5"/>
        <v>0.51500000000000001</v>
      </c>
      <c r="J126" s="4">
        <v>51.5</v>
      </c>
      <c r="K126" s="11">
        <f>Table1[[#This Row],[original_price]]* (Table1[[#This Row],[Markdown percentage updated]])</f>
        <v>20.02835</v>
      </c>
      <c r="L1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6" s="6">
        <v>18.86</v>
      </c>
      <c r="N1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6" s="7">
        <v>45875</v>
      </c>
      <c r="P126">
        <v>28</v>
      </c>
      <c r="Q126" s="16" t="str">
        <f>IF(Table1[[#This Row],[stock_quantity]]=0,"NO STOCK",
IF(Table1[[#This Row],[stock_quantity]]&lt;=10,"LOW STOCK",
"IN STOCK"))</f>
        <v>IN STOCK</v>
      </c>
      <c r="R126" s="1">
        <f t="shared" si="6"/>
        <v>4.3</v>
      </c>
      <c r="S126">
        <v>4.3</v>
      </c>
      <c r="T126" t="b">
        <v>0</v>
      </c>
      <c r="U126" t="str">
        <f t="shared" si="7"/>
        <v>No Return</v>
      </c>
    </row>
    <row r="127" spans="1:22" hidden="1" x14ac:dyDescent="0.3">
      <c r="A127" t="s">
        <v>180</v>
      </c>
      <c r="B127" t="s">
        <v>42</v>
      </c>
      <c r="C127" t="s">
        <v>61</v>
      </c>
      <c r="D127" t="s">
        <v>17</v>
      </c>
      <c r="E127" t="str">
        <f t="shared" si="4"/>
        <v>XS</v>
      </c>
      <c r="F127" t="s">
        <v>49</v>
      </c>
      <c r="G127" t="s">
        <v>28</v>
      </c>
      <c r="H127" s="8">
        <v>53.01</v>
      </c>
      <c r="I127" s="3">
        <f t="shared" si="5"/>
        <v>0.45899999999999996</v>
      </c>
      <c r="J127" s="4">
        <v>45.9</v>
      </c>
      <c r="K127" s="11">
        <f>Table1[[#This Row],[original_price]]* (Table1[[#This Row],[Markdown percentage updated]])</f>
        <v>24.331589999999998</v>
      </c>
      <c r="L1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7" s="6">
        <v>28.68</v>
      </c>
      <c r="N1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7" s="7">
        <v>45671</v>
      </c>
      <c r="P127">
        <v>37</v>
      </c>
      <c r="Q127" s="16" t="str">
        <f>IF(Table1[[#This Row],[stock_quantity]]=0,"NO STOCK",
IF(Table1[[#This Row],[stock_quantity]]&lt;=10,"LOW STOCK",
"IN STOCK"))</f>
        <v>IN STOCK</v>
      </c>
      <c r="R127" s="1">
        <f t="shared" si="6"/>
        <v>3.7</v>
      </c>
      <c r="S127">
        <v>3.7</v>
      </c>
      <c r="T127" t="b">
        <v>0</v>
      </c>
      <c r="U127" t="str">
        <f t="shared" si="7"/>
        <v>No Return</v>
      </c>
    </row>
    <row r="128" spans="1:22" hidden="1" x14ac:dyDescent="0.3">
      <c r="A128" t="s">
        <v>181</v>
      </c>
      <c r="B128" t="s">
        <v>30</v>
      </c>
      <c r="C128" t="s">
        <v>53</v>
      </c>
      <c r="D128" t="s">
        <v>17</v>
      </c>
      <c r="E128" t="str">
        <f t="shared" si="4"/>
        <v>XS</v>
      </c>
      <c r="F128" t="s">
        <v>49</v>
      </c>
      <c r="G128" t="s">
        <v>44</v>
      </c>
      <c r="H128" s="8">
        <v>81.64</v>
      </c>
      <c r="I128" s="3">
        <f t="shared" si="5"/>
        <v>0</v>
      </c>
      <c r="J128" s="4">
        <v>0</v>
      </c>
      <c r="K128" s="11">
        <f>Table1[[#This Row],[original_price]]* (Table1[[#This Row],[Markdown percentage updated]])</f>
        <v>0</v>
      </c>
      <c r="L1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8" s="6">
        <v>81.64</v>
      </c>
      <c r="N1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8" s="7">
        <v>45632</v>
      </c>
      <c r="P128">
        <v>50</v>
      </c>
      <c r="Q128" s="16" t="str">
        <f>IF(Table1[[#This Row],[stock_quantity]]=0,"NO STOCK",
IF(Table1[[#This Row],[stock_quantity]]&lt;=10,"LOW STOCK",
"IN STOCK"))</f>
        <v>IN STOCK</v>
      </c>
      <c r="R128" s="1">
        <f t="shared" si="6"/>
        <v>1.1000000000000001</v>
      </c>
      <c r="S128">
        <v>1.1000000000000001</v>
      </c>
      <c r="T128" t="b">
        <v>0</v>
      </c>
      <c r="U128" t="str">
        <f t="shared" si="7"/>
        <v>No Return</v>
      </c>
    </row>
    <row r="129" spans="1:22" hidden="1" x14ac:dyDescent="0.3">
      <c r="A129" t="s">
        <v>182</v>
      </c>
      <c r="B129" t="s">
        <v>30</v>
      </c>
      <c r="C129" t="s">
        <v>53</v>
      </c>
      <c r="D129" t="s">
        <v>17</v>
      </c>
      <c r="E129" t="str">
        <f t="shared" si="4"/>
        <v>XL</v>
      </c>
      <c r="F129" t="s">
        <v>49</v>
      </c>
      <c r="G129" t="s">
        <v>35</v>
      </c>
      <c r="H129" s="8">
        <v>125.24</v>
      </c>
      <c r="I129" s="3">
        <f t="shared" si="5"/>
        <v>0.215</v>
      </c>
      <c r="J129" s="4">
        <v>21.5</v>
      </c>
      <c r="K129" s="11">
        <f>Table1[[#This Row],[original_price]]* (Table1[[#This Row],[Markdown percentage updated]])</f>
        <v>26.926599999999997</v>
      </c>
      <c r="L1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9" s="6">
        <v>98.31</v>
      </c>
      <c r="N1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9" s="7">
        <v>45541</v>
      </c>
      <c r="P129">
        <v>7</v>
      </c>
      <c r="Q129" s="17" t="str">
        <f>IF(Table1[[#This Row],[stock_quantity]]=0,"NO STOCK",
IF(Table1[[#This Row],[stock_quantity]]&lt;=10,"LOW STOCK",
"IN STOCK"))</f>
        <v>LOW STOCK</v>
      </c>
      <c r="R129" s="1">
        <f t="shared" si="6"/>
        <v>2.9</v>
      </c>
      <c r="S129">
        <v>2.9</v>
      </c>
      <c r="T129" t="b">
        <v>0</v>
      </c>
      <c r="U129" t="str">
        <f t="shared" si="7"/>
        <v>No Return</v>
      </c>
    </row>
    <row r="130" spans="1:22" hidden="1" x14ac:dyDescent="0.3">
      <c r="A130" t="s">
        <v>183</v>
      </c>
      <c r="B130" t="s">
        <v>15</v>
      </c>
      <c r="C130" t="s">
        <v>53</v>
      </c>
      <c r="D130" t="s">
        <v>17</v>
      </c>
      <c r="E130" t="str">
        <f t="shared" ref="E130:E193" si="8">IF(ISBLANK(F133),"OS",F133)</f>
        <v>S</v>
      </c>
      <c r="F130" t="s">
        <v>55</v>
      </c>
      <c r="G130" t="s">
        <v>25</v>
      </c>
      <c r="H130" s="8">
        <v>98.61</v>
      </c>
      <c r="I130" s="3">
        <f t="shared" ref="I130:I193" si="9">J130/100</f>
        <v>0</v>
      </c>
      <c r="J130" s="4">
        <v>0</v>
      </c>
      <c r="K130" s="11">
        <f>Table1[[#This Row],[original_price]]* (Table1[[#This Row],[Markdown percentage updated]])</f>
        <v>0</v>
      </c>
      <c r="L1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0" s="6">
        <v>98.61</v>
      </c>
      <c r="N1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0" s="7">
        <v>45721</v>
      </c>
      <c r="P130">
        <v>1</v>
      </c>
      <c r="Q130" s="17" t="str">
        <f>IF(Table1[[#This Row],[stock_quantity]]=0,"NO STOCK",
IF(Table1[[#This Row],[stock_quantity]]&lt;=10,"LOW STOCK",
"IN STOCK"))</f>
        <v>LOW STOCK</v>
      </c>
      <c r="R130" s="1">
        <f t="shared" si="6"/>
        <v>2.6</v>
      </c>
      <c r="S130">
        <v>2.6</v>
      </c>
      <c r="T130" t="b">
        <v>0</v>
      </c>
      <c r="U130" t="str">
        <f t="shared" si="7"/>
        <v>No Return</v>
      </c>
    </row>
    <row r="131" spans="1:22" hidden="1" x14ac:dyDescent="0.3">
      <c r="A131" t="s">
        <v>184</v>
      </c>
      <c r="B131" t="s">
        <v>30</v>
      </c>
      <c r="C131" t="s">
        <v>61</v>
      </c>
      <c r="D131" t="s">
        <v>34</v>
      </c>
      <c r="E131" t="str">
        <f t="shared" si="8"/>
        <v>XL</v>
      </c>
      <c r="F131" t="s">
        <v>55</v>
      </c>
      <c r="G131" t="s">
        <v>44</v>
      </c>
      <c r="H131" s="8">
        <v>77.540000000000006</v>
      </c>
      <c r="I131" s="3">
        <f t="shared" si="9"/>
        <v>0</v>
      </c>
      <c r="J131" s="4">
        <v>0</v>
      </c>
      <c r="K131" s="11">
        <f>Table1[[#This Row],[original_price]]* (Table1[[#This Row],[Markdown percentage updated]])</f>
        <v>0</v>
      </c>
      <c r="L1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1" s="6">
        <v>77.540000000000006</v>
      </c>
      <c r="N1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1" s="7">
        <v>45875</v>
      </c>
      <c r="P131">
        <v>36</v>
      </c>
      <c r="Q131" s="16" t="str">
        <f>IF(Table1[[#This Row],[stock_quantity]]=0,"NO STOCK",
IF(Table1[[#This Row],[stock_quantity]]&lt;=10,"LOW STOCK",
"IN STOCK"))</f>
        <v>IN STOCK</v>
      </c>
      <c r="R131" s="1">
        <f t="shared" ref="R131:R194" si="10">IF(ISBLANK(S131), 0, S131)</f>
        <v>3.4</v>
      </c>
      <c r="S131">
        <v>3.4</v>
      </c>
      <c r="T131" t="b">
        <v>0</v>
      </c>
      <c r="U131" t="str">
        <f t="shared" ref="U131:U194" si="11">IF(V131="","No Return",V131)</f>
        <v>No Return</v>
      </c>
    </row>
    <row r="132" spans="1:22" hidden="1" x14ac:dyDescent="0.3">
      <c r="A132" t="s">
        <v>185</v>
      </c>
      <c r="B132" t="s">
        <v>42</v>
      </c>
      <c r="C132" t="s">
        <v>32</v>
      </c>
      <c r="D132" t="s">
        <v>17</v>
      </c>
      <c r="E132" t="str">
        <f t="shared" si="8"/>
        <v>OS</v>
      </c>
      <c r="F132" t="s">
        <v>18</v>
      </c>
      <c r="G132" t="s">
        <v>66</v>
      </c>
      <c r="H132" s="8">
        <v>79.13</v>
      </c>
      <c r="I132" s="3">
        <f t="shared" si="9"/>
        <v>0</v>
      </c>
      <c r="J132" s="4">
        <v>0</v>
      </c>
      <c r="K132" s="11">
        <f>Table1[[#This Row],[original_price]]* (Table1[[#This Row],[Markdown percentage updated]])</f>
        <v>0</v>
      </c>
      <c r="L1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2" s="6">
        <v>79.13</v>
      </c>
      <c r="N1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2" s="7">
        <v>45612</v>
      </c>
      <c r="P132">
        <v>11</v>
      </c>
      <c r="Q132" s="16" t="str">
        <f>IF(Table1[[#This Row],[stock_quantity]]=0,"NO STOCK",
IF(Table1[[#This Row],[stock_quantity]]&lt;=10,"LOW STOCK",
"IN STOCK"))</f>
        <v>IN STOCK</v>
      </c>
      <c r="R132" s="1">
        <f t="shared" si="10"/>
        <v>3.6</v>
      </c>
      <c r="S132">
        <v>3.6</v>
      </c>
      <c r="T132" t="b">
        <v>0</v>
      </c>
      <c r="U132" t="str">
        <f t="shared" si="11"/>
        <v>No Return</v>
      </c>
    </row>
    <row r="133" spans="1:22" hidden="1" x14ac:dyDescent="0.3">
      <c r="A133" t="s">
        <v>186</v>
      </c>
      <c r="B133" t="s">
        <v>38</v>
      </c>
      <c r="C133" t="s">
        <v>43</v>
      </c>
      <c r="D133" t="s">
        <v>17</v>
      </c>
      <c r="E133" t="str">
        <f t="shared" si="8"/>
        <v>S</v>
      </c>
      <c r="F133" t="s">
        <v>39</v>
      </c>
      <c r="G133" t="s">
        <v>46</v>
      </c>
      <c r="H133" s="8">
        <v>96.11</v>
      </c>
      <c r="I133" s="3">
        <f t="shared" si="9"/>
        <v>0</v>
      </c>
      <c r="J133" s="4">
        <v>0</v>
      </c>
      <c r="K133" s="11">
        <f>Table1[[#This Row],[original_price]]* (Table1[[#This Row],[Markdown percentage updated]])</f>
        <v>0</v>
      </c>
      <c r="L1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3" s="6">
        <v>96.11</v>
      </c>
      <c r="N1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3" s="7">
        <v>45759</v>
      </c>
      <c r="P133">
        <v>13</v>
      </c>
      <c r="Q133" s="16" t="str">
        <f>IF(Table1[[#This Row],[stock_quantity]]=0,"NO STOCK",
IF(Table1[[#This Row],[stock_quantity]]&lt;=10,"LOW STOCK",
"IN STOCK"))</f>
        <v>IN STOCK</v>
      </c>
      <c r="R133" s="1">
        <f t="shared" si="10"/>
        <v>4.2</v>
      </c>
      <c r="S133">
        <v>4.2</v>
      </c>
      <c r="T133" t="b">
        <v>0</v>
      </c>
      <c r="U133" t="str">
        <f t="shared" si="11"/>
        <v>No Return</v>
      </c>
    </row>
    <row r="134" spans="1:22" hidden="1" x14ac:dyDescent="0.3">
      <c r="A134" t="s">
        <v>187</v>
      </c>
      <c r="B134" t="s">
        <v>21</v>
      </c>
      <c r="C134" t="s">
        <v>43</v>
      </c>
      <c r="D134" t="s">
        <v>17</v>
      </c>
      <c r="E134" t="str">
        <f t="shared" si="8"/>
        <v>L</v>
      </c>
      <c r="F134" t="s">
        <v>18</v>
      </c>
      <c r="G134" t="s">
        <v>35</v>
      </c>
      <c r="H134" s="8">
        <v>116.61</v>
      </c>
      <c r="I134" s="3">
        <f t="shared" si="9"/>
        <v>0</v>
      </c>
      <c r="J134" s="4">
        <v>0</v>
      </c>
      <c r="K134" s="11">
        <f>Table1[[#This Row],[original_price]]* (Table1[[#This Row],[Markdown percentage updated]])</f>
        <v>0</v>
      </c>
      <c r="L1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4" s="6">
        <v>116.61</v>
      </c>
      <c r="N1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4" s="7">
        <v>45600</v>
      </c>
      <c r="P134">
        <v>31</v>
      </c>
      <c r="Q134" s="16" t="str">
        <f>IF(Table1[[#This Row],[stock_quantity]]=0,"NO STOCK",
IF(Table1[[#This Row],[stock_quantity]]&lt;=10,"LOW STOCK",
"IN STOCK"))</f>
        <v>IN STOCK</v>
      </c>
      <c r="R134" s="1">
        <f t="shared" si="10"/>
        <v>0</v>
      </c>
      <c r="T134" t="b">
        <v>0</v>
      </c>
      <c r="U134" t="str">
        <f t="shared" si="11"/>
        <v>No Return</v>
      </c>
    </row>
    <row r="135" spans="1:22" hidden="1" x14ac:dyDescent="0.3">
      <c r="A135" t="s">
        <v>188</v>
      </c>
      <c r="B135" t="s">
        <v>27</v>
      </c>
      <c r="C135" t="s">
        <v>53</v>
      </c>
      <c r="D135" t="s">
        <v>23</v>
      </c>
      <c r="E135" t="str">
        <f t="shared" si="8"/>
        <v>XS</v>
      </c>
      <c r="G135" t="s">
        <v>44</v>
      </c>
      <c r="H135" s="8">
        <v>57.8</v>
      </c>
      <c r="I135" s="3">
        <f t="shared" si="9"/>
        <v>0.27</v>
      </c>
      <c r="J135" s="4">
        <v>27</v>
      </c>
      <c r="K135" s="11">
        <f>Table1[[#This Row],[original_price]]* (Table1[[#This Row],[Markdown percentage updated]])</f>
        <v>15.606</v>
      </c>
      <c r="L1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5" s="6">
        <v>42.19</v>
      </c>
      <c r="N1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35" s="7">
        <v>45875</v>
      </c>
      <c r="P135">
        <v>9</v>
      </c>
      <c r="Q135" s="17" t="str">
        <f>IF(Table1[[#This Row],[stock_quantity]]=0,"NO STOCK",
IF(Table1[[#This Row],[stock_quantity]]&lt;=10,"LOW STOCK",
"IN STOCK"))</f>
        <v>LOW STOCK</v>
      </c>
      <c r="R135" s="1">
        <f t="shared" si="10"/>
        <v>1.8</v>
      </c>
      <c r="S135">
        <v>1.8</v>
      </c>
      <c r="T135" t="b">
        <v>0</v>
      </c>
      <c r="U135" t="str">
        <f t="shared" si="11"/>
        <v>No Return</v>
      </c>
    </row>
    <row r="136" spans="1:22" hidden="1" x14ac:dyDescent="0.3">
      <c r="A136" t="s">
        <v>189</v>
      </c>
      <c r="B136" t="s">
        <v>21</v>
      </c>
      <c r="C136" t="s">
        <v>48</v>
      </c>
      <c r="D136" t="s">
        <v>17</v>
      </c>
      <c r="E136" t="str">
        <f t="shared" si="8"/>
        <v>M</v>
      </c>
      <c r="F136" t="s">
        <v>39</v>
      </c>
      <c r="G136" t="s">
        <v>35</v>
      </c>
      <c r="H136" s="8">
        <v>110.78</v>
      </c>
      <c r="I136" s="3">
        <f t="shared" si="9"/>
        <v>0</v>
      </c>
      <c r="J136" s="4">
        <v>0</v>
      </c>
      <c r="K136" s="11">
        <f>Table1[[#This Row],[original_price]]* (Table1[[#This Row],[Markdown percentage updated]])</f>
        <v>0</v>
      </c>
      <c r="L1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6" s="6">
        <v>110.78</v>
      </c>
      <c r="N1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6" s="7">
        <v>45670</v>
      </c>
      <c r="P136">
        <v>9</v>
      </c>
      <c r="Q136" s="17" t="str">
        <f>IF(Table1[[#This Row],[stock_quantity]]=0,"NO STOCK",
IF(Table1[[#This Row],[stock_quantity]]&lt;=10,"LOW STOCK",
"IN STOCK"))</f>
        <v>LOW STOCK</v>
      </c>
      <c r="R136" s="1">
        <f t="shared" si="10"/>
        <v>1.4</v>
      </c>
      <c r="S136">
        <v>1.4</v>
      </c>
      <c r="T136" t="b">
        <v>0</v>
      </c>
      <c r="U136" t="str">
        <f t="shared" si="11"/>
        <v>No Return</v>
      </c>
    </row>
    <row r="137" spans="1:22" hidden="1" x14ac:dyDescent="0.3">
      <c r="A137" t="s">
        <v>190</v>
      </c>
      <c r="B137" t="s">
        <v>21</v>
      </c>
      <c r="C137" t="s">
        <v>61</v>
      </c>
      <c r="D137" t="s">
        <v>17</v>
      </c>
      <c r="E137" t="str">
        <f t="shared" si="8"/>
        <v>XXL</v>
      </c>
      <c r="F137" t="s">
        <v>24</v>
      </c>
      <c r="G137" t="s">
        <v>28</v>
      </c>
      <c r="H137" s="8">
        <v>112.63</v>
      </c>
      <c r="I137" s="3">
        <f t="shared" si="9"/>
        <v>0</v>
      </c>
      <c r="J137" s="4">
        <v>0</v>
      </c>
      <c r="K137" s="11">
        <f>Table1[[#This Row],[original_price]]* (Table1[[#This Row],[Markdown percentage updated]])</f>
        <v>0</v>
      </c>
      <c r="L1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7" s="6">
        <v>112.63</v>
      </c>
      <c r="N1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7" s="7">
        <v>45579</v>
      </c>
      <c r="P137">
        <v>50</v>
      </c>
      <c r="Q137" s="16" t="str">
        <f>IF(Table1[[#This Row],[stock_quantity]]=0,"NO STOCK",
IF(Table1[[#This Row],[stock_quantity]]&lt;=10,"LOW STOCK",
"IN STOCK"))</f>
        <v>IN STOCK</v>
      </c>
      <c r="R137" s="1">
        <f t="shared" si="10"/>
        <v>3.6</v>
      </c>
      <c r="S137">
        <v>3.6</v>
      </c>
      <c r="T137" t="b">
        <v>1</v>
      </c>
      <c r="U137" s="13" t="str">
        <f t="shared" si="11"/>
        <v>Quality Issue</v>
      </c>
      <c r="V137" t="s">
        <v>83</v>
      </c>
    </row>
    <row r="138" spans="1:22" hidden="1" x14ac:dyDescent="0.3">
      <c r="A138" t="s">
        <v>191</v>
      </c>
      <c r="B138" t="s">
        <v>21</v>
      </c>
      <c r="C138" t="s">
        <v>48</v>
      </c>
      <c r="D138" t="s">
        <v>62</v>
      </c>
      <c r="E138" t="str">
        <f t="shared" si="8"/>
        <v>L</v>
      </c>
      <c r="F138" t="s">
        <v>55</v>
      </c>
      <c r="G138" t="s">
        <v>66</v>
      </c>
      <c r="H138" s="8">
        <v>89.36</v>
      </c>
      <c r="I138" s="3">
        <f t="shared" si="9"/>
        <v>0</v>
      </c>
      <c r="J138" s="4">
        <v>0</v>
      </c>
      <c r="K138" s="11">
        <f>Table1[[#This Row],[original_price]]* (Table1[[#This Row],[Markdown percentage updated]])</f>
        <v>0</v>
      </c>
      <c r="L1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8" s="6">
        <v>89.36</v>
      </c>
      <c r="N1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8" s="7">
        <v>45875</v>
      </c>
      <c r="P138">
        <v>24</v>
      </c>
      <c r="Q138" s="16" t="str">
        <f>IF(Table1[[#This Row],[stock_quantity]]=0,"NO STOCK",
IF(Table1[[#This Row],[stock_quantity]]&lt;=10,"LOW STOCK",
"IN STOCK"))</f>
        <v>IN STOCK</v>
      </c>
      <c r="R138" s="1">
        <f t="shared" si="10"/>
        <v>4.3</v>
      </c>
      <c r="S138">
        <v>4.3</v>
      </c>
      <c r="T138" t="b">
        <v>1</v>
      </c>
      <c r="U138" s="13" t="str">
        <f t="shared" si="11"/>
        <v>Damaged</v>
      </c>
      <c r="V138" t="s">
        <v>78</v>
      </c>
    </row>
    <row r="139" spans="1:22" hidden="1" x14ac:dyDescent="0.3">
      <c r="A139" t="s">
        <v>192</v>
      </c>
      <c r="B139" t="s">
        <v>15</v>
      </c>
      <c r="C139" t="s">
        <v>75</v>
      </c>
      <c r="D139" t="s">
        <v>34</v>
      </c>
      <c r="E139" t="str">
        <f t="shared" si="8"/>
        <v>XS</v>
      </c>
      <c r="F139" t="s">
        <v>58</v>
      </c>
      <c r="G139" t="s">
        <v>25</v>
      </c>
      <c r="H139" s="8">
        <v>127.99</v>
      </c>
      <c r="I139" s="3">
        <f t="shared" si="9"/>
        <v>0</v>
      </c>
      <c r="J139" s="4">
        <v>0</v>
      </c>
      <c r="K139" s="11">
        <f>Table1[[#This Row],[original_price]]* (Table1[[#This Row],[Markdown percentage updated]])</f>
        <v>0</v>
      </c>
      <c r="L1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9" s="6">
        <v>127.99</v>
      </c>
      <c r="N1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9" s="7">
        <v>45875</v>
      </c>
      <c r="P139">
        <v>16</v>
      </c>
      <c r="Q139" s="16" t="str">
        <f>IF(Table1[[#This Row],[stock_quantity]]=0,"NO STOCK",
IF(Table1[[#This Row],[stock_quantity]]&lt;=10,"LOW STOCK",
"IN STOCK"))</f>
        <v>IN STOCK</v>
      </c>
      <c r="R139" s="1">
        <f t="shared" si="10"/>
        <v>0</v>
      </c>
      <c r="T139" t="b">
        <v>0</v>
      </c>
      <c r="U139" t="str">
        <f t="shared" si="11"/>
        <v>No Return</v>
      </c>
    </row>
    <row r="140" spans="1:22" hidden="1" x14ac:dyDescent="0.3">
      <c r="A140" t="s">
        <v>193</v>
      </c>
      <c r="B140" t="s">
        <v>38</v>
      </c>
      <c r="C140" t="s">
        <v>16</v>
      </c>
      <c r="D140" t="s">
        <v>23</v>
      </c>
      <c r="E140" t="str">
        <f t="shared" si="8"/>
        <v>M</v>
      </c>
      <c r="F140" t="s">
        <v>49</v>
      </c>
      <c r="G140" t="s">
        <v>56</v>
      </c>
      <c r="H140" s="8">
        <v>54.88</v>
      </c>
      <c r="I140" s="3">
        <f t="shared" si="9"/>
        <v>0.58799999999999997</v>
      </c>
      <c r="J140" s="4">
        <v>58.8</v>
      </c>
      <c r="K140" s="11">
        <f>Table1[[#This Row],[original_price]]* (Table1[[#This Row],[Markdown percentage updated]])</f>
        <v>32.269440000000003</v>
      </c>
      <c r="L1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0" s="6">
        <v>22.61</v>
      </c>
      <c r="N1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0" s="7">
        <v>45875</v>
      </c>
      <c r="P140">
        <v>50</v>
      </c>
      <c r="Q140" s="16" t="str">
        <f>IF(Table1[[#This Row],[stock_quantity]]=0,"NO STOCK",
IF(Table1[[#This Row],[stock_quantity]]&lt;=10,"LOW STOCK",
"IN STOCK"))</f>
        <v>IN STOCK</v>
      </c>
      <c r="R140" s="1">
        <f t="shared" si="10"/>
        <v>3.5</v>
      </c>
      <c r="S140">
        <v>3.5</v>
      </c>
      <c r="T140" t="b">
        <v>0</v>
      </c>
      <c r="U140" t="str">
        <f t="shared" si="11"/>
        <v>No Return</v>
      </c>
    </row>
    <row r="141" spans="1:22" hidden="1" x14ac:dyDescent="0.3">
      <c r="A141" t="s">
        <v>194</v>
      </c>
      <c r="B141" t="s">
        <v>30</v>
      </c>
      <c r="C141" t="s">
        <v>22</v>
      </c>
      <c r="D141" t="s">
        <v>17</v>
      </c>
      <c r="E141" t="str">
        <f t="shared" si="8"/>
        <v>XL</v>
      </c>
      <c r="F141" t="s">
        <v>24</v>
      </c>
      <c r="G141" t="s">
        <v>35</v>
      </c>
      <c r="H141" s="8">
        <v>154.13</v>
      </c>
      <c r="I141" s="3">
        <f t="shared" si="9"/>
        <v>0</v>
      </c>
      <c r="J141" s="4">
        <v>0</v>
      </c>
      <c r="K141" s="11">
        <f>Table1[[#This Row],[original_price]]* (Table1[[#This Row],[Markdown percentage updated]])</f>
        <v>0</v>
      </c>
      <c r="L1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1" s="6">
        <v>154.13</v>
      </c>
      <c r="N1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1" s="7">
        <v>45566</v>
      </c>
      <c r="P141">
        <v>31</v>
      </c>
      <c r="Q141" s="16" t="str">
        <f>IF(Table1[[#This Row],[stock_quantity]]=0,"NO STOCK",
IF(Table1[[#This Row],[stock_quantity]]&lt;=10,"LOW STOCK",
"IN STOCK"))</f>
        <v>IN STOCK</v>
      </c>
      <c r="R141" s="1">
        <f t="shared" si="10"/>
        <v>4.0999999999999996</v>
      </c>
      <c r="S141">
        <v>4.0999999999999996</v>
      </c>
      <c r="T141" t="b">
        <v>1</v>
      </c>
      <c r="U141" s="13" t="str">
        <f t="shared" si="11"/>
        <v>Size Issue</v>
      </c>
      <c r="V141" t="s">
        <v>73</v>
      </c>
    </row>
    <row r="142" spans="1:22" hidden="1" x14ac:dyDescent="0.3">
      <c r="A142" t="s">
        <v>195</v>
      </c>
      <c r="B142" t="s">
        <v>42</v>
      </c>
      <c r="C142" t="s">
        <v>53</v>
      </c>
      <c r="D142" t="s">
        <v>17</v>
      </c>
      <c r="E142" t="str">
        <f t="shared" si="8"/>
        <v>L</v>
      </c>
      <c r="F142" t="s">
        <v>55</v>
      </c>
      <c r="G142" t="s">
        <v>40</v>
      </c>
      <c r="H142" s="8">
        <v>131.5</v>
      </c>
      <c r="I142" s="3">
        <f t="shared" si="9"/>
        <v>0</v>
      </c>
      <c r="J142" s="4">
        <v>0</v>
      </c>
      <c r="K142" s="11">
        <f>Table1[[#This Row],[original_price]]* (Table1[[#This Row],[Markdown percentage updated]])</f>
        <v>0</v>
      </c>
      <c r="L1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2" s="6">
        <v>131.5</v>
      </c>
      <c r="N1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2" s="7">
        <v>45599</v>
      </c>
      <c r="P142">
        <v>5</v>
      </c>
      <c r="Q142" s="17" t="str">
        <f>IF(Table1[[#This Row],[stock_quantity]]=0,"NO STOCK",
IF(Table1[[#This Row],[stock_quantity]]&lt;=10,"LOW STOCK",
"IN STOCK"))</f>
        <v>LOW STOCK</v>
      </c>
      <c r="R142" s="1">
        <f t="shared" si="10"/>
        <v>0</v>
      </c>
      <c r="T142" t="b">
        <v>0</v>
      </c>
      <c r="U142" t="str">
        <f t="shared" si="11"/>
        <v>No Return</v>
      </c>
    </row>
    <row r="143" spans="1:22" hidden="1" x14ac:dyDescent="0.3">
      <c r="A143" t="s">
        <v>196</v>
      </c>
      <c r="B143" t="s">
        <v>15</v>
      </c>
      <c r="C143" t="s">
        <v>61</v>
      </c>
      <c r="D143" t="s">
        <v>62</v>
      </c>
      <c r="E143" t="str">
        <f t="shared" si="8"/>
        <v>L</v>
      </c>
      <c r="F143" t="s">
        <v>58</v>
      </c>
      <c r="G143" t="s">
        <v>44</v>
      </c>
      <c r="H143" s="8">
        <v>133.26</v>
      </c>
      <c r="I143" s="3">
        <f t="shared" si="9"/>
        <v>0</v>
      </c>
      <c r="J143" s="4">
        <v>0</v>
      </c>
      <c r="K143" s="11">
        <f>Table1[[#This Row],[original_price]]* (Table1[[#This Row],[Markdown percentage updated]])</f>
        <v>0</v>
      </c>
      <c r="L1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3" s="6">
        <v>133.26</v>
      </c>
      <c r="N1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3" s="7">
        <v>45875</v>
      </c>
      <c r="P143">
        <v>29</v>
      </c>
      <c r="Q143" s="16" t="str">
        <f>IF(Table1[[#This Row],[stock_quantity]]=0,"NO STOCK",
IF(Table1[[#This Row],[stock_quantity]]&lt;=10,"LOW STOCK",
"IN STOCK"))</f>
        <v>IN STOCK</v>
      </c>
      <c r="R143" s="1">
        <f t="shared" si="10"/>
        <v>1.3</v>
      </c>
      <c r="S143">
        <v>1.3</v>
      </c>
      <c r="T143" t="b">
        <v>0</v>
      </c>
      <c r="U143" t="str">
        <f t="shared" si="11"/>
        <v>No Return</v>
      </c>
    </row>
    <row r="144" spans="1:22" hidden="1" x14ac:dyDescent="0.3">
      <c r="A144" t="s">
        <v>197</v>
      </c>
      <c r="B144" t="s">
        <v>30</v>
      </c>
      <c r="C144" t="s">
        <v>75</v>
      </c>
      <c r="D144" t="s">
        <v>23</v>
      </c>
      <c r="E144" t="str">
        <f t="shared" si="8"/>
        <v>OS</v>
      </c>
      <c r="F144" t="s">
        <v>18</v>
      </c>
      <c r="G144" t="s">
        <v>19</v>
      </c>
      <c r="H144" s="8">
        <v>173.91</v>
      </c>
      <c r="I144" s="3">
        <f t="shared" si="9"/>
        <v>0</v>
      </c>
      <c r="J144" s="4">
        <v>0</v>
      </c>
      <c r="K144" s="11">
        <f>Table1[[#This Row],[original_price]]* (Table1[[#This Row],[Markdown percentage updated]])</f>
        <v>0</v>
      </c>
      <c r="L1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4" s="6">
        <v>173.91</v>
      </c>
      <c r="N1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4" s="7">
        <v>45875</v>
      </c>
      <c r="P144">
        <v>21</v>
      </c>
      <c r="Q144" s="16" t="str">
        <f>IF(Table1[[#This Row],[stock_quantity]]=0,"NO STOCK",
IF(Table1[[#This Row],[stock_quantity]]&lt;=10,"LOW STOCK",
"IN STOCK"))</f>
        <v>IN STOCK</v>
      </c>
      <c r="R144" s="1">
        <f t="shared" si="10"/>
        <v>0</v>
      </c>
      <c r="T144" t="b">
        <v>0</v>
      </c>
      <c r="U144" t="str">
        <f t="shared" si="11"/>
        <v>No Return</v>
      </c>
    </row>
    <row r="145" spans="1:22" hidden="1" x14ac:dyDescent="0.3">
      <c r="A145" t="s">
        <v>198</v>
      </c>
      <c r="B145" t="s">
        <v>21</v>
      </c>
      <c r="C145" t="s">
        <v>48</v>
      </c>
      <c r="D145" t="s">
        <v>17</v>
      </c>
      <c r="E145" t="str">
        <f t="shared" si="8"/>
        <v>L</v>
      </c>
      <c r="F145" t="s">
        <v>24</v>
      </c>
      <c r="G145" t="s">
        <v>56</v>
      </c>
      <c r="H145" s="8">
        <v>102.99</v>
      </c>
      <c r="I145" s="3">
        <f t="shared" si="9"/>
        <v>0</v>
      </c>
      <c r="J145" s="4">
        <v>0</v>
      </c>
      <c r="K145" s="11">
        <f>Table1[[#This Row],[original_price]]* (Table1[[#This Row],[Markdown percentage updated]])</f>
        <v>0</v>
      </c>
      <c r="L1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5" s="6">
        <v>102.99</v>
      </c>
      <c r="N1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5" s="7">
        <v>45854</v>
      </c>
      <c r="P145">
        <v>41</v>
      </c>
      <c r="Q145" s="16" t="str">
        <f>IF(Table1[[#This Row],[stock_quantity]]=0,"NO STOCK",
IF(Table1[[#This Row],[stock_quantity]]&lt;=10,"LOW STOCK",
"IN STOCK"))</f>
        <v>IN STOCK</v>
      </c>
      <c r="R145" s="1">
        <f t="shared" si="10"/>
        <v>3.9</v>
      </c>
      <c r="S145">
        <v>3.9</v>
      </c>
      <c r="T145" t="b">
        <v>0</v>
      </c>
      <c r="U145" t="str">
        <f t="shared" si="11"/>
        <v>No Return</v>
      </c>
    </row>
    <row r="146" spans="1:22" hidden="1" x14ac:dyDescent="0.3">
      <c r="A146" t="s">
        <v>199</v>
      </c>
      <c r="B146" t="s">
        <v>15</v>
      </c>
      <c r="C146" t="s">
        <v>16</v>
      </c>
      <c r="D146" t="s">
        <v>17</v>
      </c>
      <c r="E146" t="str">
        <f t="shared" si="8"/>
        <v>XXL</v>
      </c>
      <c r="F146" t="s">
        <v>24</v>
      </c>
      <c r="G146" t="s">
        <v>56</v>
      </c>
      <c r="H146" s="8">
        <v>87.78</v>
      </c>
      <c r="I146" s="3">
        <f t="shared" si="9"/>
        <v>0.45299999999999996</v>
      </c>
      <c r="J146" s="4">
        <v>45.3</v>
      </c>
      <c r="K146" s="11">
        <f>Table1[[#This Row],[original_price]]* (Table1[[#This Row],[Markdown percentage updated]])</f>
        <v>39.764339999999997</v>
      </c>
      <c r="L1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6" s="6">
        <v>48.02</v>
      </c>
      <c r="N1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6" s="7">
        <v>45705</v>
      </c>
      <c r="P146">
        <v>34</v>
      </c>
      <c r="Q146" s="16" t="str">
        <f>IF(Table1[[#This Row],[stock_quantity]]=0,"NO STOCK",
IF(Table1[[#This Row],[stock_quantity]]&lt;=10,"LOW STOCK",
"IN STOCK"))</f>
        <v>IN STOCK</v>
      </c>
      <c r="R146" s="1">
        <f t="shared" si="10"/>
        <v>1.8</v>
      </c>
      <c r="S146">
        <v>1.8</v>
      </c>
      <c r="T146" t="b">
        <v>0</v>
      </c>
      <c r="U146" t="str">
        <f t="shared" si="11"/>
        <v>No Return</v>
      </c>
    </row>
    <row r="147" spans="1:22" hidden="1" x14ac:dyDescent="0.3">
      <c r="A147" t="s">
        <v>200</v>
      </c>
      <c r="B147" t="s">
        <v>21</v>
      </c>
      <c r="C147" t="s">
        <v>22</v>
      </c>
      <c r="D147" t="s">
        <v>23</v>
      </c>
      <c r="E147" t="str">
        <f t="shared" si="8"/>
        <v>M</v>
      </c>
      <c r="G147" t="s">
        <v>56</v>
      </c>
      <c r="H147" s="8">
        <v>91.8</v>
      </c>
      <c r="I147" s="3">
        <f t="shared" si="9"/>
        <v>0.158</v>
      </c>
      <c r="J147" s="4">
        <v>15.8</v>
      </c>
      <c r="K147" s="11">
        <f>Table1[[#This Row],[original_price]]* (Table1[[#This Row],[Markdown percentage updated]])</f>
        <v>14.5044</v>
      </c>
      <c r="L1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7" s="6">
        <v>77.3</v>
      </c>
      <c r="N1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47" s="7">
        <v>45875</v>
      </c>
      <c r="P147">
        <v>30</v>
      </c>
      <c r="Q147" s="16" t="str">
        <f>IF(Table1[[#This Row],[stock_quantity]]=0,"NO STOCK",
IF(Table1[[#This Row],[stock_quantity]]&lt;=10,"LOW STOCK",
"IN STOCK"))</f>
        <v>IN STOCK</v>
      </c>
      <c r="R147" s="1">
        <f t="shared" si="10"/>
        <v>4.2</v>
      </c>
      <c r="S147">
        <v>4.2</v>
      </c>
      <c r="T147" t="b">
        <v>0</v>
      </c>
      <c r="U147" t="str">
        <f t="shared" si="11"/>
        <v>No Return</v>
      </c>
    </row>
    <row r="148" spans="1:22" hidden="1" x14ac:dyDescent="0.3">
      <c r="A148" t="s">
        <v>201</v>
      </c>
      <c r="B148" t="s">
        <v>21</v>
      </c>
      <c r="C148" t="s">
        <v>16</v>
      </c>
      <c r="D148" t="s">
        <v>23</v>
      </c>
      <c r="E148" t="str">
        <f t="shared" si="8"/>
        <v>L</v>
      </c>
      <c r="F148" t="s">
        <v>24</v>
      </c>
      <c r="G148" t="s">
        <v>35</v>
      </c>
      <c r="H148" s="8">
        <v>107.32</v>
      </c>
      <c r="I148" s="3">
        <f t="shared" si="9"/>
        <v>0.254</v>
      </c>
      <c r="J148" s="4">
        <v>25.4</v>
      </c>
      <c r="K148" s="11">
        <f>Table1[[#This Row],[original_price]]* (Table1[[#This Row],[Markdown percentage updated]])</f>
        <v>27.25928</v>
      </c>
      <c r="L1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48" s="6">
        <v>80.06</v>
      </c>
      <c r="N1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8" s="7">
        <v>45875</v>
      </c>
      <c r="P148">
        <v>50</v>
      </c>
      <c r="Q148" s="16" t="str">
        <f>IF(Table1[[#This Row],[stock_quantity]]=0,"NO STOCK",
IF(Table1[[#This Row],[stock_quantity]]&lt;=10,"LOW STOCK",
"IN STOCK"))</f>
        <v>IN STOCK</v>
      </c>
      <c r="R148" s="1">
        <f t="shared" si="10"/>
        <v>4.4000000000000004</v>
      </c>
      <c r="S148">
        <v>4.4000000000000004</v>
      </c>
      <c r="T148" t="b">
        <v>0</v>
      </c>
      <c r="U148" t="str">
        <f t="shared" si="11"/>
        <v>No Return</v>
      </c>
    </row>
    <row r="149" spans="1:22" hidden="1" x14ac:dyDescent="0.3">
      <c r="A149" t="s">
        <v>202</v>
      </c>
      <c r="B149" t="s">
        <v>38</v>
      </c>
      <c r="C149" t="s">
        <v>32</v>
      </c>
      <c r="D149" t="s">
        <v>17</v>
      </c>
      <c r="E149" t="str">
        <f t="shared" si="8"/>
        <v>XL</v>
      </c>
      <c r="F149" t="s">
        <v>49</v>
      </c>
      <c r="G149" t="s">
        <v>70</v>
      </c>
      <c r="H149" s="8">
        <v>67.69</v>
      </c>
      <c r="I149" s="3">
        <f t="shared" si="9"/>
        <v>0.57299999999999995</v>
      </c>
      <c r="J149" s="4">
        <v>57.3</v>
      </c>
      <c r="K149" s="11">
        <f>Table1[[#This Row],[original_price]]* (Table1[[#This Row],[Markdown percentage updated]])</f>
        <v>38.786369999999998</v>
      </c>
      <c r="L1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9" s="6">
        <v>28.9</v>
      </c>
      <c r="N1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9" s="7">
        <v>45862</v>
      </c>
      <c r="P149">
        <v>50</v>
      </c>
      <c r="Q149" s="16" t="str">
        <f>IF(Table1[[#This Row],[stock_quantity]]=0,"NO STOCK",
IF(Table1[[#This Row],[stock_quantity]]&lt;=10,"LOW STOCK",
"IN STOCK"))</f>
        <v>IN STOCK</v>
      </c>
      <c r="R149" s="1">
        <f t="shared" si="10"/>
        <v>4.5999999999999996</v>
      </c>
      <c r="S149">
        <v>4.5999999999999996</v>
      </c>
      <c r="T149" t="b">
        <v>0</v>
      </c>
      <c r="U149" t="str">
        <f t="shared" si="11"/>
        <v>No Return</v>
      </c>
    </row>
    <row r="150" spans="1:22" hidden="1" x14ac:dyDescent="0.3">
      <c r="A150" t="s">
        <v>203</v>
      </c>
      <c r="B150" t="s">
        <v>21</v>
      </c>
      <c r="C150" t="s">
        <v>53</v>
      </c>
      <c r="D150" t="s">
        <v>62</v>
      </c>
      <c r="E150" t="str">
        <f t="shared" si="8"/>
        <v>M</v>
      </c>
      <c r="F150" t="s">
        <v>58</v>
      </c>
      <c r="G150" t="s">
        <v>56</v>
      </c>
      <c r="H150" s="8">
        <v>68.11</v>
      </c>
      <c r="I150" s="3">
        <f t="shared" si="9"/>
        <v>0.46</v>
      </c>
      <c r="J150" s="4">
        <v>46</v>
      </c>
      <c r="K150" s="11">
        <f>Table1[[#This Row],[original_price]]* (Table1[[#This Row],[Markdown percentage updated]])</f>
        <v>31.3306</v>
      </c>
      <c r="L1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0" s="6">
        <v>36.78</v>
      </c>
      <c r="N1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0" s="7">
        <v>45875</v>
      </c>
      <c r="P150">
        <v>3</v>
      </c>
      <c r="Q150" s="17" t="str">
        <f>IF(Table1[[#This Row],[stock_quantity]]=0,"NO STOCK",
IF(Table1[[#This Row],[stock_quantity]]&lt;=10,"LOW STOCK",
"IN STOCK"))</f>
        <v>LOW STOCK</v>
      </c>
      <c r="R150" s="1">
        <f t="shared" si="10"/>
        <v>2.5</v>
      </c>
      <c r="S150">
        <v>2.5</v>
      </c>
      <c r="T150" t="b">
        <v>0</v>
      </c>
      <c r="U150" t="str">
        <f t="shared" si="11"/>
        <v>No Return</v>
      </c>
    </row>
    <row r="151" spans="1:22" hidden="1" x14ac:dyDescent="0.3">
      <c r="A151" t="s">
        <v>204</v>
      </c>
      <c r="B151" t="s">
        <v>30</v>
      </c>
      <c r="C151" t="s">
        <v>32</v>
      </c>
      <c r="D151" t="s">
        <v>17</v>
      </c>
      <c r="E151" t="str">
        <f t="shared" si="8"/>
        <v>XXL</v>
      </c>
      <c r="F151" t="s">
        <v>24</v>
      </c>
      <c r="G151" t="s">
        <v>44</v>
      </c>
      <c r="H151" s="8">
        <v>94.29</v>
      </c>
      <c r="I151" s="3">
        <f t="shared" si="9"/>
        <v>0</v>
      </c>
      <c r="J151" s="4">
        <v>0</v>
      </c>
      <c r="K151" s="11">
        <f>Table1[[#This Row],[original_price]]* (Table1[[#This Row],[Markdown percentage updated]])</f>
        <v>0</v>
      </c>
      <c r="L1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1" s="6">
        <v>94.29</v>
      </c>
      <c r="N1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1" s="7">
        <v>45550</v>
      </c>
      <c r="P151">
        <v>18</v>
      </c>
      <c r="Q151" s="16" t="str">
        <f>IF(Table1[[#This Row],[stock_quantity]]=0,"NO STOCK",
IF(Table1[[#This Row],[stock_quantity]]&lt;=10,"LOW STOCK",
"IN STOCK"))</f>
        <v>IN STOCK</v>
      </c>
      <c r="R151" s="1">
        <f t="shared" si="10"/>
        <v>1.7</v>
      </c>
      <c r="S151">
        <v>1.7</v>
      </c>
      <c r="T151" t="b">
        <v>0</v>
      </c>
      <c r="U151" t="str">
        <f t="shared" si="11"/>
        <v>No Return</v>
      </c>
    </row>
    <row r="152" spans="1:22" hidden="1" x14ac:dyDescent="0.3">
      <c r="A152" t="s">
        <v>205</v>
      </c>
      <c r="B152" t="s">
        <v>21</v>
      </c>
      <c r="C152" t="s">
        <v>53</v>
      </c>
      <c r="D152" t="s">
        <v>23</v>
      </c>
      <c r="E152" t="str">
        <f t="shared" si="8"/>
        <v>L</v>
      </c>
      <c r="F152" t="s">
        <v>18</v>
      </c>
      <c r="G152" t="s">
        <v>40</v>
      </c>
      <c r="H152" s="8">
        <v>94.97</v>
      </c>
      <c r="I152" s="3">
        <f t="shared" si="9"/>
        <v>0</v>
      </c>
      <c r="J152" s="4">
        <v>0</v>
      </c>
      <c r="K152" s="11">
        <f>Table1[[#This Row],[original_price]]* (Table1[[#This Row],[Markdown percentage updated]])</f>
        <v>0</v>
      </c>
      <c r="L1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2" s="6">
        <v>94.97</v>
      </c>
      <c r="N1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2" s="7">
        <v>45875</v>
      </c>
      <c r="P152">
        <v>46</v>
      </c>
      <c r="Q152" s="16" t="str">
        <f>IF(Table1[[#This Row],[stock_quantity]]=0,"NO STOCK",
IF(Table1[[#This Row],[stock_quantity]]&lt;=10,"LOW STOCK",
"IN STOCK"))</f>
        <v>IN STOCK</v>
      </c>
      <c r="R152" s="1">
        <f t="shared" si="10"/>
        <v>4.3</v>
      </c>
      <c r="S152">
        <v>4.3</v>
      </c>
      <c r="T152" t="b">
        <v>0</v>
      </c>
      <c r="U152" t="str">
        <f t="shared" si="11"/>
        <v>No Return</v>
      </c>
    </row>
    <row r="153" spans="1:22" hidden="1" x14ac:dyDescent="0.3">
      <c r="A153" t="s">
        <v>206</v>
      </c>
      <c r="B153" t="s">
        <v>30</v>
      </c>
      <c r="C153" t="s">
        <v>32</v>
      </c>
      <c r="D153" t="s">
        <v>23</v>
      </c>
      <c r="E153" t="str">
        <f t="shared" si="8"/>
        <v>M</v>
      </c>
      <c r="F153" t="s">
        <v>58</v>
      </c>
      <c r="G153" t="s">
        <v>64</v>
      </c>
      <c r="H153" s="8">
        <v>65.87</v>
      </c>
      <c r="I153" s="3">
        <f t="shared" si="9"/>
        <v>0.114</v>
      </c>
      <c r="J153" s="4">
        <v>11.4</v>
      </c>
      <c r="K153" s="11">
        <f>Table1[[#This Row],[original_price]]* (Table1[[#This Row],[Markdown percentage updated]])</f>
        <v>7.5091800000000006</v>
      </c>
      <c r="L1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3" s="6">
        <v>58.36</v>
      </c>
      <c r="N1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3" s="7">
        <v>45875</v>
      </c>
      <c r="P153">
        <v>15</v>
      </c>
      <c r="Q153" s="16" t="str">
        <f>IF(Table1[[#This Row],[stock_quantity]]=0,"NO STOCK",
IF(Table1[[#This Row],[stock_quantity]]&lt;=10,"LOW STOCK",
"IN STOCK"))</f>
        <v>IN STOCK</v>
      </c>
      <c r="R153" s="1">
        <f t="shared" si="10"/>
        <v>3.9</v>
      </c>
      <c r="S153">
        <v>3.9</v>
      </c>
      <c r="T153" t="b">
        <v>0</v>
      </c>
      <c r="U153" t="str">
        <f t="shared" si="11"/>
        <v>No Return</v>
      </c>
    </row>
    <row r="154" spans="1:22" hidden="1" x14ac:dyDescent="0.3">
      <c r="A154" t="s">
        <v>207</v>
      </c>
      <c r="B154" t="s">
        <v>42</v>
      </c>
      <c r="C154" t="s">
        <v>16</v>
      </c>
      <c r="D154" t="s">
        <v>23</v>
      </c>
      <c r="E154" t="str">
        <f t="shared" si="8"/>
        <v>XL</v>
      </c>
      <c r="F154" t="s">
        <v>49</v>
      </c>
      <c r="G154" t="s">
        <v>44</v>
      </c>
      <c r="H154" s="8">
        <v>155.06</v>
      </c>
      <c r="I154" s="3">
        <f t="shared" si="9"/>
        <v>0.29399999999999998</v>
      </c>
      <c r="J154" s="4">
        <v>29.4</v>
      </c>
      <c r="K154" s="11">
        <f>Table1[[#This Row],[original_price]]* (Table1[[#This Row],[Markdown percentage updated]])</f>
        <v>45.58764</v>
      </c>
      <c r="L1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54" s="6">
        <v>109.47</v>
      </c>
      <c r="N1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4" s="7">
        <v>45875</v>
      </c>
      <c r="P154">
        <v>5</v>
      </c>
      <c r="Q154" s="17" t="str">
        <f>IF(Table1[[#This Row],[stock_quantity]]=0,"NO STOCK",
IF(Table1[[#This Row],[stock_quantity]]&lt;=10,"LOW STOCK",
"IN STOCK"))</f>
        <v>LOW STOCK</v>
      </c>
      <c r="R154" s="1">
        <f t="shared" si="10"/>
        <v>3.6</v>
      </c>
      <c r="S154">
        <v>3.6</v>
      </c>
      <c r="T154" t="b">
        <v>0</v>
      </c>
      <c r="U154" t="str">
        <f t="shared" si="11"/>
        <v>No Return</v>
      </c>
    </row>
    <row r="155" spans="1:22" hidden="1" x14ac:dyDescent="0.3">
      <c r="A155" t="s">
        <v>208</v>
      </c>
      <c r="B155" t="s">
        <v>15</v>
      </c>
      <c r="C155" t="s">
        <v>16</v>
      </c>
      <c r="D155" t="s">
        <v>23</v>
      </c>
      <c r="E155" t="str">
        <f t="shared" si="8"/>
        <v>XXL</v>
      </c>
      <c r="F155" t="s">
        <v>24</v>
      </c>
      <c r="G155" t="s">
        <v>70</v>
      </c>
      <c r="H155" s="8">
        <v>172.59</v>
      </c>
      <c r="I155" s="3">
        <f t="shared" si="9"/>
        <v>0</v>
      </c>
      <c r="J155" s="4">
        <v>0</v>
      </c>
      <c r="K155" s="11">
        <f>Table1[[#This Row],[original_price]]* (Table1[[#This Row],[Markdown percentage updated]])</f>
        <v>0</v>
      </c>
      <c r="L1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5" s="6">
        <v>172.59</v>
      </c>
      <c r="N1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5" s="7">
        <v>45875</v>
      </c>
      <c r="P155">
        <v>1</v>
      </c>
      <c r="Q155" s="17" t="str">
        <f>IF(Table1[[#This Row],[stock_quantity]]=0,"NO STOCK",
IF(Table1[[#This Row],[stock_quantity]]&lt;=10,"LOW STOCK",
"IN STOCK"))</f>
        <v>LOW STOCK</v>
      </c>
      <c r="R155" s="1">
        <f t="shared" si="10"/>
        <v>2.1</v>
      </c>
      <c r="S155">
        <v>2.1</v>
      </c>
      <c r="T155" t="b">
        <v>0</v>
      </c>
      <c r="U155" t="str">
        <f t="shared" si="11"/>
        <v>No Return</v>
      </c>
    </row>
    <row r="156" spans="1:22" hidden="1" x14ac:dyDescent="0.3">
      <c r="A156" t="s">
        <v>209</v>
      </c>
      <c r="B156" t="s">
        <v>42</v>
      </c>
      <c r="C156" t="s">
        <v>48</v>
      </c>
      <c r="D156" t="s">
        <v>62</v>
      </c>
      <c r="E156" t="str">
        <f t="shared" si="8"/>
        <v>XXL</v>
      </c>
      <c r="F156" t="s">
        <v>58</v>
      </c>
      <c r="G156" t="s">
        <v>44</v>
      </c>
      <c r="H156" s="8">
        <v>68.72</v>
      </c>
      <c r="I156" s="3">
        <f t="shared" si="9"/>
        <v>0</v>
      </c>
      <c r="J156" s="4">
        <v>0</v>
      </c>
      <c r="K156" s="11">
        <f>Table1[[#This Row],[original_price]]* (Table1[[#This Row],[Markdown percentage updated]])</f>
        <v>0</v>
      </c>
      <c r="L1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6" s="6">
        <v>68.72</v>
      </c>
      <c r="N1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6" s="7">
        <v>45875</v>
      </c>
      <c r="P156">
        <v>28</v>
      </c>
      <c r="Q156" s="16" t="str">
        <f>IF(Table1[[#This Row],[stock_quantity]]=0,"NO STOCK",
IF(Table1[[#This Row],[stock_quantity]]&lt;=10,"LOW STOCK",
"IN STOCK"))</f>
        <v>IN STOCK</v>
      </c>
      <c r="R156" s="1">
        <f t="shared" si="10"/>
        <v>1.7</v>
      </c>
      <c r="S156">
        <v>1.7</v>
      </c>
      <c r="T156" t="b">
        <v>1</v>
      </c>
      <c r="U156" s="13" t="str">
        <f t="shared" si="11"/>
        <v>Quality Issue</v>
      </c>
      <c r="V156" t="s">
        <v>83</v>
      </c>
    </row>
    <row r="157" spans="1:22" hidden="1" x14ac:dyDescent="0.3">
      <c r="A157" t="s">
        <v>210</v>
      </c>
      <c r="B157" t="s">
        <v>21</v>
      </c>
      <c r="C157" t="s">
        <v>32</v>
      </c>
      <c r="D157" t="s">
        <v>17</v>
      </c>
      <c r="E157" t="str">
        <f t="shared" si="8"/>
        <v>XS</v>
      </c>
      <c r="F157" t="s">
        <v>18</v>
      </c>
      <c r="G157" t="s">
        <v>44</v>
      </c>
      <c r="H157" s="8">
        <v>28.78</v>
      </c>
      <c r="I157" s="3">
        <f t="shared" si="9"/>
        <v>0</v>
      </c>
      <c r="J157" s="4">
        <v>0</v>
      </c>
      <c r="K157" s="11">
        <f>Table1[[#This Row],[original_price]]* (Table1[[#This Row],[Markdown percentage updated]])</f>
        <v>0</v>
      </c>
      <c r="L1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7" s="6">
        <v>28.78</v>
      </c>
      <c r="N1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7" s="7">
        <v>45568</v>
      </c>
      <c r="P157">
        <v>21</v>
      </c>
      <c r="Q157" s="16" t="str">
        <f>IF(Table1[[#This Row],[stock_quantity]]=0,"NO STOCK",
IF(Table1[[#This Row],[stock_quantity]]&lt;=10,"LOW STOCK",
"IN STOCK"))</f>
        <v>IN STOCK</v>
      </c>
      <c r="R157" s="1">
        <f t="shared" si="10"/>
        <v>0</v>
      </c>
      <c r="T157" t="b">
        <v>0</v>
      </c>
      <c r="U157" t="str">
        <f t="shared" si="11"/>
        <v>No Return</v>
      </c>
    </row>
    <row r="158" spans="1:22" hidden="1" x14ac:dyDescent="0.3">
      <c r="A158" t="s">
        <v>211</v>
      </c>
      <c r="B158" t="s">
        <v>15</v>
      </c>
      <c r="C158" t="s">
        <v>48</v>
      </c>
      <c r="D158" t="s">
        <v>23</v>
      </c>
      <c r="E158" t="str">
        <f t="shared" si="8"/>
        <v>XXL</v>
      </c>
      <c r="F158" t="s">
        <v>49</v>
      </c>
      <c r="G158" t="s">
        <v>28</v>
      </c>
      <c r="H158" s="8">
        <v>110.32</v>
      </c>
      <c r="I158" s="3">
        <f t="shared" si="9"/>
        <v>0.28300000000000003</v>
      </c>
      <c r="J158" s="4">
        <v>28.3</v>
      </c>
      <c r="K158" s="11">
        <f>Table1[[#This Row],[original_price]]* (Table1[[#This Row],[Markdown percentage updated]])</f>
        <v>31.220560000000003</v>
      </c>
      <c r="L1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58" s="6">
        <v>79.099999999999994</v>
      </c>
      <c r="N1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8" s="7">
        <v>45875</v>
      </c>
      <c r="P158">
        <v>49</v>
      </c>
      <c r="Q158" s="16" t="str">
        <f>IF(Table1[[#This Row],[stock_quantity]]=0,"NO STOCK",
IF(Table1[[#This Row],[stock_quantity]]&lt;=10,"LOW STOCK",
"IN STOCK"))</f>
        <v>IN STOCK</v>
      </c>
      <c r="R158" s="1">
        <f t="shared" si="10"/>
        <v>3.3</v>
      </c>
      <c r="S158">
        <v>3.3</v>
      </c>
      <c r="T158" t="b">
        <v>0</v>
      </c>
      <c r="U158" t="str">
        <f t="shared" si="11"/>
        <v>No Return</v>
      </c>
    </row>
    <row r="159" spans="1:22" x14ac:dyDescent="0.3">
      <c r="A159" t="s">
        <v>212</v>
      </c>
      <c r="B159" t="s">
        <v>30</v>
      </c>
      <c r="C159" t="s">
        <v>43</v>
      </c>
      <c r="D159" t="s">
        <v>62</v>
      </c>
      <c r="E159" t="str">
        <f t="shared" si="8"/>
        <v>M</v>
      </c>
      <c r="F159" t="s">
        <v>49</v>
      </c>
      <c r="G159" t="s">
        <v>28</v>
      </c>
      <c r="H159" s="8">
        <v>194.24</v>
      </c>
      <c r="I159" s="3">
        <f t="shared" si="9"/>
        <v>0</v>
      </c>
      <c r="J159" s="4">
        <v>0</v>
      </c>
      <c r="K159" s="11">
        <f>Table1[[#This Row],[original_price]]* (Table1[[#This Row],[Markdown percentage updated]])</f>
        <v>0</v>
      </c>
      <c r="L1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9" s="6">
        <v>194.24</v>
      </c>
      <c r="N1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9" s="7">
        <v>45875</v>
      </c>
      <c r="P159">
        <v>17</v>
      </c>
      <c r="Q159" s="16" t="str">
        <f>IF(Table1[[#This Row],[stock_quantity]]=0,"NO STOCK",
IF(Table1[[#This Row],[stock_quantity]]&lt;=10,"LOW STOCK",
"IN STOCK"))</f>
        <v>IN STOCK</v>
      </c>
      <c r="R159" s="1">
        <f t="shared" si="10"/>
        <v>1.2</v>
      </c>
      <c r="S159">
        <v>1.2</v>
      </c>
      <c r="T159" t="b">
        <v>1</v>
      </c>
      <c r="U159" s="13" t="str">
        <f t="shared" si="11"/>
        <v>Changed Mind</v>
      </c>
      <c r="V159" t="s">
        <v>115</v>
      </c>
    </row>
    <row r="160" spans="1:22" hidden="1" x14ac:dyDescent="0.3">
      <c r="A160" t="s">
        <v>213</v>
      </c>
      <c r="B160" t="s">
        <v>30</v>
      </c>
      <c r="C160" t="s">
        <v>61</v>
      </c>
      <c r="D160" t="s">
        <v>34</v>
      </c>
      <c r="E160" t="str">
        <f t="shared" si="8"/>
        <v>OS</v>
      </c>
      <c r="F160" t="s">
        <v>55</v>
      </c>
      <c r="G160" t="s">
        <v>56</v>
      </c>
      <c r="H160" s="8">
        <v>175.91</v>
      </c>
      <c r="I160" s="3">
        <f t="shared" si="9"/>
        <v>0</v>
      </c>
      <c r="J160" s="4">
        <v>0</v>
      </c>
      <c r="K160" s="11">
        <f>Table1[[#This Row],[original_price]]* (Table1[[#This Row],[Markdown percentage updated]])</f>
        <v>0</v>
      </c>
      <c r="L1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0" s="6">
        <v>175.91</v>
      </c>
      <c r="N1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0" s="7">
        <v>45875</v>
      </c>
      <c r="P160">
        <v>4</v>
      </c>
      <c r="Q160" s="17" t="str">
        <f>IF(Table1[[#This Row],[stock_quantity]]=0,"NO STOCK",
IF(Table1[[#This Row],[stock_quantity]]&lt;=10,"LOW STOCK",
"IN STOCK"))</f>
        <v>LOW STOCK</v>
      </c>
      <c r="R160" s="1">
        <f t="shared" si="10"/>
        <v>2.8</v>
      </c>
      <c r="S160">
        <v>2.8</v>
      </c>
      <c r="T160" t="b">
        <v>0</v>
      </c>
      <c r="U160" t="str">
        <f t="shared" si="11"/>
        <v>No Return</v>
      </c>
    </row>
    <row r="161" spans="1:22" hidden="1" x14ac:dyDescent="0.3">
      <c r="A161" t="s">
        <v>214</v>
      </c>
      <c r="B161" t="s">
        <v>38</v>
      </c>
      <c r="C161" t="s">
        <v>43</v>
      </c>
      <c r="D161" t="s">
        <v>23</v>
      </c>
      <c r="E161" t="str">
        <f t="shared" si="8"/>
        <v>XXL</v>
      </c>
      <c r="F161" t="s">
        <v>49</v>
      </c>
      <c r="G161" t="s">
        <v>40</v>
      </c>
      <c r="H161" s="8">
        <v>79.34</v>
      </c>
      <c r="I161" s="3">
        <f t="shared" si="9"/>
        <v>0</v>
      </c>
      <c r="J161" s="4">
        <v>0</v>
      </c>
      <c r="K161" s="11">
        <f>Table1[[#This Row],[original_price]]* (Table1[[#This Row],[Markdown percentage updated]])</f>
        <v>0</v>
      </c>
      <c r="L1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1" s="6">
        <v>79.34</v>
      </c>
      <c r="N1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1" s="7">
        <v>45875</v>
      </c>
      <c r="P161">
        <v>30</v>
      </c>
      <c r="Q161" s="16" t="str">
        <f>IF(Table1[[#This Row],[stock_quantity]]=0,"NO STOCK",
IF(Table1[[#This Row],[stock_quantity]]&lt;=10,"LOW STOCK",
"IN STOCK"))</f>
        <v>IN STOCK</v>
      </c>
      <c r="R161" s="1">
        <f t="shared" si="10"/>
        <v>4.4000000000000004</v>
      </c>
      <c r="S161">
        <v>4.4000000000000004</v>
      </c>
      <c r="T161" t="b">
        <v>0</v>
      </c>
      <c r="U161" t="str">
        <f t="shared" si="11"/>
        <v>No Return</v>
      </c>
    </row>
    <row r="162" spans="1:22" hidden="1" x14ac:dyDescent="0.3">
      <c r="A162" t="s">
        <v>215</v>
      </c>
      <c r="B162" t="s">
        <v>38</v>
      </c>
      <c r="C162" t="s">
        <v>48</v>
      </c>
      <c r="D162" t="s">
        <v>62</v>
      </c>
      <c r="E162" t="str">
        <f t="shared" si="8"/>
        <v>OS</v>
      </c>
      <c r="F162" t="s">
        <v>58</v>
      </c>
      <c r="G162" t="s">
        <v>46</v>
      </c>
      <c r="H162" s="8">
        <v>111.88</v>
      </c>
      <c r="I162" s="3">
        <f t="shared" si="9"/>
        <v>0</v>
      </c>
      <c r="J162" s="4">
        <v>0</v>
      </c>
      <c r="K162" s="11">
        <f>Table1[[#This Row],[original_price]]* (Table1[[#This Row],[Markdown percentage updated]])</f>
        <v>0</v>
      </c>
      <c r="L1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2" s="6">
        <v>111.88</v>
      </c>
      <c r="N1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2" s="7">
        <v>45875</v>
      </c>
      <c r="P162">
        <v>41</v>
      </c>
      <c r="Q162" s="16" t="str">
        <f>IF(Table1[[#This Row],[stock_quantity]]=0,"NO STOCK",
IF(Table1[[#This Row],[stock_quantity]]&lt;=10,"LOW STOCK",
"IN STOCK"))</f>
        <v>IN STOCK</v>
      </c>
      <c r="R162" s="1">
        <f t="shared" si="10"/>
        <v>4.5</v>
      </c>
      <c r="S162">
        <v>4.5</v>
      </c>
      <c r="T162" t="b">
        <v>0</v>
      </c>
      <c r="U162" t="str">
        <f t="shared" si="11"/>
        <v>No Return</v>
      </c>
    </row>
    <row r="163" spans="1:22" hidden="1" x14ac:dyDescent="0.3">
      <c r="A163" t="s">
        <v>216</v>
      </c>
      <c r="B163" t="s">
        <v>27</v>
      </c>
      <c r="C163" t="s">
        <v>61</v>
      </c>
      <c r="D163" t="s">
        <v>17</v>
      </c>
      <c r="E163" t="str">
        <f t="shared" si="8"/>
        <v>M</v>
      </c>
      <c r="G163" t="s">
        <v>64</v>
      </c>
      <c r="H163" s="8">
        <v>42.84</v>
      </c>
      <c r="I163" s="3">
        <f t="shared" si="9"/>
        <v>0.40600000000000003</v>
      </c>
      <c r="J163" s="4">
        <v>40.6</v>
      </c>
      <c r="K163" s="11">
        <f>Table1[[#This Row],[original_price]]* (Table1[[#This Row],[Markdown percentage updated]])</f>
        <v>17.393040000000003</v>
      </c>
      <c r="L1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3" s="6">
        <v>25.45</v>
      </c>
      <c r="N1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3" s="7">
        <v>45547</v>
      </c>
      <c r="P163">
        <v>18</v>
      </c>
      <c r="Q163" s="16" t="str">
        <f>IF(Table1[[#This Row],[stock_quantity]]=0,"NO STOCK",
IF(Table1[[#This Row],[stock_quantity]]&lt;=10,"LOW STOCK",
"IN STOCK"))</f>
        <v>IN STOCK</v>
      </c>
      <c r="R163" s="1">
        <f t="shared" si="10"/>
        <v>2.6</v>
      </c>
      <c r="S163">
        <v>2.6</v>
      </c>
      <c r="T163" t="b">
        <v>0</v>
      </c>
      <c r="U163" t="str">
        <f t="shared" si="11"/>
        <v>No Return</v>
      </c>
    </row>
    <row r="164" spans="1:22" hidden="1" x14ac:dyDescent="0.3">
      <c r="A164" t="s">
        <v>217</v>
      </c>
      <c r="B164" t="s">
        <v>38</v>
      </c>
      <c r="C164" t="s">
        <v>61</v>
      </c>
      <c r="D164" t="s">
        <v>17</v>
      </c>
      <c r="E164" t="str">
        <f t="shared" si="8"/>
        <v>XL</v>
      </c>
      <c r="F164" t="s">
        <v>49</v>
      </c>
      <c r="G164" t="s">
        <v>64</v>
      </c>
      <c r="H164" s="8">
        <v>26.28</v>
      </c>
      <c r="I164" s="3">
        <f t="shared" si="9"/>
        <v>1.1000000000000001E-2</v>
      </c>
      <c r="J164" s="4">
        <v>1.1000000000000001</v>
      </c>
      <c r="K164" s="11">
        <f>Table1[[#This Row],[original_price]]* (Table1[[#This Row],[Markdown percentage updated]])</f>
        <v>0.28908000000000006</v>
      </c>
      <c r="L1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4" s="6">
        <v>25.99</v>
      </c>
      <c r="N1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4" s="7">
        <v>45828</v>
      </c>
      <c r="P164">
        <v>35</v>
      </c>
      <c r="Q164" s="16" t="str">
        <f>IF(Table1[[#This Row],[stock_quantity]]=0,"NO STOCK",
IF(Table1[[#This Row],[stock_quantity]]&lt;=10,"LOW STOCK",
"IN STOCK"))</f>
        <v>IN STOCK</v>
      </c>
      <c r="R164" s="1">
        <f t="shared" si="10"/>
        <v>5</v>
      </c>
      <c r="S164">
        <v>5</v>
      </c>
      <c r="T164" t="b">
        <v>0</v>
      </c>
      <c r="U164" t="str">
        <f t="shared" si="11"/>
        <v>No Return</v>
      </c>
    </row>
    <row r="165" spans="1:22" hidden="1" x14ac:dyDescent="0.3">
      <c r="A165" t="s">
        <v>218</v>
      </c>
      <c r="B165" t="s">
        <v>27</v>
      </c>
      <c r="C165" t="s">
        <v>48</v>
      </c>
      <c r="D165" t="s">
        <v>17</v>
      </c>
      <c r="E165" t="str">
        <f t="shared" si="8"/>
        <v>OS</v>
      </c>
      <c r="G165" t="s">
        <v>46</v>
      </c>
      <c r="H165" s="8">
        <v>23.11</v>
      </c>
      <c r="I165" s="3">
        <f t="shared" si="9"/>
        <v>0</v>
      </c>
      <c r="J165" s="4">
        <v>0</v>
      </c>
      <c r="K165" s="11">
        <f>Table1[[#This Row],[original_price]]* (Table1[[#This Row],[Markdown percentage updated]])</f>
        <v>0</v>
      </c>
      <c r="L1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5" s="6">
        <v>23.11</v>
      </c>
      <c r="N1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5" s="7">
        <v>45552</v>
      </c>
      <c r="P165">
        <v>2</v>
      </c>
      <c r="Q165" s="17" t="str">
        <f>IF(Table1[[#This Row],[stock_quantity]]=0,"NO STOCK",
IF(Table1[[#This Row],[stock_quantity]]&lt;=10,"LOW STOCK",
"IN STOCK"))</f>
        <v>LOW STOCK</v>
      </c>
      <c r="R165" s="1">
        <f t="shared" si="10"/>
        <v>1.4</v>
      </c>
      <c r="S165">
        <v>1.4</v>
      </c>
      <c r="T165" t="b">
        <v>0</v>
      </c>
      <c r="U165" t="str">
        <f t="shared" si="11"/>
        <v>No Return</v>
      </c>
    </row>
    <row r="166" spans="1:22" hidden="1" x14ac:dyDescent="0.3">
      <c r="A166" t="s">
        <v>219</v>
      </c>
      <c r="B166" t="s">
        <v>30</v>
      </c>
      <c r="C166" t="s">
        <v>16</v>
      </c>
      <c r="D166" t="s">
        <v>23</v>
      </c>
      <c r="E166" t="str">
        <f t="shared" si="8"/>
        <v>OS</v>
      </c>
      <c r="F166" t="s">
        <v>58</v>
      </c>
      <c r="G166" t="s">
        <v>35</v>
      </c>
      <c r="H166" s="8">
        <v>168.36</v>
      </c>
      <c r="I166" s="3">
        <f t="shared" si="9"/>
        <v>0</v>
      </c>
      <c r="J166" s="4">
        <v>0</v>
      </c>
      <c r="K166" s="11">
        <f>Table1[[#This Row],[original_price]]* (Table1[[#This Row],[Markdown percentage updated]])</f>
        <v>0</v>
      </c>
      <c r="L1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6" s="6">
        <v>168.36</v>
      </c>
      <c r="N1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6" s="7">
        <v>45875</v>
      </c>
      <c r="P166">
        <v>47</v>
      </c>
      <c r="Q166" s="16" t="str">
        <f>IF(Table1[[#This Row],[stock_quantity]]=0,"NO STOCK",
IF(Table1[[#This Row],[stock_quantity]]&lt;=10,"LOW STOCK",
"IN STOCK"))</f>
        <v>IN STOCK</v>
      </c>
      <c r="R166" s="1">
        <f t="shared" si="10"/>
        <v>0</v>
      </c>
      <c r="T166" t="b">
        <v>1</v>
      </c>
      <c r="U166" s="13" t="str">
        <f t="shared" si="11"/>
        <v>Damaged</v>
      </c>
      <c r="V166" t="s">
        <v>78</v>
      </c>
    </row>
    <row r="167" spans="1:22" hidden="1" x14ac:dyDescent="0.3">
      <c r="A167" t="s">
        <v>220</v>
      </c>
      <c r="B167" t="s">
        <v>30</v>
      </c>
      <c r="C167" t="s">
        <v>61</v>
      </c>
      <c r="D167" t="s">
        <v>34</v>
      </c>
      <c r="E167" t="str">
        <f t="shared" si="8"/>
        <v>XXL</v>
      </c>
      <c r="F167" t="s">
        <v>18</v>
      </c>
      <c r="G167" t="s">
        <v>46</v>
      </c>
      <c r="H167" s="8">
        <v>99.26</v>
      </c>
      <c r="I167" s="3">
        <f t="shared" si="9"/>
        <v>0</v>
      </c>
      <c r="J167" s="4">
        <v>0</v>
      </c>
      <c r="K167" s="11">
        <f>Table1[[#This Row],[original_price]]* (Table1[[#This Row],[Markdown percentage updated]])</f>
        <v>0</v>
      </c>
      <c r="L1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7" s="6">
        <v>99.26</v>
      </c>
      <c r="N1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7" s="7">
        <v>45875</v>
      </c>
      <c r="P167">
        <v>33</v>
      </c>
      <c r="Q167" s="16" t="str">
        <f>IF(Table1[[#This Row],[stock_quantity]]=0,"NO STOCK",
IF(Table1[[#This Row],[stock_quantity]]&lt;=10,"LOW STOCK",
"IN STOCK"))</f>
        <v>IN STOCK</v>
      </c>
      <c r="R167" s="1">
        <f t="shared" si="10"/>
        <v>0</v>
      </c>
      <c r="T167" t="b">
        <v>1</v>
      </c>
      <c r="U167" s="13" t="str">
        <f t="shared" si="11"/>
        <v>Quality Issue</v>
      </c>
      <c r="V167" t="s">
        <v>83</v>
      </c>
    </row>
    <row r="168" spans="1:22" hidden="1" x14ac:dyDescent="0.3">
      <c r="A168" t="s">
        <v>221</v>
      </c>
      <c r="B168" t="s">
        <v>27</v>
      </c>
      <c r="C168" t="s">
        <v>43</v>
      </c>
      <c r="D168" t="s">
        <v>17</v>
      </c>
      <c r="E168" t="str">
        <f t="shared" si="8"/>
        <v>XXL</v>
      </c>
      <c r="G168" t="s">
        <v>28</v>
      </c>
      <c r="H168" s="8">
        <v>53.66</v>
      </c>
      <c r="I168" s="3">
        <f t="shared" si="9"/>
        <v>0</v>
      </c>
      <c r="J168" s="4">
        <v>0</v>
      </c>
      <c r="K168" s="11">
        <f>Table1[[#This Row],[original_price]]* (Table1[[#This Row],[Markdown percentage updated]])</f>
        <v>0</v>
      </c>
      <c r="L1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8" s="6">
        <v>53.66</v>
      </c>
      <c r="N1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8" s="7">
        <v>45645</v>
      </c>
      <c r="P168">
        <v>40</v>
      </c>
      <c r="Q168" s="16" t="str">
        <f>IF(Table1[[#This Row],[stock_quantity]]=0,"NO STOCK",
IF(Table1[[#This Row],[stock_quantity]]&lt;=10,"LOW STOCK",
"IN STOCK"))</f>
        <v>IN STOCK</v>
      </c>
      <c r="R168" s="1">
        <f t="shared" si="10"/>
        <v>2.8</v>
      </c>
      <c r="S168">
        <v>2.8</v>
      </c>
      <c r="T168" t="b">
        <v>0</v>
      </c>
      <c r="U168" t="str">
        <f t="shared" si="11"/>
        <v>No Return</v>
      </c>
    </row>
    <row r="169" spans="1:22" hidden="1" x14ac:dyDescent="0.3">
      <c r="A169" t="s">
        <v>222</v>
      </c>
      <c r="B169" t="s">
        <v>27</v>
      </c>
      <c r="C169" t="s">
        <v>53</v>
      </c>
      <c r="D169" t="s">
        <v>62</v>
      </c>
      <c r="E169" t="str">
        <f t="shared" si="8"/>
        <v>XS</v>
      </c>
      <c r="G169" t="s">
        <v>40</v>
      </c>
      <c r="H169" s="8">
        <v>69.709999999999994</v>
      </c>
      <c r="I169" s="3">
        <f t="shared" si="9"/>
        <v>0.18</v>
      </c>
      <c r="J169" s="4">
        <v>18</v>
      </c>
      <c r="K169" s="11">
        <f>Table1[[#This Row],[original_price]]* (Table1[[#This Row],[Markdown percentage updated]])</f>
        <v>12.547799999999999</v>
      </c>
      <c r="L1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9" s="6">
        <v>57.16</v>
      </c>
      <c r="N1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9" s="7">
        <v>45875</v>
      </c>
      <c r="P169">
        <v>34</v>
      </c>
      <c r="Q169" s="16" t="str">
        <f>IF(Table1[[#This Row],[stock_quantity]]=0,"NO STOCK",
IF(Table1[[#This Row],[stock_quantity]]&lt;=10,"LOW STOCK",
"IN STOCK"))</f>
        <v>IN STOCK</v>
      </c>
      <c r="R169" s="1">
        <f t="shared" si="10"/>
        <v>4.2</v>
      </c>
      <c r="S169">
        <v>4.2</v>
      </c>
      <c r="T169" t="b">
        <v>1</v>
      </c>
      <c r="U169" s="13" t="str">
        <f t="shared" si="11"/>
        <v>Color Mismatch</v>
      </c>
      <c r="V169" t="s">
        <v>36</v>
      </c>
    </row>
    <row r="170" spans="1:22" hidden="1" x14ac:dyDescent="0.3">
      <c r="A170" t="s">
        <v>223</v>
      </c>
      <c r="B170" t="s">
        <v>42</v>
      </c>
      <c r="C170" t="s">
        <v>75</v>
      </c>
      <c r="D170" t="s">
        <v>34</v>
      </c>
      <c r="E170" t="str">
        <f t="shared" si="8"/>
        <v>XS</v>
      </c>
      <c r="F170" t="s">
        <v>49</v>
      </c>
      <c r="G170" t="s">
        <v>40</v>
      </c>
      <c r="H170" s="8">
        <v>60.3</v>
      </c>
      <c r="I170" s="3">
        <f t="shared" si="9"/>
        <v>0.214</v>
      </c>
      <c r="J170" s="4">
        <v>21.4</v>
      </c>
      <c r="K170" s="11">
        <f>Table1[[#This Row],[original_price]]* (Table1[[#This Row],[Markdown percentage updated]])</f>
        <v>12.904199999999999</v>
      </c>
      <c r="L1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70" s="6">
        <v>47.4</v>
      </c>
      <c r="N1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0" s="7">
        <v>45875</v>
      </c>
      <c r="P170">
        <v>4</v>
      </c>
      <c r="Q170" s="17" t="str">
        <f>IF(Table1[[#This Row],[stock_quantity]]=0,"NO STOCK",
IF(Table1[[#This Row],[stock_quantity]]&lt;=10,"LOW STOCK",
"IN STOCK"))</f>
        <v>LOW STOCK</v>
      </c>
      <c r="R170" s="1">
        <f t="shared" si="10"/>
        <v>3.6</v>
      </c>
      <c r="S170">
        <v>3.6</v>
      </c>
      <c r="T170" t="b">
        <v>0</v>
      </c>
      <c r="U170" t="str">
        <f t="shared" si="11"/>
        <v>No Return</v>
      </c>
    </row>
    <row r="171" spans="1:22" hidden="1" x14ac:dyDescent="0.3">
      <c r="A171" t="s">
        <v>224</v>
      </c>
      <c r="B171" t="s">
        <v>30</v>
      </c>
      <c r="C171" t="s">
        <v>32</v>
      </c>
      <c r="D171" t="s">
        <v>23</v>
      </c>
      <c r="E171" t="str">
        <f t="shared" si="8"/>
        <v>OS</v>
      </c>
      <c r="F171" t="s">
        <v>49</v>
      </c>
      <c r="G171" t="s">
        <v>19</v>
      </c>
      <c r="H171" s="8">
        <v>113.58</v>
      </c>
      <c r="I171" s="3">
        <f t="shared" si="9"/>
        <v>0</v>
      </c>
      <c r="J171" s="4">
        <v>0</v>
      </c>
      <c r="K171" s="11">
        <f>Table1[[#This Row],[original_price]]* (Table1[[#This Row],[Markdown percentage updated]])</f>
        <v>0</v>
      </c>
      <c r="L1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1" s="6">
        <v>113.58</v>
      </c>
      <c r="N1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1" s="7">
        <v>45875</v>
      </c>
      <c r="P171">
        <v>33</v>
      </c>
      <c r="Q171" s="16" t="str">
        <f>IF(Table1[[#This Row],[stock_quantity]]=0,"NO STOCK",
IF(Table1[[#This Row],[stock_quantity]]&lt;=10,"LOW STOCK",
"IN STOCK"))</f>
        <v>IN STOCK</v>
      </c>
      <c r="R171" s="1">
        <f t="shared" si="10"/>
        <v>4.9000000000000004</v>
      </c>
      <c r="S171">
        <v>4.9000000000000004</v>
      </c>
      <c r="T171" t="b">
        <v>1</v>
      </c>
      <c r="U171" s="13" t="str">
        <f t="shared" si="11"/>
        <v>Wrong Item</v>
      </c>
      <c r="V171" t="s">
        <v>125</v>
      </c>
    </row>
    <row r="172" spans="1:22" hidden="1" x14ac:dyDescent="0.3">
      <c r="A172" t="s">
        <v>225</v>
      </c>
      <c r="B172" t="s">
        <v>38</v>
      </c>
      <c r="C172" t="s">
        <v>53</v>
      </c>
      <c r="D172" t="s">
        <v>34</v>
      </c>
      <c r="E172" t="str">
        <f t="shared" si="8"/>
        <v>XL</v>
      </c>
      <c r="F172" t="s">
        <v>55</v>
      </c>
      <c r="G172" t="s">
        <v>70</v>
      </c>
      <c r="H172" s="8">
        <v>54.86</v>
      </c>
      <c r="I172" s="3">
        <f t="shared" si="9"/>
        <v>1.7000000000000001E-2</v>
      </c>
      <c r="J172" s="4">
        <v>1.7</v>
      </c>
      <c r="K172" s="11">
        <f>Table1[[#This Row],[original_price]]* (Table1[[#This Row],[Markdown percentage updated]])</f>
        <v>0.93262</v>
      </c>
      <c r="L1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2" s="6">
        <v>53.93</v>
      </c>
      <c r="N1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72" s="7">
        <v>45875</v>
      </c>
      <c r="P172">
        <v>40</v>
      </c>
      <c r="Q172" s="16" t="str">
        <f>IF(Table1[[#This Row],[stock_quantity]]=0,"NO STOCK",
IF(Table1[[#This Row],[stock_quantity]]&lt;=10,"LOW STOCK",
"IN STOCK"))</f>
        <v>IN STOCK</v>
      </c>
      <c r="R172" s="1">
        <f t="shared" si="10"/>
        <v>2.5</v>
      </c>
      <c r="S172">
        <v>2.5</v>
      </c>
      <c r="T172" t="b">
        <v>0</v>
      </c>
      <c r="U172" t="str">
        <f t="shared" si="11"/>
        <v>No Return</v>
      </c>
    </row>
    <row r="173" spans="1:22" hidden="1" x14ac:dyDescent="0.3">
      <c r="A173" t="s">
        <v>226</v>
      </c>
      <c r="B173" t="s">
        <v>21</v>
      </c>
      <c r="C173" t="s">
        <v>16</v>
      </c>
      <c r="D173" t="s">
        <v>23</v>
      </c>
      <c r="E173" t="str">
        <f t="shared" si="8"/>
        <v>M</v>
      </c>
      <c r="F173" t="s">
        <v>55</v>
      </c>
      <c r="G173" t="s">
        <v>19</v>
      </c>
      <c r="H173" s="8">
        <v>92.25</v>
      </c>
      <c r="I173" s="3">
        <f t="shared" si="9"/>
        <v>0</v>
      </c>
      <c r="J173" s="4">
        <v>0</v>
      </c>
      <c r="K173" s="11">
        <f>Table1[[#This Row],[original_price]]* (Table1[[#This Row],[Markdown percentage updated]])</f>
        <v>0</v>
      </c>
      <c r="L1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3" s="6">
        <v>92.25</v>
      </c>
      <c r="N1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3" s="7">
        <v>45875</v>
      </c>
      <c r="P173">
        <v>13</v>
      </c>
      <c r="Q173" s="16" t="str">
        <f>IF(Table1[[#This Row],[stock_quantity]]=0,"NO STOCK",
IF(Table1[[#This Row],[stock_quantity]]&lt;=10,"LOW STOCK",
"IN STOCK"))</f>
        <v>IN STOCK</v>
      </c>
      <c r="R173" s="1">
        <f t="shared" si="10"/>
        <v>2.8</v>
      </c>
      <c r="S173">
        <v>2.8</v>
      </c>
      <c r="T173" t="b">
        <v>1</v>
      </c>
      <c r="U173" s="13" t="str">
        <f t="shared" si="11"/>
        <v>Damaged</v>
      </c>
      <c r="V173" t="s">
        <v>78</v>
      </c>
    </row>
    <row r="174" spans="1:22" hidden="1" x14ac:dyDescent="0.3">
      <c r="A174" t="s">
        <v>227</v>
      </c>
      <c r="B174" t="s">
        <v>27</v>
      </c>
      <c r="C174" t="s">
        <v>53</v>
      </c>
      <c r="D174" t="s">
        <v>23</v>
      </c>
      <c r="E174" t="str">
        <f t="shared" si="8"/>
        <v>XXL</v>
      </c>
      <c r="G174" t="s">
        <v>35</v>
      </c>
      <c r="H174" s="8">
        <v>54.07</v>
      </c>
      <c r="I174" s="3">
        <f t="shared" si="9"/>
        <v>0</v>
      </c>
      <c r="J174" s="4">
        <v>0</v>
      </c>
      <c r="K174" s="11">
        <f>Table1[[#This Row],[original_price]]* (Table1[[#This Row],[Markdown percentage updated]])</f>
        <v>0</v>
      </c>
      <c r="L1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4" s="6">
        <v>54.07</v>
      </c>
      <c r="N1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4" s="7">
        <v>45875</v>
      </c>
      <c r="P174">
        <v>47</v>
      </c>
      <c r="Q174" s="16" t="str">
        <f>IF(Table1[[#This Row],[stock_quantity]]=0,"NO STOCK",
IF(Table1[[#This Row],[stock_quantity]]&lt;=10,"LOW STOCK",
"IN STOCK"))</f>
        <v>IN STOCK</v>
      </c>
      <c r="R174" s="1">
        <f t="shared" si="10"/>
        <v>4.5999999999999996</v>
      </c>
      <c r="S174">
        <v>4.5999999999999996</v>
      </c>
      <c r="T174" t="b">
        <v>0</v>
      </c>
      <c r="U174" t="str">
        <f t="shared" si="11"/>
        <v>No Return</v>
      </c>
    </row>
    <row r="175" spans="1:22" hidden="1" x14ac:dyDescent="0.3">
      <c r="A175" t="s">
        <v>228</v>
      </c>
      <c r="B175" t="s">
        <v>30</v>
      </c>
      <c r="C175" t="s">
        <v>32</v>
      </c>
      <c r="D175" t="s">
        <v>23</v>
      </c>
      <c r="E175" t="str">
        <f t="shared" si="8"/>
        <v>M</v>
      </c>
      <c r="F175" t="s">
        <v>18</v>
      </c>
      <c r="G175" t="s">
        <v>19</v>
      </c>
      <c r="H175" s="8">
        <v>104.4</v>
      </c>
      <c r="I175" s="3">
        <f t="shared" si="9"/>
        <v>0</v>
      </c>
      <c r="J175" s="4">
        <v>0</v>
      </c>
      <c r="K175" s="11">
        <f>Table1[[#This Row],[original_price]]* (Table1[[#This Row],[Markdown percentage updated]])</f>
        <v>0</v>
      </c>
      <c r="L1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5" s="6">
        <v>104.4</v>
      </c>
      <c r="N1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5" s="7">
        <v>45875</v>
      </c>
      <c r="P175">
        <v>41</v>
      </c>
      <c r="Q175" s="16" t="str">
        <f>IF(Table1[[#This Row],[stock_quantity]]=0,"NO STOCK",
IF(Table1[[#This Row],[stock_quantity]]&lt;=10,"LOW STOCK",
"IN STOCK"))</f>
        <v>IN STOCK</v>
      </c>
      <c r="R175" s="1">
        <f t="shared" si="10"/>
        <v>3.4</v>
      </c>
      <c r="S175">
        <v>3.4</v>
      </c>
      <c r="T175" t="b">
        <v>0</v>
      </c>
      <c r="U175" t="str">
        <f t="shared" si="11"/>
        <v>No Return</v>
      </c>
    </row>
    <row r="176" spans="1:22" hidden="1" x14ac:dyDescent="0.3">
      <c r="A176" t="s">
        <v>229</v>
      </c>
      <c r="B176" t="s">
        <v>42</v>
      </c>
      <c r="C176" t="s">
        <v>53</v>
      </c>
      <c r="D176" t="s">
        <v>17</v>
      </c>
      <c r="E176" t="str">
        <f t="shared" si="8"/>
        <v>XXL</v>
      </c>
      <c r="F176" t="s">
        <v>58</v>
      </c>
      <c r="G176" t="s">
        <v>40</v>
      </c>
      <c r="H176" s="8">
        <v>45.97</v>
      </c>
      <c r="I176" s="3">
        <f t="shared" si="9"/>
        <v>0</v>
      </c>
      <c r="J176" s="4">
        <v>0</v>
      </c>
      <c r="K176" s="11">
        <f>Table1[[#This Row],[original_price]]* (Table1[[#This Row],[Markdown percentage updated]])</f>
        <v>0</v>
      </c>
      <c r="L1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6" s="6">
        <v>45.97</v>
      </c>
      <c r="N1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6" s="7">
        <v>45532</v>
      </c>
      <c r="P176">
        <v>37</v>
      </c>
      <c r="Q176" s="16" t="str">
        <f>IF(Table1[[#This Row],[stock_quantity]]=0,"NO STOCK",
IF(Table1[[#This Row],[stock_quantity]]&lt;=10,"LOW STOCK",
"IN STOCK"))</f>
        <v>IN STOCK</v>
      </c>
      <c r="R176" s="1">
        <f t="shared" si="10"/>
        <v>3.2</v>
      </c>
      <c r="S176">
        <v>3.2</v>
      </c>
      <c r="T176" t="b">
        <v>1</v>
      </c>
      <c r="U176" s="13" t="str">
        <f t="shared" si="11"/>
        <v>Quality Issue</v>
      </c>
      <c r="V176" t="s">
        <v>83</v>
      </c>
    </row>
    <row r="177" spans="1:21" hidden="1" x14ac:dyDescent="0.3">
      <c r="A177" t="s">
        <v>230</v>
      </c>
      <c r="B177" t="s">
        <v>21</v>
      </c>
      <c r="C177" t="s">
        <v>53</v>
      </c>
      <c r="D177" t="s">
        <v>62</v>
      </c>
      <c r="E177" t="str">
        <f t="shared" si="8"/>
        <v>XS</v>
      </c>
      <c r="F177" t="s">
        <v>49</v>
      </c>
      <c r="G177" t="s">
        <v>28</v>
      </c>
      <c r="H177" s="8">
        <v>28.79</v>
      </c>
      <c r="I177" s="3">
        <f t="shared" si="9"/>
        <v>0</v>
      </c>
      <c r="J177" s="4">
        <v>0</v>
      </c>
      <c r="K177" s="11">
        <f>Table1[[#This Row],[original_price]]* (Table1[[#This Row],[Markdown percentage updated]])</f>
        <v>0</v>
      </c>
      <c r="L1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7" s="6">
        <v>28.79</v>
      </c>
      <c r="N1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7" s="7">
        <v>45875</v>
      </c>
      <c r="P177">
        <v>4</v>
      </c>
      <c r="Q177" s="17" t="str">
        <f>IF(Table1[[#This Row],[stock_quantity]]=0,"NO STOCK",
IF(Table1[[#This Row],[stock_quantity]]&lt;=10,"LOW STOCK",
"IN STOCK"))</f>
        <v>LOW STOCK</v>
      </c>
      <c r="R177" s="1">
        <f t="shared" si="10"/>
        <v>4.4000000000000004</v>
      </c>
      <c r="S177">
        <v>4.4000000000000004</v>
      </c>
      <c r="T177" t="b">
        <v>0</v>
      </c>
      <c r="U177" t="str">
        <f t="shared" si="11"/>
        <v>No Return</v>
      </c>
    </row>
    <row r="178" spans="1:21" hidden="1" x14ac:dyDescent="0.3">
      <c r="A178" t="s">
        <v>231</v>
      </c>
      <c r="B178" t="s">
        <v>15</v>
      </c>
      <c r="C178" t="s">
        <v>22</v>
      </c>
      <c r="D178" t="s">
        <v>23</v>
      </c>
      <c r="E178" t="str">
        <f t="shared" si="8"/>
        <v>OS</v>
      </c>
      <c r="F178" t="s">
        <v>58</v>
      </c>
      <c r="G178" t="s">
        <v>40</v>
      </c>
      <c r="H178" s="8">
        <v>204.21</v>
      </c>
      <c r="I178" s="3">
        <f t="shared" si="9"/>
        <v>0</v>
      </c>
      <c r="J178" s="4">
        <v>0</v>
      </c>
      <c r="K178" s="11">
        <f>Table1[[#This Row],[original_price]]* (Table1[[#This Row],[Markdown percentage updated]])</f>
        <v>0</v>
      </c>
      <c r="L1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8" s="6">
        <v>204.21</v>
      </c>
      <c r="N1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8" s="7">
        <v>45875</v>
      </c>
      <c r="P178">
        <v>5</v>
      </c>
      <c r="Q178" s="17" t="str">
        <f>IF(Table1[[#This Row],[stock_quantity]]=0,"NO STOCK",
IF(Table1[[#This Row],[stock_quantity]]&lt;=10,"LOW STOCK",
"IN STOCK"))</f>
        <v>LOW STOCK</v>
      </c>
      <c r="R178" s="1">
        <f t="shared" si="10"/>
        <v>3.3</v>
      </c>
      <c r="S178">
        <v>3.3</v>
      </c>
      <c r="T178" t="b">
        <v>0</v>
      </c>
      <c r="U178" t="str">
        <f t="shared" si="11"/>
        <v>No Return</v>
      </c>
    </row>
    <row r="179" spans="1:21" hidden="1" x14ac:dyDescent="0.3">
      <c r="A179" t="s">
        <v>232</v>
      </c>
      <c r="B179" t="s">
        <v>30</v>
      </c>
      <c r="C179" t="s">
        <v>43</v>
      </c>
      <c r="D179" t="s">
        <v>34</v>
      </c>
      <c r="E179" t="str">
        <f t="shared" si="8"/>
        <v>XS</v>
      </c>
      <c r="F179" t="s">
        <v>49</v>
      </c>
      <c r="G179" t="s">
        <v>25</v>
      </c>
      <c r="H179" s="8">
        <v>190.75</v>
      </c>
      <c r="I179" s="3">
        <f t="shared" si="9"/>
        <v>0.2</v>
      </c>
      <c r="J179" s="4">
        <v>20</v>
      </c>
      <c r="K179" s="11">
        <f>Table1[[#This Row],[original_price]]* (Table1[[#This Row],[Markdown percentage updated]])</f>
        <v>38.15</v>
      </c>
      <c r="L1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9" s="6">
        <v>152.6</v>
      </c>
      <c r="N1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9" s="7">
        <v>45875</v>
      </c>
      <c r="P179">
        <v>47</v>
      </c>
      <c r="Q179" s="16" t="str">
        <f>IF(Table1[[#This Row],[stock_quantity]]=0,"NO STOCK",
IF(Table1[[#This Row],[stock_quantity]]&lt;=10,"LOW STOCK",
"IN STOCK"))</f>
        <v>IN STOCK</v>
      </c>
      <c r="R179" s="1">
        <f t="shared" si="10"/>
        <v>0</v>
      </c>
      <c r="T179" t="b">
        <v>0</v>
      </c>
      <c r="U179" t="str">
        <f t="shared" si="11"/>
        <v>No Return</v>
      </c>
    </row>
    <row r="180" spans="1:21" hidden="1" x14ac:dyDescent="0.3">
      <c r="A180" t="s">
        <v>233</v>
      </c>
      <c r="B180" t="s">
        <v>21</v>
      </c>
      <c r="C180" t="s">
        <v>75</v>
      </c>
      <c r="D180" t="s">
        <v>23</v>
      </c>
      <c r="E180" t="str">
        <f t="shared" si="8"/>
        <v>M</v>
      </c>
      <c r="F180" t="s">
        <v>55</v>
      </c>
      <c r="G180" t="s">
        <v>70</v>
      </c>
      <c r="H180" s="8">
        <v>33.01</v>
      </c>
      <c r="I180" s="3">
        <f t="shared" si="9"/>
        <v>0.39200000000000002</v>
      </c>
      <c r="J180" s="4">
        <v>39.200000000000003</v>
      </c>
      <c r="K180" s="11">
        <f>Table1[[#This Row],[original_price]]* (Table1[[#This Row],[Markdown percentage updated]])</f>
        <v>12.939919999999999</v>
      </c>
      <c r="L1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0" s="6">
        <v>20.07</v>
      </c>
      <c r="N1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80" s="7">
        <v>45875</v>
      </c>
      <c r="P180">
        <v>16</v>
      </c>
      <c r="Q180" s="16" t="str">
        <f>IF(Table1[[#This Row],[stock_quantity]]=0,"NO STOCK",
IF(Table1[[#This Row],[stock_quantity]]&lt;=10,"LOW STOCK",
"IN STOCK"))</f>
        <v>IN STOCK</v>
      </c>
      <c r="R180" s="1">
        <f t="shared" si="10"/>
        <v>3.7</v>
      </c>
      <c r="S180">
        <v>3.7</v>
      </c>
      <c r="T180" t="b">
        <v>0</v>
      </c>
      <c r="U180" t="str">
        <f t="shared" si="11"/>
        <v>No Return</v>
      </c>
    </row>
    <row r="181" spans="1:21" hidden="1" x14ac:dyDescent="0.3">
      <c r="A181" t="s">
        <v>234</v>
      </c>
      <c r="B181" t="s">
        <v>27</v>
      </c>
      <c r="C181" t="s">
        <v>32</v>
      </c>
      <c r="D181" t="s">
        <v>17</v>
      </c>
      <c r="E181" t="str">
        <f t="shared" si="8"/>
        <v>XL</v>
      </c>
      <c r="G181" t="s">
        <v>44</v>
      </c>
      <c r="H181" s="8">
        <v>47.61</v>
      </c>
      <c r="I181" s="3">
        <f t="shared" si="9"/>
        <v>0.39799999999999996</v>
      </c>
      <c r="J181" s="4">
        <v>39.799999999999997</v>
      </c>
      <c r="K181" s="11">
        <f>Table1[[#This Row],[original_price]]* (Table1[[#This Row],[Markdown percentage updated]])</f>
        <v>18.948779999999999</v>
      </c>
      <c r="L1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1" s="6">
        <v>28.66</v>
      </c>
      <c r="N1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81" s="7">
        <v>45629</v>
      </c>
      <c r="P181">
        <v>18</v>
      </c>
      <c r="Q181" s="16" t="str">
        <f>IF(Table1[[#This Row],[stock_quantity]]=0,"NO STOCK",
IF(Table1[[#This Row],[stock_quantity]]&lt;=10,"LOW STOCK",
"IN STOCK"))</f>
        <v>IN STOCK</v>
      </c>
      <c r="R181" s="1">
        <f t="shared" si="10"/>
        <v>1.3</v>
      </c>
      <c r="S181">
        <v>1.3</v>
      </c>
      <c r="T181" t="b">
        <v>0</v>
      </c>
      <c r="U181" t="str">
        <f t="shared" si="11"/>
        <v>No Return</v>
      </c>
    </row>
    <row r="182" spans="1:21" hidden="1" x14ac:dyDescent="0.3">
      <c r="A182" t="s">
        <v>235</v>
      </c>
      <c r="B182" t="s">
        <v>15</v>
      </c>
      <c r="C182" t="s">
        <v>48</v>
      </c>
      <c r="D182" t="s">
        <v>17</v>
      </c>
      <c r="E182" t="str">
        <f t="shared" si="8"/>
        <v>XXL</v>
      </c>
      <c r="F182" t="s">
        <v>55</v>
      </c>
      <c r="G182" t="s">
        <v>19</v>
      </c>
      <c r="H182" s="8">
        <v>137.16</v>
      </c>
      <c r="I182" s="3">
        <f t="shared" si="9"/>
        <v>0</v>
      </c>
      <c r="J182" s="4">
        <v>0</v>
      </c>
      <c r="K182" s="11">
        <f>Table1[[#This Row],[original_price]]* (Table1[[#This Row],[Markdown percentage updated]])</f>
        <v>0</v>
      </c>
      <c r="L1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2" s="6">
        <v>137.16</v>
      </c>
      <c r="N1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2" s="7">
        <v>45561</v>
      </c>
      <c r="P182">
        <v>34</v>
      </c>
      <c r="Q182" s="16" t="str">
        <f>IF(Table1[[#This Row],[stock_quantity]]=0,"NO STOCK",
IF(Table1[[#This Row],[stock_quantity]]&lt;=10,"LOW STOCK",
"IN STOCK"))</f>
        <v>IN STOCK</v>
      </c>
      <c r="R182" s="1">
        <f t="shared" si="10"/>
        <v>3.2</v>
      </c>
      <c r="S182">
        <v>3.2</v>
      </c>
      <c r="T182" t="b">
        <v>0</v>
      </c>
      <c r="U182" t="str">
        <f t="shared" si="11"/>
        <v>No Return</v>
      </c>
    </row>
    <row r="183" spans="1:21" hidden="1" x14ac:dyDescent="0.3">
      <c r="A183" t="s">
        <v>236</v>
      </c>
      <c r="B183" t="s">
        <v>21</v>
      </c>
      <c r="C183" t="s">
        <v>61</v>
      </c>
      <c r="D183" t="s">
        <v>34</v>
      </c>
      <c r="E183" t="str">
        <f t="shared" si="8"/>
        <v>L</v>
      </c>
      <c r="F183" t="s">
        <v>58</v>
      </c>
      <c r="G183" t="s">
        <v>64</v>
      </c>
      <c r="H183" s="8">
        <v>108.49</v>
      </c>
      <c r="I183" s="3">
        <f t="shared" si="9"/>
        <v>0</v>
      </c>
      <c r="J183" s="4">
        <v>0</v>
      </c>
      <c r="K183" s="11">
        <f>Table1[[#This Row],[original_price]]* (Table1[[#This Row],[Markdown percentage updated]])</f>
        <v>0</v>
      </c>
      <c r="L1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3" s="6">
        <v>108.49</v>
      </c>
      <c r="N1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3" s="7">
        <v>45875</v>
      </c>
      <c r="P183">
        <v>7</v>
      </c>
      <c r="Q183" s="17" t="str">
        <f>IF(Table1[[#This Row],[stock_quantity]]=0,"NO STOCK",
IF(Table1[[#This Row],[stock_quantity]]&lt;=10,"LOW STOCK",
"IN STOCK"))</f>
        <v>LOW STOCK</v>
      </c>
      <c r="R183" s="1">
        <f t="shared" si="10"/>
        <v>3.3</v>
      </c>
      <c r="S183">
        <v>3.3</v>
      </c>
      <c r="T183" t="b">
        <v>0</v>
      </c>
      <c r="U183" t="str">
        <f t="shared" si="11"/>
        <v>No Return</v>
      </c>
    </row>
    <row r="184" spans="1:21" hidden="1" x14ac:dyDescent="0.3">
      <c r="A184" t="s">
        <v>237</v>
      </c>
      <c r="B184" t="s">
        <v>21</v>
      </c>
      <c r="C184" t="s">
        <v>32</v>
      </c>
      <c r="D184" t="s">
        <v>23</v>
      </c>
      <c r="E184" t="str">
        <f t="shared" si="8"/>
        <v>XXL</v>
      </c>
      <c r="F184" t="s">
        <v>18</v>
      </c>
      <c r="G184" t="s">
        <v>46</v>
      </c>
      <c r="H184" s="8">
        <v>106.49</v>
      </c>
      <c r="I184" s="3">
        <f t="shared" si="9"/>
        <v>0</v>
      </c>
      <c r="J184" s="4">
        <v>0</v>
      </c>
      <c r="K184" s="11">
        <f>Table1[[#This Row],[original_price]]* (Table1[[#This Row],[Markdown percentage updated]])</f>
        <v>0</v>
      </c>
      <c r="L1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4" s="6">
        <v>106.49</v>
      </c>
      <c r="N1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4" s="7">
        <v>45875</v>
      </c>
      <c r="P184">
        <v>23</v>
      </c>
      <c r="Q184" s="16" t="str">
        <f>IF(Table1[[#This Row],[stock_quantity]]=0,"NO STOCK",
IF(Table1[[#This Row],[stock_quantity]]&lt;=10,"LOW STOCK",
"IN STOCK"))</f>
        <v>IN STOCK</v>
      </c>
      <c r="R184" s="1">
        <f t="shared" si="10"/>
        <v>4</v>
      </c>
      <c r="S184">
        <v>4</v>
      </c>
      <c r="T184" t="b">
        <v>0</v>
      </c>
      <c r="U184" t="str">
        <f t="shared" si="11"/>
        <v>No Return</v>
      </c>
    </row>
    <row r="185" spans="1:21" hidden="1" x14ac:dyDescent="0.3">
      <c r="A185" t="s">
        <v>238</v>
      </c>
      <c r="B185" t="s">
        <v>21</v>
      </c>
      <c r="C185" t="s">
        <v>43</v>
      </c>
      <c r="D185" t="s">
        <v>23</v>
      </c>
      <c r="E185" t="str">
        <f t="shared" si="8"/>
        <v>M</v>
      </c>
      <c r="F185" t="s">
        <v>49</v>
      </c>
      <c r="G185" t="s">
        <v>25</v>
      </c>
      <c r="H185" s="8">
        <v>114.86</v>
      </c>
      <c r="I185" s="3">
        <f t="shared" si="9"/>
        <v>0</v>
      </c>
      <c r="J185" s="4">
        <v>0</v>
      </c>
      <c r="K185" s="11">
        <f>Table1[[#This Row],[original_price]]* (Table1[[#This Row],[Markdown percentage updated]])</f>
        <v>0</v>
      </c>
      <c r="L1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5" s="6">
        <v>114.86</v>
      </c>
      <c r="N1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5" s="7">
        <v>45875</v>
      </c>
      <c r="P185">
        <v>48</v>
      </c>
      <c r="Q185" s="16" t="str">
        <f>IF(Table1[[#This Row],[stock_quantity]]=0,"NO STOCK",
IF(Table1[[#This Row],[stock_quantity]]&lt;=10,"LOW STOCK",
"IN STOCK"))</f>
        <v>IN STOCK</v>
      </c>
      <c r="R185" s="1">
        <f t="shared" si="10"/>
        <v>1.1000000000000001</v>
      </c>
      <c r="S185">
        <v>1.1000000000000001</v>
      </c>
      <c r="T185" t="b">
        <v>0</v>
      </c>
      <c r="U185" t="str">
        <f t="shared" si="11"/>
        <v>No Return</v>
      </c>
    </row>
    <row r="186" spans="1:21" hidden="1" x14ac:dyDescent="0.3">
      <c r="A186" t="s">
        <v>239</v>
      </c>
      <c r="B186" t="s">
        <v>42</v>
      </c>
      <c r="C186" t="s">
        <v>16</v>
      </c>
      <c r="D186" t="s">
        <v>34</v>
      </c>
      <c r="E186" t="str">
        <f t="shared" si="8"/>
        <v>XXL</v>
      </c>
      <c r="F186" t="s">
        <v>24</v>
      </c>
      <c r="G186" t="s">
        <v>44</v>
      </c>
      <c r="H186" s="8">
        <v>121.68</v>
      </c>
      <c r="I186" s="3">
        <f t="shared" si="9"/>
        <v>0</v>
      </c>
      <c r="J186" s="4">
        <v>0</v>
      </c>
      <c r="K186" s="11">
        <f>Table1[[#This Row],[original_price]]* (Table1[[#This Row],[Markdown percentage updated]])</f>
        <v>0</v>
      </c>
      <c r="L1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6" s="6">
        <v>121.68</v>
      </c>
      <c r="N1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6" s="7">
        <v>45875</v>
      </c>
      <c r="P186">
        <v>9</v>
      </c>
      <c r="Q186" s="17" t="str">
        <f>IF(Table1[[#This Row],[stock_quantity]]=0,"NO STOCK",
IF(Table1[[#This Row],[stock_quantity]]&lt;=10,"LOW STOCK",
"IN STOCK"))</f>
        <v>LOW STOCK</v>
      </c>
      <c r="R186" s="1">
        <f t="shared" si="10"/>
        <v>1.5</v>
      </c>
      <c r="S186">
        <v>1.5</v>
      </c>
      <c r="T186" t="b">
        <v>0</v>
      </c>
      <c r="U186" t="str">
        <f t="shared" si="11"/>
        <v>No Return</v>
      </c>
    </row>
    <row r="187" spans="1:21" hidden="1" x14ac:dyDescent="0.3">
      <c r="A187" t="s">
        <v>240</v>
      </c>
      <c r="B187" t="s">
        <v>38</v>
      </c>
      <c r="C187" t="s">
        <v>16</v>
      </c>
      <c r="D187" t="s">
        <v>62</v>
      </c>
      <c r="E187" t="str">
        <f t="shared" si="8"/>
        <v>L</v>
      </c>
      <c r="F187" t="s">
        <v>49</v>
      </c>
      <c r="G187" t="s">
        <v>28</v>
      </c>
      <c r="H187" s="8">
        <v>74.08</v>
      </c>
      <c r="I187" s="3">
        <f t="shared" si="9"/>
        <v>3.9E-2</v>
      </c>
      <c r="J187" s="4">
        <v>3.9</v>
      </c>
      <c r="K187" s="11">
        <f>Table1[[#This Row],[original_price]]* (Table1[[#This Row],[Markdown percentage updated]])</f>
        <v>2.8891200000000001</v>
      </c>
      <c r="L1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7" s="6">
        <v>71.19</v>
      </c>
      <c r="N1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7" s="7">
        <v>45875</v>
      </c>
      <c r="P187">
        <v>37</v>
      </c>
      <c r="Q187" s="16" t="str">
        <f>IF(Table1[[#This Row],[stock_quantity]]=0,"NO STOCK",
IF(Table1[[#This Row],[stock_quantity]]&lt;=10,"LOW STOCK",
"IN STOCK"))</f>
        <v>IN STOCK</v>
      </c>
      <c r="R187" s="1">
        <f t="shared" si="10"/>
        <v>1.7</v>
      </c>
      <c r="S187">
        <v>1.7</v>
      </c>
      <c r="T187" t="b">
        <v>0</v>
      </c>
      <c r="U187" t="str">
        <f t="shared" si="11"/>
        <v>No Return</v>
      </c>
    </row>
    <row r="188" spans="1:21" hidden="1" x14ac:dyDescent="0.3">
      <c r="A188" t="s">
        <v>241</v>
      </c>
      <c r="B188" t="s">
        <v>21</v>
      </c>
      <c r="C188" t="s">
        <v>61</v>
      </c>
      <c r="D188" t="s">
        <v>34</v>
      </c>
      <c r="E188" t="str">
        <f t="shared" si="8"/>
        <v>XXL</v>
      </c>
      <c r="F188" t="s">
        <v>58</v>
      </c>
      <c r="G188" t="s">
        <v>44</v>
      </c>
      <c r="H188" s="8">
        <v>92.37</v>
      </c>
      <c r="I188" s="3">
        <f t="shared" si="9"/>
        <v>0.35899999999999999</v>
      </c>
      <c r="J188" s="4">
        <v>35.9</v>
      </c>
      <c r="K188" s="11">
        <f>Table1[[#This Row],[original_price]]* (Table1[[#This Row],[Markdown percentage updated]])</f>
        <v>33.160829999999997</v>
      </c>
      <c r="L1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8" s="6">
        <v>59.21</v>
      </c>
      <c r="N1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8" s="7">
        <v>45875</v>
      </c>
      <c r="P188">
        <v>20</v>
      </c>
      <c r="Q188" s="16" t="str">
        <f>IF(Table1[[#This Row],[stock_quantity]]=0,"NO STOCK",
IF(Table1[[#This Row],[stock_quantity]]&lt;=10,"LOW STOCK",
"IN STOCK"))</f>
        <v>IN STOCK</v>
      </c>
      <c r="R188" s="1">
        <f t="shared" si="10"/>
        <v>0</v>
      </c>
      <c r="T188" t="b">
        <v>0</v>
      </c>
      <c r="U188" t="str">
        <f t="shared" si="11"/>
        <v>No Return</v>
      </c>
    </row>
    <row r="189" spans="1:21" hidden="1" x14ac:dyDescent="0.3">
      <c r="A189" t="s">
        <v>242</v>
      </c>
      <c r="B189" t="s">
        <v>21</v>
      </c>
      <c r="C189" t="s">
        <v>22</v>
      </c>
      <c r="D189" t="s">
        <v>62</v>
      </c>
      <c r="E189" t="str">
        <f t="shared" si="8"/>
        <v>XXL</v>
      </c>
      <c r="F189" t="s">
        <v>49</v>
      </c>
      <c r="G189" t="s">
        <v>56</v>
      </c>
      <c r="H189" s="8">
        <v>34.06</v>
      </c>
      <c r="I189" s="3">
        <f t="shared" si="9"/>
        <v>0</v>
      </c>
      <c r="J189" s="4">
        <v>0</v>
      </c>
      <c r="K189" s="11">
        <f>Table1[[#This Row],[original_price]]* (Table1[[#This Row],[Markdown percentage updated]])</f>
        <v>0</v>
      </c>
      <c r="L1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9" s="6">
        <v>34.06</v>
      </c>
      <c r="N1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9" s="7">
        <v>45875</v>
      </c>
      <c r="P189">
        <v>39</v>
      </c>
      <c r="Q189" s="16" t="str">
        <f>IF(Table1[[#This Row],[stock_quantity]]=0,"NO STOCK",
IF(Table1[[#This Row],[stock_quantity]]&lt;=10,"LOW STOCK",
"IN STOCK"))</f>
        <v>IN STOCK</v>
      </c>
      <c r="R189" s="1">
        <f t="shared" si="10"/>
        <v>4.5</v>
      </c>
      <c r="S189">
        <v>4.5</v>
      </c>
      <c r="T189" t="b">
        <v>0</v>
      </c>
      <c r="U189" t="str">
        <f t="shared" si="11"/>
        <v>No Return</v>
      </c>
    </row>
    <row r="190" spans="1:21" hidden="1" x14ac:dyDescent="0.3">
      <c r="A190" t="s">
        <v>243</v>
      </c>
      <c r="B190" t="s">
        <v>42</v>
      </c>
      <c r="C190" t="s">
        <v>16</v>
      </c>
      <c r="D190" t="s">
        <v>62</v>
      </c>
      <c r="E190" t="str">
        <f t="shared" si="8"/>
        <v>S</v>
      </c>
      <c r="F190" t="s">
        <v>24</v>
      </c>
      <c r="G190" t="s">
        <v>25</v>
      </c>
      <c r="H190" s="8">
        <v>173.42</v>
      </c>
      <c r="I190" s="3">
        <f t="shared" si="9"/>
        <v>0</v>
      </c>
      <c r="J190" s="4">
        <v>0</v>
      </c>
      <c r="K190" s="11">
        <f>Table1[[#This Row],[original_price]]* (Table1[[#This Row],[Markdown percentage updated]])</f>
        <v>0</v>
      </c>
      <c r="L1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0" s="6">
        <v>173.42</v>
      </c>
      <c r="N1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0" s="7">
        <v>45875</v>
      </c>
      <c r="P190">
        <v>47</v>
      </c>
      <c r="Q190" s="16" t="str">
        <f>IF(Table1[[#This Row],[stock_quantity]]=0,"NO STOCK",
IF(Table1[[#This Row],[stock_quantity]]&lt;=10,"LOW STOCK",
"IN STOCK"))</f>
        <v>IN STOCK</v>
      </c>
      <c r="R190" s="1">
        <f t="shared" si="10"/>
        <v>4.2</v>
      </c>
      <c r="S190">
        <v>4.2</v>
      </c>
      <c r="T190" t="b">
        <v>0</v>
      </c>
      <c r="U190" t="str">
        <f t="shared" si="11"/>
        <v>No Return</v>
      </c>
    </row>
    <row r="191" spans="1:21" hidden="1" x14ac:dyDescent="0.3">
      <c r="A191" t="s">
        <v>244</v>
      </c>
      <c r="B191" t="s">
        <v>38</v>
      </c>
      <c r="C191" t="s">
        <v>22</v>
      </c>
      <c r="D191" t="s">
        <v>17</v>
      </c>
      <c r="E191" t="str">
        <f t="shared" si="8"/>
        <v>XXL</v>
      </c>
      <c r="F191" t="s">
        <v>49</v>
      </c>
      <c r="G191" t="s">
        <v>70</v>
      </c>
      <c r="H191" s="8">
        <v>66.510000000000005</v>
      </c>
      <c r="I191" s="3">
        <f t="shared" si="9"/>
        <v>0</v>
      </c>
      <c r="J191" s="4">
        <v>0</v>
      </c>
      <c r="K191" s="11">
        <f>Table1[[#This Row],[original_price]]* (Table1[[#This Row],[Markdown percentage updated]])</f>
        <v>0</v>
      </c>
      <c r="L1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1" s="6">
        <v>66.510000000000005</v>
      </c>
      <c r="N1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1" s="7">
        <v>45569</v>
      </c>
      <c r="P191">
        <v>32</v>
      </c>
      <c r="Q191" s="16" t="str">
        <f>IF(Table1[[#This Row],[stock_quantity]]=0,"NO STOCK",
IF(Table1[[#This Row],[stock_quantity]]&lt;=10,"LOW STOCK",
"IN STOCK"))</f>
        <v>IN STOCK</v>
      </c>
      <c r="R191" s="1">
        <f t="shared" si="10"/>
        <v>2.1</v>
      </c>
      <c r="S191">
        <v>2.1</v>
      </c>
      <c r="T191" t="b">
        <v>0</v>
      </c>
      <c r="U191" t="str">
        <f t="shared" si="11"/>
        <v>No Return</v>
      </c>
    </row>
    <row r="192" spans="1:21" hidden="1" x14ac:dyDescent="0.3">
      <c r="A192" t="s">
        <v>245</v>
      </c>
      <c r="B192" t="s">
        <v>38</v>
      </c>
      <c r="C192" t="s">
        <v>22</v>
      </c>
      <c r="D192" t="s">
        <v>34</v>
      </c>
      <c r="E192" t="str">
        <f t="shared" si="8"/>
        <v>XL</v>
      </c>
      <c r="F192" t="s">
        <v>49</v>
      </c>
      <c r="G192" t="s">
        <v>44</v>
      </c>
      <c r="H192" s="8">
        <v>72.44</v>
      </c>
      <c r="I192" s="3">
        <f t="shared" si="9"/>
        <v>7.0999999999999994E-2</v>
      </c>
      <c r="J192" s="4">
        <v>7.1</v>
      </c>
      <c r="K192" s="11">
        <f>Table1[[#This Row],[original_price]]* (Table1[[#This Row],[Markdown percentage updated]])</f>
        <v>5.1432399999999996</v>
      </c>
      <c r="L1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2" s="6">
        <v>67.3</v>
      </c>
      <c r="N1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92" s="7">
        <v>45875</v>
      </c>
      <c r="P192">
        <v>10</v>
      </c>
      <c r="Q192" s="17" t="str">
        <f>IF(Table1[[#This Row],[stock_quantity]]=0,"NO STOCK",
IF(Table1[[#This Row],[stock_quantity]]&lt;=10,"LOW STOCK",
"IN STOCK"))</f>
        <v>LOW STOCK</v>
      </c>
      <c r="R192" s="1">
        <f t="shared" si="10"/>
        <v>1.8</v>
      </c>
      <c r="S192">
        <v>1.8</v>
      </c>
      <c r="T192" t="b">
        <v>0</v>
      </c>
      <c r="U192" t="str">
        <f t="shared" si="11"/>
        <v>No Return</v>
      </c>
    </row>
    <row r="193" spans="1:22" hidden="1" x14ac:dyDescent="0.3">
      <c r="A193" t="s">
        <v>246</v>
      </c>
      <c r="B193" t="s">
        <v>21</v>
      </c>
      <c r="C193" t="s">
        <v>53</v>
      </c>
      <c r="D193" t="s">
        <v>34</v>
      </c>
      <c r="E193" t="str">
        <f t="shared" si="8"/>
        <v>XXL</v>
      </c>
      <c r="F193" t="s">
        <v>39</v>
      </c>
      <c r="G193" t="s">
        <v>28</v>
      </c>
      <c r="H193" s="8">
        <v>81.2</v>
      </c>
      <c r="I193" s="3">
        <f t="shared" si="9"/>
        <v>0</v>
      </c>
      <c r="J193" s="4">
        <v>0</v>
      </c>
      <c r="K193" s="11">
        <f>Table1[[#This Row],[original_price]]* (Table1[[#This Row],[Markdown percentage updated]])</f>
        <v>0</v>
      </c>
      <c r="L1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3" s="6">
        <v>81.2</v>
      </c>
      <c r="N1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3" s="7">
        <v>45875</v>
      </c>
      <c r="P193">
        <v>3</v>
      </c>
      <c r="Q193" s="17" t="str">
        <f>IF(Table1[[#This Row],[stock_quantity]]=0,"NO STOCK",
IF(Table1[[#This Row],[stock_quantity]]&lt;=10,"LOW STOCK",
"IN STOCK"))</f>
        <v>LOW STOCK</v>
      </c>
      <c r="R193" s="1">
        <f t="shared" si="10"/>
        <v>1.5</v>
      </c>
      <c r="S193">
        <v>1.5</v>
      </c>
      <c r="T193" t="b">
        <v>0</v>
      </c>
      <c r="U193" t="str">
        <f t="shared" si="11"/>
        <v>No Return</v>
      </c>
    </row>
    <row r="194" spans="1:22" hidden="1" x14ac:dyDescent="0.3">
      <c r="A194" t="s">
        <v>247</v>
      </c>
      <c r="B194" t="s">
        <v>15</v>
      </c>
      <c r="C194" t="s">
        <v>61</v>
      </c>
      <c r="D194" t="s">
        <v>62</v>
      </c>
      <c r="E194" t="str">
        <f t="shared" ref="E194:E257" si="12">IF(ISBLANK(F197),"OS",F197)</f>
        <v>XXL</v>
      </c>
      <c r="F194" t="s">
        <v>49</v>
      </c>
      <c r="G194" t="s">
        <v>19</v>
      </c>
      <c r="H194" s="8">
        <v>104.5</v>
      </c>
      <c r="I194" s="3">
        <f t="shared" ref="I194:I257" si="13">J194/100</f>
        <v>0.12300000000000001</v>
      </c>
      <c r="J194" s="4">
        <v>12.3</v>
      </c>
      <c r="K194" s="11">
        <f>Table1[[#This Row],[original_price]]* (Table1[[#This Row],[Markdown percentage updated]])</f>
        <v>12.853500000000002</v>
      </c>
      <c r="L1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4" s="6">
        <v>91.65</v>
      </c>
      <c r="N1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94" s="7">
        <v>45875</v>
      </c>
      <c r="P194">
        <v>42</v>
      </c>
      <c r="Q194" s="16" t="str">
        <f>IF(Table1[[#This Row],[stock_quantity]]=0,"NO STOCK",
IF(Table1[[#This Row],[stock_quantity]]&lt;=10,"LOW STOCK",
"IN STOCK"))</f>
        <v>IN STOCK</v>
      </c>
      <c r="R194" s="1">
        <f t="shared" si="10"/>
        <v>0</v>
      </c>
      <c r="T194" t="b">
        <v>0</v>
      </c>
      <c r="U194" t="str">
        <f t="shared" si="11"/>
        <v>No Return</v>
      </c>
    </row>
    <row r="195" spans="1:22" hidden="1" x14ac:dyDescent="0.3">
      <c r="A195" t="s">
        <v>248</v>
      </c>
      <c r="B195" t="s">
        <v>42</v>
      </c>
      <c r="C195" t="s">
        <v>61</v>
      </c>
      <c r="D195" t="s">
        <v>23</v>
      </c>
      <c r="E195" t="str">
        <f t="shared" si="12"/>
        <v>XXL</v>
      </c>
      <c r="F195" t="s">
        <v>18</v>
      </c>
      <c r="G195" t="s">
        <v>25</v>
      </c>
      <c r="H195" s="8">
        <v>57.53</v>
      </c>
      <c r="I195" s="3">
        <f t="shared" si="13"/>
        <v>0.13</v>
      </c>
      <c r="J195" s="4">
        <v>13</v>
      </c>
      <c r="K195" s="11">
        <f>Table1[[#This Row],[original_price]]* (Table1[[#This Row],[Markdown percentage updated]])</f>
        <v>7.4789000000000003</v>
      </c>
      <c r="L1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5" s="6">
        <v>50.05</v>
      </c>
      <c r="N1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95" s="7">
        <v>45875</v>
      </c>
      <c r="P195">
        <v>12</v>
      </c>
      <c r="Q195" s="16" t="str">
        <f>IF(Table1[[#This Row],[stock_quantity]]=0,"NO STOCK",
IF(Table1[[#This Row],[stock_quantity]]&lt;=10,"LOW STOCK",
"IN STOCK"))</f>
        <v>IN STOCK</v>
      </c>
      <c r="R195" s="1">
        <f t="shared" ref="R195:R258" si="14">IF(ISBLANK(S195), 0, S195)</f>
        <v>4.0999999999999996</v>
      </c>
      <c r="S195">
        <v>4.0999999999999996</v>
      </c>
      <c r="T195" t="b">
        <v>0</v>
      </c>
      <c r="U195" t="str">
        <f t="shared" ref="U195:U258" si="15">IF(V195="","No Return",V195)</f>
        <v>No Return</v>
      </c>
    </row>
    <row r="196" spans="1:22" hidden="1" x14ac:dyDescent="0.3">
      <c r="A196" t="s">
        <v>249</v>
      </c>
      <c r="B196" t="s">
        <v>30</v>
      </c>
      <c r="C196" t="s">
        <v>32</v>
      </c>
      <c r="D196" t="s">
        <v>62</v>
      </c>
      <c r="E196" t="str">
        <f t="shared" si="12"/>
        <v>L</v>
      </c>
      <c r="F196" t="s">
        <v>49</v>
      </c>
      <c r="G196" t="s">
        <v>40</v>
      </c>
      <c r="H196" s="8">
        <v>142.58000000000001</v>
      </c>
      <c r="I196" s="3">
        <f t="shared" si="13"/>
        <v>0</v>
      </c>
      <c r="J196" s="4">
        <v>0</v>
      </c>
      <c r="K196" s="11">
        <f>Table1[[#This Row],[original_price]]* (Table1[[#This Row],[Markdown percentage updated]])</f>
        <v>0</v>
      </c>
      <c r="L1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6" s="6">
        <v>142.58000000000001</v>
      </c>
      <c r="N1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6" s="7">
        <v>45875</v>
      </c>
      <c r="P196">
        <v>25</v>
      </c>
      <c r="Q196" s="16" t="str">
        <f>IF(Table1[[#This Row],[stock_quantity]]=0,"NO STOCK",
IF(Table1[[#This Row],[stock_quantity]]&lt;=10,"LOW STOCK",
"IN STOCK"))</f>
        <v>IN STOCK</v>
      </c>
      <c r="R196" s="1">
        <f t="shared" si="14"/>
        <v>4.8</v>
      </c>
      <c r="S196">
        <v>4.8</v>
      </c>
      <c r="T196" t="b">
        <v>1</v>
      </c>
      <c r="U196" s="13" t="str">
        <f t="shared" si="15"/>
        <v>Quality Issue</v>
      </c>
      <c r="V196" t="s">
        <v>83</v>
      </c>
    </row>
    <row r="197" spans="1:22" hidden="1" x14ac:dyDescent="0.3">
      <c r="A197" t="s">
        <v>250</v>
      </c>
      <c r="B197" t="s">
        <v>42</v>
      </c>
      <c r="C197" t="s">
        <v>16</v>
      </c>
      <c r="D197" t="s">
        <v>34</v>
      </c>
      <c r="E197" t="str">
        <f t="shared" si="12"/>
        <v>M</v>
      </c>
      <c r="F197" t="s">
        <v>49</v>
      </c>
      <c r="G197" t="s">
        <v>46</v>
      </c>
      <c r="H197" s="8">
        <v>162.22999999999999</v>
      </c>
      <c r="I197" s="3">
        <f t="shared" si="13"/>
        <v>0.29399999999999998</v>
      </c>
      <c r="J197" s="4">
        <v>29.4</v>
      </c>
      <c r="K197" s="11">
        <f>Table1[[#This Row],[original_price]]* (Table1[[#This Row],[Markdown percentage updated]])</f>
        <v>47.695619999999991</v>
      </c>
      <c r="L1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97" s="6">
        <v>114.53</v>
      </c>
      <c r="N1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7" s="7">
        <v>45875</v>
      </c>
      <c r="P197">
        <v>41</v>
      </c>
      <c r="Q197" s="16" t="str">
        <f>IF(Table1[[#This Row],[stock_quantity]]=0,"NO STOCK",
IF(Table1[[#This Row],[stock_quantity]]&lt;=10,"LOW STOCK",
"IN STOCK"))</f>
        <v>IN STOCK</v>
      </c>
      <c r="R197" s="1">
        <f t="shared" si="14"/>
        <v>4</v>
      </c>
      <c r="S197">
        <v>4</v>
      </c>
      <c r="T197" t="b">
        <v>1</v>
      </c>
      <c r="U197" s="13" t="str">
        <f t="shared" si="15"/>
        <v>Quality Issue</v>
      </c>
      <c r="V197" t="s">
        <v>83</v>
      </c>
    </row>
    <row r="198" spans="1:22" hidden="1" x14ac:dyDescent="0.3">
      <c r="A198" t="s">
        <v>251</v>
      </c>
      <c r="B198" t="s">
        <v>38</v>
      </c>
      <c r="C198" t="s">
        <v>53</v>
      </c>
      <c r="D198" t="s">
        <v>17</v>
      </c>
      <c r="E198" t="str">
        <f t="shared" si="12"/>
        <v>XXL</v>
      </c>
      <c r="F198" t="s">
        <v>49</v>
      </c>
      <c r="G198" t="s">
        <v>19</v>
      </c>
      <c r="H198" s="8">
        <v>32.1</v>
      </c>
      <c r="I198" s="3">
        <f t="shared" si="13"/>
        <v>0.51700000000000002</v>
      </c>
      <c r="J198" s="4">
        <v>51.7</v>
      </c>
      <c r="K198" s="11">
        <f>Table1[[#This Row],[original_price]]* (Table1[[#This Row],[Markdown percentage updated]])</f>
        <v>16.595700000000001</v>
      </c>
      <c r="L1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8" s="6">
        <v>15.5</v>
      </c>
      <c r="N1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98" s="7">
        <v>45619</v>
      </c>
      <c r="P198">
        <v>27</v>
      </c>
      <c r="Q198" s="16" t="str">
        <f>IF(Table1[[#This Row],[stock_quantity]]=0,"NO STOCK",
IF(Table1[[#This Row],[stock_quantity]]&lt;=10,"LOW STOCK",
"IN STOCK"))</f>
        <v>IN STOCK</v>
      </c>
      <c r="R198" s="1">
        <f t="shared" si="14"/>
        <v>0</v>
      </c>
      <c r="T198" t="b">
        <v>0</v>
      </c>
      <c r="U198" t="str">
        <f t="shared" si="15"/>
        <v>No Return</v>
      </c>
    </row>
    <row r="199" spans="1:22" hidden="1" x14ac:dyDescent="0.3">
      <c r="A199" t="s">
        <v>252</v>
      </c>
      <c r="B199" t="s">
        <v>30</v>
      </c>
      <c r="C199" t="s">
        <v>22</v>
      </c>
      <c r="D199" t="s">
        <v>34</v>
      </c>
      <c r="E199" t="str">
        <f t="shared" si="12"/>
        <v>XS</v>
      </c>
      <c r="F199" t="s">
        <v>24</v>
      </c>
      <c r="G199" t="s">
        <v>28</v>
      </c>
      <c r="H199" s="8">
        <v>162.41</v>
      </c>
      <c r="I199" s="3">
        <f t="shared" si="13"/>
        <v>0.42700000000000005</v>
      </c>
      <c r="J199" s="4">
        <v>42.7</v>
      </c>
      <c r="K199" s="11">
        <f>Table1[[#This Row],[original_price]]* (Table1[[#This Row],[Markdown percentage updated]])</f>
        <v>69.349070000000012</v>
      </c>
      <c r="L1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9" s="6">
        <v>93.06</v>
      </c>
      <c r="N1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9" s="7">
        <v>45875</v>
      </c>
      <c r="P199">
        <v>22</v>
      </c>
      <c r="Q199" s="16" t="str">
        <f>IF(Table1[[#This Row],[stock_quantity]]=0,"NO STOCK",
IF(Table1[[#This Row],[stock_quantity]]&lt;=10,"LOW STOCK",
"IN STOCK"))</f>
        <v>IN STOCK</v>
      </c>
      <c r="R199" s="1">
        <f t="shared" si="14"/>
        <v>4.8</v>
      </c>
      <c r="S199">
        <v>4.8</v>
      </c>
      <c r="T199" t="b">
        <v>0</v>
      </c>
      <c r="U199" t="str">
        <f t="shared" si="15"/>
        <v>No Return</v>
      </c>
    </row>
    <row r="200" spans="1:22" hidden="1" x14ac:dyDescent="0.3">
      <c r="A200" t="s">
        <v>253</v>
      </c>
      <c r="B200" t="s">
        <v>21</v>
      </c>
      <c r="C200" t="s">
        <v>32</v>
      </c>
      <c r="D200" t="s">
        <v>34</v>
      </c>
      <c r="E200" t="str">
        <f t="shared" si="12"/>
        <v>XL</v>
      </c>
      <c r="F200" t="s">
        <v>58</v>
      </c>
      <c r="G200" t="s">
        <v>40</v>
      </c>
      <c r="H200" s="8">
        <v>77.459999999999994</v>
      </c>
      <c r="I200" s="3">
        <f t="shared" si="13"/>
        <v>0.57499999999999996</v>
      </c>
      <c r="J200" s="4">
        <v>57.5</v>
      </c>
      <c r="K200" s="11">
        <f>Table1[[#This Row],[original_price]]* (Table1[[#This Row],[Markdown percentage updated]])</f>
        <v>44.53949999999999</v>
      </c>
      <c r="L2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0" s="6">
        <v>32.92</v>
      </c>
      <c r="N2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0" s="7">
        <v>45875</v>
      </c>
      <c r="P200">
        <v>23</v>
      </c>
      <c r="Q200" s="16" t="str">
        <f>IF(Table1[[#This Row],[stock_quantity]]=0,"NO STOCK",
IF(Table1[[#This Row],[stock_quantity]]&lt;=10,"LOW STOCK",
"IN STOCK"))</f>
        <v>IN STOCK</v>
      </c>
      <c r="R200" s="1">
        <f t="shared" si="14"/>
        <v>4</v>
      </c>
      <c r="S200">
        <v>4</v>
      </c>
      <c r="T200" t="b">
        <v>0</v>
      </c>
      <c r="U200" t="str">
        <f t="shared" si="15"/>
        <v>No Return</v>
      </c>
    </row>
    <row r="201" spans="1:22" hidden="1" x14ac:dyDescent="0.3">
      <c r="A201" t="s">
        <v>254</v>
      </c>
      <c r="B201" t="s">
        <v>21</v>
      </c>
      <c r="C201" t="s">
        <v>48</v>
      </c>
      <c r="D201" t="s">
        <v>34</v>
      </c>
      <c r="E201" t="str">
        <f t="shared" si="12"/>
        <v>XS</v>
      </c>
      <c r="F201" t="s">
        <v>49</v>
      </c>
      <c r="G201" t="s">
        <v>44</v>
      </c>
      <c r="H201" s="8">
        <v>103.42</v>
      </c>
      <c r="I201" s="3">
        <f t="shared" si="13"/>
        <v>0.56100000000000005</v>
      </c>
      <c r="J201" s="4">
        <v>56.1</v>
      </c>
      <c r="K201" s="11">
        <f>Table1[[#This Row],[original_price]]* (Table1[[#This Row],[Markdown percentage updated]])</f>
        <v>58.018620000000006</v>
      </c>
      <c r="L2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1" s="6">
        <v>45.4</v>
      </c>
      <c r="N2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1" s="7">
        <v>45875</v>
      </c>
      <c r="P201">
        <v>4</v>
      </c>
      <c r="Q201" s="17" t="str">
        <f>IF(Table1[[#This Row],[stock_quantity]]=0,"NO STOCK",
IF(Table1[[#This Row],[stock_quantity]]&lt;=10,"LOW STOCK",
"IN STOCK"))</f>
        <v>LOW STOCK</v>
      </c>
      <c r="R201" s="1">
        <f t="shared" si="14"/>
        <v>4.7</v>
      </c>
      <c r="S201">
        <v>4.7</v>
      </c>
      <c r="T201" t="b">
        <v>0</v>
      </c>
      <c r="U201" t="str">
        <f t="shared" si="15"/>
        <v>No Return</v>
      </c>
    </row>
    <row r="202" spans="1:22" hidden="1" x14ac:dyDescent="0.3">
      <c r="A202" t="s">
        <v>255</v>
      </c>
      <c r="B202" t="s">
        <v>38</v>
      </c>
      <c r="C202" t="s">
        <v>16</v>
      </c>
      <c r="D202" t="s">
        <v>17</v>
      </c>
      <c r="E202" t="str">
        <f t="shared" si="12"/>
        <v>S</v>
      </c>
      <c r="F202" t="s">
        <v>55</v>
      </c>
      <c r="G202" t="s">
        <v>46</v>
      </c>
      <c r="H202" s="8">
        <v>42.91</v>
      </c>
      <c r="I202" s="3">
        <f t="shared" si="13"/>
        <v>0.33299999999999996</v>
      </c>
      <c r="J202" s="4">
        <v>33.299999999999997</v>
      </c>
      <c r="K202" s="11">
        <f>Table1[[#This Row],[original_price]]* (Table1[[#This Row],[Markdown percentage updated]])</f>
        <v>14.289029999999997</v>
      </c>
      <c r="L2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2" s="6">
        <v>28.62</v>
      </c>
      <c r="N2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02" s="7">
        <v>45619</v>
      </c>
      <c r="P202">
        <v>18</v>
      </c>
      <c r="Q202" s="16" t="str">
        <f>IF(Table1[[#This Row],[stock_quantity]]=0,"NO STOCK",
IF(Table1[[#This Row],[stock_quantity]]&lt;=10,"LOW STOCK",
"IN STOCK"))</f>
        <v>IN STOCK</v>
      </c>
      <c r="R202" s="1">
        <f t="shared" si="14"/>
        <v>0</v>
      </c>
      <c r="T202" t="b">
        <v>0</v>
      </c>
      <c r="U202" t="str">
        <f t="shared" si="15"/>
        <v>No Return</v>
      </c>
    </row>
    <row r="203" spans="1:22" hidden="1" x14ac:dyDescent="0.3">
      <c r="A203" t="s">
        <v>256</v>
      </c>
      <c r="B203" t="s">
        <v>30</v>
      </c>
      <c r="C203" t="s">
        <v>16</v>
      </c>
      <c r="D203" t="s">
        <v>62</v>
      </c>
      <c r="E203" t="str">
        <f t="shared" si="12"/>
        <v>OS</v>
      </c>
      <c r="F203" t="s">
        <v>18</v>
      </c>
      <c r="G203" t="s">
        <v>46</v>
      </c>
      <c r="H203" s="8">
        <v>144.91999999999999</v>
      </c>
      <c r="I203" s="3">
        <f t="shared" si="13"/>
        <v>0.17</v>
      </c>
      <c r="J203" s="4">
        <v>17</v>
      </c>
      <c r="K203" s="11">
        <f>Table1[[#This Row],[original_price]]* (Table1[[#This Row],[Markdown percentage updated]])</f>
        <v>24.636399999999998</v>
      </c>
      <c r="L2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3" s="6">
        <v>120.28</v>
      </c>
      <c r="N2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3" s="7">
        <v>45875</v>
      </c>
      <c r="P203">
        <v>32</v>
      </c>
      <c r="Q203" s="16" t="str">
        <f>IF(Table1[[#This Row],[stock_quantity]]=0,"NO STOCK",
IF(Table1[[#This Row],[stock_quantity]]&lt;=10,"LOW STOCK",
"IN STOCK"))</f>
        <v>IN STOCK</v>
      </c>
      <c r="R203" s="1">
        <f t="shared" si="14"/>
        <v>2</v>
      </c>
      <c r="S203">
        <v>2</v>
      </c>
      <c r="T203" t="b">
        <v>0</v>
      </c>
      <c r="U203" t="str">
        <f t="shared" si="15"/>
        <v>No Return</v>
      </c>
    </row>
    <row r="204" spans="1:22" x14ac:dyDescent="0.3">
      <c r="A204" t="s">
        <v>257</v>
      </c>
      <c r="B204" t="s">
        <v>30</v>
      </c>
      <c r="C204" t="s">
        <v>32</v>
      </c>
      <c r="D204" t="s">
        <v>62</v>
      </c>
      <c r="E204" t="str">
        <f t="shared" si="12"/>
        <v>OS</v>
      </c>
      <c r="F204" t="s">
        <v>55</v>
      </c>
      <c r="G204" t="s">
        <v>28</v>
      </c>
      <c r="H204" s="8">
        <v>93.07</v>
      </c>
      <c r="I204" s="3">
        <f t="shared" si="13"/>
        <v>0.23899999999999999</v>
      </c>
      <c r="J204" s="4">
        <v>23.9</v>
      </c>
      <c r="K204" s="11">
        <f>Table1[[#This Row],[original_price]]* (Table1[[#This Row],[Markdown percentage updated]])</f>
        <v>22.243729999999996</v>
      </c>
      <c r="L2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04" s="6">
        <v>70.83</v>
      </c>
      <c r="N2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4" s="7">
        <v>45875</v>
      </c>
      <c r="P204">
        <v>10</v>
      </c>
      <c r="Q204" s="17" t="str">
        <f>IF(Table1[[#This Row],[stock_quantity]]=0,"NO STOCK",
IF(Table1[[#This Row],[stock_quantity]]&lt;=10,"LOW STOCK",
"IN STOCK"))</f>
        <v>LOW STOCK</v>
      </c>
      <c r="R204" s="1">
        <f t="shared" si="14"/>
        <v>3.5</v>
      </c>
      <c r="S204">
        <v>3.5</v>
      </c>
      <c r="T204" t="b">
        <v>1</v>
      </c>
      <c r="U204" s="13" t="str">
        <f t="shared" si="15"/>
        <v>Changed Mind</v>
      </c>
      <c r="V204" t="s">
        <v>115</v>
      </c>
    </row>
    <row r="205" spans="1:22" hidden="1" x14ac:dyDescent="0.3">
      <c r="A205" t="s">
        <v>258</v>
      </c>
      <c r="B205" t="s">
        <v>15</v>
      </c>
      <c r="C205" t="s">
        <v>48</v>
      </c>
      <c r="D205" t="s">
        <v>62</v>
      </c>
      <c r="E205" t="str">
        <f t="shared" si="12"/>
        <v>M</v>
      </c>
      <c r="F205" t="s">
        <v>39</v>
      </c>
      <c r="G205" t="s">
        <v>19</v>
      </c>
      <c r="H205" s="8">
        <v>119.96</v>
      </c>
      <c r="I205" s="3">
        <f t="shared" si="13"/>
        <v>0</v>
      </c>
      <c r="J205" s="4">
        <v>0</v>
      </c>
      <c r="K205" s="11">
        <f>Table1[[#This Row],[original_price]]* (Table1[[#This Row],[Markdown percentage updated]])</f>
        <v>0</v>
      </c>
      <c r="L2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5" s="6">
        <v>119.96</v>
      </c>
      <c r="N2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5" s="7">
        <v>45875</v>
      </c>
      <c r="P205">
        <v>20</v>
      </c>
      <c r="Q205" s="16" t="str">
        <f>IF(Table1[[#This Row],[stock_quantity]]=0,"NO STOCK",
IF(Table1[[#This Row],[stock_quantity]]&lt;=10,"LOW STOCK",
"IN STOCK"))</f>
        <v>IN STOCK</v>
      </c>
      <c r="R205" s="1">
        <f t="shared" si="14"/>
        <v>1.1000000000000001</v>
      </c>
      <c r="S205">
        <v>1.1000000000000001</v>
      </c>
      <c r="T205" t="b">
        <v>0</v>
      </c>
      <c r="U205" t="str">
        <f t="shared" si="15"/>
        <v>No Return</v>
      </c>
    </row>
    <row r="206" spans="1:22" hidden="1" x14ac:dyDescent="0.3">
      <c r="A206" t="s">
        <v>259</v>
      </c>
      <c r="B206" t="s">
        <v>27</v>
      </c>
      <c r="C206" t="s">
        <v>75</v>
      </c>
      <c r="D206" t="s">
        <v>62</v>
      </c>
      <c r="E206" t="str">
        <f t="shared" si="12"/>
        <v>XL</v>
      </c>
      <c r="G206" t="s">
        <v>40</v>
      </c>
      <c r="H206" s="8">
        <v>42.04</v>
      </c>
      <c r="I206" s="3">
        <f t="shared" si="13"/>
        <v>0.50900000000000001</v>
      </c>
      <c r="J206" s="4">
        <v>50.9</v>
      </c>
      <c r="K206" s="11">
        <f>Table1[[#This Row],[original_price]]* (Table1[[#This Row],[Markdown percentage updated]])</f>
        <v>21.39836</v>
      </c>
      <c r="L2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6" s="6">
        <v>20.64</v>
      </c>
      <c r="N2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6" s="7">
        <v>45875</v>
      </c>
      <c r="P206">
        <v>43</v>
      </c>
      <c r="Q206" s="16" t="str">
        <f>IF(Table1[[#This Row],[stock_quantity]]=0,"NO STOCK",
IF(Table1[[#This Row],[stock_quantity]]&lt;=10,"LOW STOCK",
"IN STOCK"))</f>
        <v>IN STOCK</v>
      </c>
      <c r="R206" s="1">
        <f t="shared" si="14"/>
        <v>2.2999999999999998</v>
      </c>
      <c r="S206">
        <v>2.2999999999999998</v>
      </c>
      <c r="T206" t="b">
        <v>1</v>
      </c>
      <c r="U206" s="13" t="str">
        <f t="shared" si="15"/>
        <v>Wrong Item</v>
      </c>
      <c r="V206" t="s">
        <v>125</v>
      </c>
    </row>
    <row r="207" spans="1:22" hidden="1" x14ac:dyDescent="0.3">
      <c r="A207" t="s">
        <v>260</v>
      </c>
      <c r="B207" t="s">
        <v>27</v>
      </c>
      <c r="C207" t="s">
        <v>32</v>
      </c>
      <c r="D207" t="s">
        <v>23</v>
      </c>
      <c r="E207" t="str">
        <f t="shared" si="12"/>
        <v>XXL</v>
      </c>
      <c r="G207" t="s">
        <v>19</v>
      </c>
      <c r="H207" s="8">
        <v>54.45</v>
      </c>
      <c r="I207" s="3">
        <f t="shared" si="13"/>
        <v>0</v>
      </c>
      <c r="J207" s="4">
        <v>0</v>
      </c>
      <c r="K207" s="11">
        <f>Table1[[#This Row],[original_price]]* (Table1[[#This Row],[Markdown percentage updated]])</f>
        <v>0</v>
      </c>
      <c r="L2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7" s="6">
        <v>54.45</v>
      </c>
      <c r="N2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7" s="7">
        <v>45875</v>
      </c>
      <c r="P207">
        <v>12</v>
      </c>
      <c r="Q207" s="16" t="str">
        <f>IF(Table1[[#This Row],[stock_quantity]]=0,"NO STOCK",
IF(Table1[[#This Row],[stock_quantity]]&lt;=10,"LOW STOCK",
"IN STOCK"))</f>
        <v>IN STOCK</v>
      </c>
      <c r="R207" s="1">
        <f t="shared" si="14"/>
        <v>2.7</v>
      </c>
      <c r="S207">
        <v>2.7</v>
      </c>
      <c r="T207" t="b">
        <v>0</v>
      </c>
      <c r="U207" t="str">
        <f t="shared" si="15"/>
        <v>No Return</v>
      </c>
    </row>
    <row r="208" spans="1:22" hidden="1" x14ac:dyDescent="0.3">
      <c r="A208" t="s">
        <v>261</v>
      </c>
      <c r="B208" t="s">
        <v>21</v>
      </c>
      <c r="C208" t="s">
        <v>43</v>
      </c>
      <c r="D208" t="s">
        <v>17</v>
      </c>
      <c r="E208" t="str">
        <f t="shared" si="12"/>
        <v>XS</v>
      </c>
      <c r="F208" t="s">
        <v>58</v>
      </c>
      <c r="G208" t="s">
        <v>46</v>
      </c>
      <c r="H208" s="8">
        <v>66.95</v>
      </c>
      <c r="I208" s="3">
        <f t="shared" si="13"/>
        <v>0.36399999999999999</v>
      </c>
      <c r="J208" s="4">
        <v>36.4</v>
      </c>
      <c r="K208" s="11">
        <f>Table1[[#This Row],[original_price]]* (Table1[[#This Row],[Markdown percentage updated]])</f>
        <v>24.369800000000001</v>
      </c>
      <c r="L2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8" s="6">
        <v>42.58</v>
      </c>
      <c r="N2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8" s="7">
        <v>45563</v>
      </c>
      <c r="P208">
        <v>44</v>
      </c>
      <c r="Q208" s="16" t="str">
        <f>IF(Table1[[#This Row],[stock_quantity]]=0,"NO STOCK",
IF(Table1[[#This Row],[stock_quantity]]&lt;=10,"LOW STOCK",
"IN STOCK"))</f>
        <v>IN STOCK</v>
      </c>
      <c r="R208" s="1">
        <f t="shared" si="14"/>
        <v>1.9</v>
      </c>
      <c r="S208">
        <v>1.9</v>
      </c>
      <c r="T208" t="b">
        <v>1</v>
      </c>
      <c r="U208" s="13" t="str">
        <f t="shared" si="15"/>
        <v>Quality Issue</v>
      </c>
      <c r="V208" t="s">
        <v>83</v>
      </c>
    </row>
    <row r="209" spans="1:22" hidden="1" x14ac:dyDescent="0.3">
      <c r="A209" t="s">
        <v>262</v>
      </c>
      <c r="B209" t="s">
        <v>21</v>
      </c>
      <c r="C209" t="s">
        <v>53</v>
      </c>
      <c r="D209" t="s">
        <v>17</v>
      </c>
      <c r="E209" t="str">
        <f t="shared" si="12"/>
        <v>S</v>
      </c>
      <c r="F209" t="s">
        <v>18</v>
      </c>
      <c r="G209" t="s">
        <v>56</v>
      </c>
      <c r="H209" s="8">
        <v>116.96</v>
      </c>
      <c r="I209" s="3">
        <f t="shared" si="13"/>
        <v>8.8000000000000009E-2</v>
      </c>
      <c r="J209" s="4">
        <v>8.8000000000000007</v>
      </c>
      <c r="K209" s="11">
        <f>Table1[[#This Row],[original_price]]* (Table1[[#This Row],[Markdown percentage updated]])</f>
        <v>10.292480000000001</v>
      </c>
      <c r="L2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9" s="6">
        <v>106.67</v>
      </c>
      <c r="N2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09" s="7">
        <v>45776</v>
      </c>
      <c r="P209">
        <v>33</v>
      </c>
      <c r="Q209" s="16" t="str">
        <f>IF(Table1[[#This Row],[stock_quantity]]=0,"NO STOCK",
IF(Table1[[#This Row],[stock_quantity]]&lt;=10,"LOW STOCK",
"IN STOCK"))</f>
        <v>IN STOCK</v>
      </c>
      <c r="R209" s="1">
        <f t="shared" si="14"/>
        <v>1.6</v>
      </c>
      <c r="S209">
        <v>1.6</v>
      </c>
      <c r="T209" t="b">
        <v>0</v>
      </c>
      <c r="U209" t="str">
        <f t="shared" si="15"/>
        <v>No Return</v>
      </c>
    </row>
    <row r="210" spans="1:22" hidden="1" x14ac:dyDescent="0.3">
      <c r="A210" t="s">
        <v>263</v>
      </c>
      <c r="B210" t="s">
        <v>21</v>
      </c>
      <c r="C210" t="s">
        <v>75</v>
      </c>
      <c r="D210" t="s">
        <v>34</v>
      </c>
      <c r="E210" t="str">
        <f t="shared" si="12"/>
        <v>M</v>
      </c>
      <c r="F210" t="s">
        <v>49</v>
      </c>
      <c r="G210" t="s">
        <v>25</v>
      </c>
      <c r="H210" s="8">
        <v>111.14</v>
      </c>
      <c r="I210" s="3">
        <f t="shared" si="13"/>
        <v>0</v>
      </c>
      <c r="J210" s="4">
        <v>0</v>
      </c>
      <c r="K210" s="11">
        <f>Table1[[#This Row],[original_price]]* (Table1[[#This Row],[Markdown percentage updated]])</f>
        <v>0</v>
      </c>
      <c r="L2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0" s="6">
        <v>111.14</v>
      </c>
      <c r="N2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0" s="7">
        <v>45875</v>
      </c>
      <c r="P210">
        <v>49</v>
      </c>
      <c r="Q210" s="16" t="str">
        <f>IF(Table1[[#This Row],[stock_quantity]]=0,"NO STOCK",
IF(Table1[[#This Row],[stock_quantity]]&lt;=10,"LOW STOCK",
"IN STOCK"))</f>
        <v>IN STOCK</v>
      </c>
      <c r="R210" s="1">
        <f t="shared" si="14"/>
        <v>1.6</v>
      </c>
      <c r="S210">
        <v>1.6</v>
      </c>
      <c r="T210" t="b">
        <v>0</v>
      </c>
      <c r="U210" t="str">
        <f t="shared" si="15"/>
        <v>No Return</v>
      </c>
    </row>
    <row r="211" spans="1:22" hidden="1" x14ac:dyDescent="0.3">
      <c r="A211" t="s">
        <v>264</v>
      </c>
      <c r="B211" t="s">
        <v>21</v>
      </c>
      <c r="C211" t="s">
        <v>32</v>
      </c>
      <c r="D211" t="s">
        <v>34</v>
      </c>
      <c r="E211" t="str">
        <f t="shared" si="12"/>
        <v>L</v>
      </c>
      <c r="F211" t="s">
        <v>55</v>
      </c>
      <c r="G211" t="s">
        <v>44</v>
      </c>
      <c r="H211" s="8">
        <v>59.6</v>
      </c>
      <c r="I211" s="3">
        <f t="shared" si="13"/>
        <v>0</v>
      </c>
      <c r="J211" s="4">
        <v>0</v>
      </c>
      <c r="K211" s="11">
        <f>Table1[[#This Row],[original_price]]* (Table1[[#This Row],[Markdown percentage updated]])</f>
        <v>0</v>
      </c>
      <c r="L2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1" s="6">
        <v>59.6</v>
      </c>
      <c r="N2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1" s="7">
        <v>45875</v>
      </c>
      <c r="P211">
        <v>40</v>
      </c>
      <c r="Q211" s="16" t="str">
        <f>IF(Table1[[#This Row],[stock_quantity]]=0,"NO STOCK",
IF(Table1[[#This Row],[stock_quantity]]&lt;=10,"LOW STOCK",
"IN STOCK"))</f>
        <v>IN STOCK</v>
      </c>
      <c r="R211" s="1">
        <f t="shared" si="14"/>
        <v>2.1</v>
      </c>
      <c r="S211">
        <v>2.1</v>
      </c>
      <c r="T211" t="b">
        <v>0</v>
      </c>
      <c r="U211" t="str">
        <f t="shared" si="15"/>
        <v>No Return</v>
      </c>
    </row>
    <row r="212" spans="1:22" hidden="1" x14ac:dyDescent="0.3">
      <c r="A212" t="s">
        <v>265</v>
      </c>
      <c r="B212" t="s">
        <v>21</v>
      </c>
      <c r="C212" t="s">
        <v>53</v>
      </c>
      <c r="D212" t="s">
        <v>17</v>
      </c>
      <c r="E212" t="str">
        <f t="shared" si="12"/>
        <v>OS</v>
      </c>
      <c r="F212" t="s">
        <v>39</v>
      </c>
      <c r="G212" t="s">
        <v>40</v>
      </c>
      <c r="H212" s="8">
        <v>25.49</v>
      </c>
      <c r="I212" s="3">
        <f t="shared" si="13"/>
        <v>0.16699999999999998</v>
      </c>
      <c r="J212" s="4">
        <v>16.7</v>
      </c>
      <c r="K212" s="11">
        <f>Table1[[#This Row],[original_price]]* (Table1[[#This Row],[Markdown percentage updated]])</f>
        <v>4.256829999999999</v>
      </c>
      <c r="L2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2" s="6">
        <v>21.23</v>
      </c>
      <c r="N2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12" s="7">
        <v>45800</v>
      </c>
      <c r="P212">
        <v>32</v>
      </c>
      <c r="Q212" s="16" t="str">
        <f>IF(Table1[[#This Row],[stock_quantity]]=0,"NO STOCK",
IF(Table1[[#This Row],[stock_quantity]]&lt;=10,"LOW STOCK",
"IN STOCK"))</f>
        <v>IN STOCK</v>
      </c>
      <c r="R212" s="1">
        <f t="shared" si="14"/>
        <v>0</v>
      </c>
      <c r="T212" t="b">
        <v>0</v>
      </c>
      <c r="U212" t="str">
        <f t="shared" si="15"/>
        <v>No Return</v>
      </c>
    </row>
    <row r="213" spans="1:22" hidden="1" x14ac:dyDescent="0.3">
      <c r="A213" t="s">
        <v>266</v>
      </c>
      <c r="B213" t="s">
        <v>21</v>
      </c>
      <c r="C213" t="s">
        <v>16</v>
      </c>
      <c r="D213" t="s">
        <v>17</v>
      </c>
      <c r="E213" t="str">
        <f t="shared" si="12"/>
        <v>XXL</v>
      </c>
      <c r="F213" t="s">
        <v>58</v>
      </c>
      <c r="G213" t="s">
        <v>28</v>
      </c>
      <c r="H213" s="8">
        <v>82.94</v>
      </c>
      <c r="I213" s="3">
        <f t="shared" si="13"/>
        <v>0</v>
      </c>
      <c r="J213" s="4">
        <v>0</v>
      </c>
      <c r="K213" s="11">
        <f>Table1[[#This Row],[original_price]]* (Table1[[#This Row],[Markdown percentage updated]])</f>
        <v>0</v>
      </c>
      <c r="L2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3" s="6">
        <v>82.94</v>
      </c>
      <c r="N2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3" s="7">
        <v>45855</v>
      </c>
      <c r="P213">
        <v>46</v>
      </c>
      <c r="Q213" s="16" t="str">
        <f>IF(Table1[[#This Row],[stock_quantity]]=0,"NO STOCK",
IF(Table1[[#This Row],[stock_quantity]]&lt;=10,"LOW STOCK",
"IN STOCK"))</f>
        <v>IN STOCK</v>
      </c>
      <c r="R213" s="1">
        <f t="shared" si="14"/>
        <v>1.5</v>
      </c>
      <c r="S213">
        <v>1.5</v>
      </c>
      <c r="T213" t="b">
        <v>0</v>
      </c>
      <c r="U213" t="str">
        <f t="shared" si="15"/>
        <v>No Return</v>
      </c>
    </row>
    <row r="214" spans="1:22" hidden="1" x14ac:dyDescent="0.3">
      <c r="A214" t="s">
        <v>267</v>
      </c>
      <c r="B214" t="s">
        <v>21</v>
      </c>
      <c r="C214" t="s">
        <v>22</v>
      </c>
      <c r="D214" t="s">
        <v>17</v>
      </c>
      <c r="E214" t="str">
        <f t="shared" si="12"/>
        <v>XXL</v>
      </c>
      <c r="F214" t="s">
        <v>24</v>
      </c>
      <c r="G214" t="s">
        <v>44</v>
      </c>
      <c r="H214" s="8">
        <v>99.71</v>
      </c>
      <c r="I214" s="3">
        <f t="shared" si="13"/>
        <v>0</v>
      </c>
      <c r="J214" s="4">
        <v>0</v>
      </c>
      <c r="K214" s="11">
        <f>Table1[[#This Row],[original_price]]* (Table1[[#This Row],[Markdown percentage updated]])</f>
        <v>0</v>
      </c>
      <c r="L2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4" s="6">
        <v>99.71</v>
      </c>
      <c r="N2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4" s="7">
        <v>45525</v>
      </c>
      <c r="P214">
        <v>23</v>
      </c>
      <c r="Q214" s="16" t="str">
        <f>IF(Table1[[#This Row],[stock_quantity]]=0,"NO STOCK",
IF(Table1[[#This Row],[stock_quantity]]&lt;=10,"LOW STOCK",
"IN STOCK"))</f>
        <v>IN STOCK</v>
      </c>
      <c r="R214" s="1">
        <f t="shared" si="14"/>
        <v>1.4</v>
      </c>
      <c r="S214">
        <v>1.4</v>
      </c>
      <c r="T214" t="b">
        <v>0</v>
      </c>
      <c r="U214" t="str">
        <f t="shared" si="15"/>
        <v>No Return</v>
      </c>
    </row>
    <row r="215" spans="1:22" x14ac:dyDescent="0.3">
      <c r="A215" t="s">
        <v>268</v>
      </c>
      <c r="B215" t="s">
        <v>27</v>
      </c>
      <c r="C215" t="s">
        <v>32</v>
      </c>
      <c r="D215" t="s">
        <v>34</v>
      </c>
      <c r="E215" t="str">
        <f t="shared" si="12"/>
        <v>XL</v>
      </c>
      <c r="G215" t="s">
        <v>28</v>
      </c>
      <c r="H215" s="8">
        <v>69.739999999999995</v>
      </c>
      <c r="I215" s="3">
        <f t="shared" si="13"/>
        <v>0</v>
      </c>
      <c r="J215" s="4">
        <v>0</v>
      </c>
      <c r="K215" s="11">
        <f>Table1[[#This Row],[original_price]]* (Table1[[#This Row],[Markdown percentage updated]])</f>
        <v>0</v>
      </c>
      <c r="L2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5" s="6">
        <v>69.739999999999995</v>
      </c>
      <c r="N2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5" s="7">
        <v>45875</v>
      </c>
      <c r="P215">
        <v>11</v>
      </c>
      <c r="Q215" s="16" t="str">
        <f>IF(Table1[[#This Row],[stock_quantity]]=0,"NO STOCK",
IF(Table1[[#This Row],[stock_quantity]]&lt;=10,"LOW STOCK",
"IN STOCK"))</f>
        <v>IN STOCK</v>
      </c>
      <c r="R215" s="1">
        <f t="shared" si="14"/>
        <v>3.3</v>
      </c>
      <c r="S215">
        <v>3.3</v>
      </c>
      <c r="T215" t="b">
        <v>1</v>
      </c>
      <c r="U215" s="13" t="str">
        <f t="shared" si="15"/>
        <v>Changed Mind</v>
      </c>
      <c r="V215" t="s">
        <v>115</v>
      </c>
    </row>
    <row r="216" spans="1:22" hidden="1" x14ac:dyDescent="0.3">
      <c r="A216" t="s">
        <v>269</v>
      </c>
      <c r="B216" t="s">
        <v>38</v>
      </c>
      <c r="C216" t="s">
        <v>48</v>
      </c>
      <c r="D216" t="s">
        <v>62</v>
      </c>
      <c r="E216" t="str">
        <f t="shared" si="12"/>
        <v>XXL</v>
      </c>
      <c r="F216" t="s">
        <v>49</v>
      </c>
      <c r="G216" t="s">
        <v>46</v>
      </c>
      <c r="H216" s="8">
        <v>57.19</v>
      </c>
      <c r="I216" s="3">
        <f t="shared" si="13"/>
        <v>0</v>
      </c>
      <c r="J216" s="4">
        <v>0</v>
      </c>
      <c r="K216" s="11">
        <f>Table1[[#This Row],[original_price]]* (Table1[[#This Row],[Markdown percentage updated]])</f>
        <v>0</v>
      </c>
      <c r="L2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6" s="6">
        <v>57.19</v>
      </c>
      <c r="N2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6" s="7">
        <v>45875</v>
      </c>
      <c r="P216">
        <v>12</v>
      </c>
      <c r="Q216" s="16" t="str">
        <f>IF(Table1[[#This Row],[stock_quantity]]=0,"NO STOCK",
IF(Table1[[#This Row],[stock_quantity]]&lt;=10,"LOW STOCK",
"IN STOCK"))</f>
        <v>IN STOCK</v>
      </c>
      <c r="R216" s="1">
        <f t="shared" si="14"/>
        <v>2.5</v>
      </c>
      <c r="S216">
        <v>2.5</v>
      </c>
      <c r="T216" t="b">
        <v>0</v>
      </c>
      <c r="U216" t="str">
        <f t="shared" si="15"/>
        <v>No Return</v>
      </c>
    </row>
    <row r="217" spans="1:22" hidden="1" x14ac:dyDescent="0.3">
      <c r="A217" t="s">
        <v>270</v>
      </c>
      <c r="B217" t="s">
        <v>21</v>
      </c>
      <c r="C217" t="s">
        <v>48</v>
      </c>
      <c r="D217" t="s">
        <v>62</v>
      </c>
      <c r="E217" t="str">
        <f t="shared" si="12"/>
        <v>S</v>
      </c>
      <c r="F217" t="s">
        <v>49</v>
      </c>
      <c r="G217" t="s">
        <v>19</v>
      </c>
      <c r="H217" s="8">
        <v>58.65</v>
      </c>
      <c r="I217" s="3">
        <f t="shared" si="13"/>
        <v>0</v>
      </c>
      <c r="J217" s="4">
        <v>0</v>
      </c>
      <c r="K217" s="11">
        <f>Table1[[#This Row],[original_price]]* (Table1[[#This Row],[Markdown percentage updated]])</f>
        <v>0</v>
      </c>
      <c r="L2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7" s="6">
        <v>58.65</v>
      </c>
      <c r="N2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7" s="7">
        <v>45875</v>
      </c>
      <c r="P217">
        <v>4</v>
      </c>
      <c r="Q217" s="17" t="str">
        <f>IF(Table1[[#This Row],[stock_quantity]]=0,"NO STOCK",
IF(Table1[[#This Row],[stock_quantity]]&lt;=10,"LOW STOCK",
"IN STOCK"))</f>
        <v>LOW STOCK</v>
      </c>
      <c r="R217" s="1">
        <f t="shared" si="14"/>
        <v>1.1000000000000001</v>
      </c>
      <c r="S217">
        <v>1.1000000000000001</v>
      </c>
      <c r="T217" t="b">
        <v>0</v>
      </c>
      <c r="U217" t="str">
        <f t="shared" si="15"/>
        <v>No Return</v>
      </c>
    </row>
    <row r="218" spans="1:22" hidden="1" x14ac:dyDescent="0.3">
      <c r="A218" t="s">
        <v>271</v>
      </c>
      <c r="B218" t="s">
        <v>15</v>
      </c>
      <c r="C218" t="s">
        <v>22</v>
      </c>
      <c r="D218" t="s">
        <v>34</v>
      </c>
      <c r="E218" t="str">
        <f t="shared" si="12"/>
        <v>XXL</v>
      </c>
      <c r="F218" t="s">
        <v>18</v>
      </c>
      <c r="G218" t="s">
        <v>25</v>
      </c>
      <c r="H218" s="8">
        <v>110.22</v>
      </c>
      <c r="I218" s="3">
        <f t="shared" si="13"/>
        <v>0</v>
      </c>
      <c r="J218" s="4">
        <v>0</v>
      </c>
      <c r="K218" s="11">
        <f>Table1[[#This Row],[original_price]]* (Table1[[#This Row],[Markdown percentage updated]])</f>
        <v>0</v>
      </c>
      <c r="L2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8" s="6">
        <v>110.22</v>
      </c>
      <c r="N2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8" s="7">
        <v>45875</v>
      </c>
      <c r="P218">
        <v>4</v>
      </c>
      <c r="Q218" s="17" t="str">
        <f>IF(Table1[[#This Row],[stock_quantity]]=0,"NO STOCK",
IF(Table1[[#This Row],[stock_quantity]]&lt;=10,"LOW STOCK",
"IN STOCK"))</f>
        <v>LOW STOCK</v>
      </c>
      <c r="R218" s="1">
        <f t="shared" si="14"/>
        <v>1.6</v>
      </c>
      <c r="S218">
        <v>1.6</v>
      </c>
      <c r="T218" t="b">
        <v>0</v>
      </c>
      <c r="U218" t="str">
        <f t="shared" si="15"/>
        <v>No Return</v>
      </c>
    </row>
    <row r="219" spans="1:22" hidden="1" x14ac:dyDescent="0.3">
      <c r="A219" t="s">
        <v>272</v>
      </c>
      <c r="B219" t="s">
        <v>21</v>
      </c>
      <c r="C219" t="s">
        <v>16</v>
      </c>
      <c r="D219" t="s">
        <v>62</v>
      </c>
      <c r="E219" t="str">
        <f t="shared" si="12"/>
        <v>XS</v>
      </c>
      <c r="F219" t="s">
        <v>49</v>
      </c>
      <c r="G219" t="s">
        <v>25</v>
      </c>
      <c r="H219" s="8">
        <v>69.36</v>
      </c>
      <c r="I219" s="3">
        <f t="shared" si="13"/>
        <v>0</v>
      </c>
      <c r="J219" s="4">
        <v>0</v>
      </c>
      <c r="K219" s="11">
        <f>Table1[[#This Row],[original_price]]* (Table1[[#This Row],[Markdown percentage updated]])</f>
        <v>0</v>
      </c>
      <c r="L2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9" s="6">
        <v>69.36</v>
      </c>
      <c r="N2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9" s="7">
        <v>45875</v>
      </c>
      <c r="P219">
        <v>25</v>
      </c>
      <c r="Q219" s="16" t="str">
        <f>IF(Table1[[#This Row],[stock_quantity]]=0,"NO STOCK",
IF(Table1[[#This Row],[stock_quantity]]&lt;=10,"LOW STOCK",
"IN STOCK"))</f>
        <v>IN STOCK</v>
      </c>
      <c r="R219" s="1">
        <f t="shared" si="14"/>
        <v>0</v>
      </c>
      <c r="T219" t="b">
        <v>0</v>
      </c>
      <c r="U219" t="str">
        <f t="shared" si="15"/>
        <v>No Return</v>
      </c>
    </row>
    <row r="220" spans="1:22" hidden="1" x14ac:dyDescent="0.3">
      <c r="A220" t="s">
        <v>273</v>
      </c>
      <c r="B220" t="s">
        <v>38</v>
      </c>
      <c r="C220" t="s">
        <v>16</v>
      </c>
      <c r="D220" t="s">
        <v>23</v>
      </c>
      <c r="E220" t="str">
        <f t="shared" si="12"/>
        <v>XXL</v>
      </c>
      <c r="F220" t="s">
        <v>39</v>
      </c>
      <c r="G220" t="s">
        <v>28</v>
      </c>
      <c r="H220" s="8">
        <v>87.03</v>
      </c>
      <c r="I220" s="3">
        <f t="shared" si="13"/>
        <v>0</v>
      </c>
      <c r="J220" s="4">
        <v>0</v>
      </c>
      <c r="K220" s="11">
        <f>Table1[[#This Row],[original_price]]* (Table1[[#This Row],[Markdown percentage updated]])</f>
        <v>0</v>
      </c>
      <c r="L2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20" s="6">
        <v>87.03</v>
      </c>
      <c r="N2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20" s="7">
        <v>45875</v>
      </c>
      <c r="P220">
        <v>39</v>
      </c>
      <c r="Q220" s="16" t="str">
        <f>IF(Table1[[#This Row],[stock_quantity]]=0,"NO STOCK",
IF(Table1[[#This Row],[stock_quantity]]&lt;=10,"LOW STOCK",
"IN STOCK"))</f>
        <v>IN STOCK</v>
      </c>
      <c r="R220" s="1">
        <f t="shared" si="14"/>
        <v>4.3</v>
      </c>
      <c r="S220">
        <v>4.3</v>
      </c>
      <c r="T220" t="b">
        <v>0</v>
      </c>
      <c r="U220" t="str">
        <f t="shared" si="15"/>
        <v>No Return</v>
      </c>
    </row>
    <row r="221" spans="1:22" hidden="1" x14ac:dyDescent="0.3">
      <c r="A221" t="s">
        <v>274</v>
      </c>
      <c r="B221" t="s">
        <v>42</v>
      </c>
      <c r="C221" t="s">
        <v>16</v>
      </c>
      <c r="D221" t="s">
        <v>23</v>
      </c>
      <c r="E221" t="str">
        <f t="shared" si="12"/>
        <v>XL</v>
      </c>
      <c r="F221" t="s">
        <v>49</v>
      </c>
      <c r="G221" t="s">
        <v>70</v>
      </c>
      <c r="H221" s="8">
        <v>160.6</v>
      </c>
      <c r="I221" s="3">
        <f t="shared" si="13"/>
        <v>0.184</v>
      </c>
      <c r="J221" s="4">
        <v>18.399999999999999</v>
      </c>
      <c r="K221" s="11">
        <f>Table1[[#This Row],[original_price]]* (Table1[[#This Row],[Markdown percentage updated]])</f>
        <v>29.5504</v>
      </c>
      <c r="L2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21" s="6">
        <v>131.05000000000001</v>
      </c>
      <c r="N2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21" s="7">
        <v>45875</v>
      </c>
      <c r="P221">
        <v>41</v>
      </c>
      <c r="Q221" s="16" t="str">
        <f>IF(Table1[[#This Row],[stock_quantity]]=0,"NO STOCK",
IF(Table1[[#This Row],[stock_quantity]]&lt;=10,"LOW STOCK",
"IN STOCK"))</f>
        <v>IN STOCK</v>
      </c>
      <c r="R221" s="1">
        <f t="shared" si="14"/>
        <v>3</v>
      </c>
      <c r="S221">
        <v>3</v>
      </c>
      <c r="T221" t="b">
        <v>0</v>
      </c>
      <c r="U221" t="str">
        <f t="shared" si="15"/>
        <v>No Return</v>
      </c>
    </row>
    <row r="222" spans="1:22" hidden="1" x14ac:dyDescent="0.3">
      <c r="A222" t="s">
        <v>275</v>
      </c>
      <c r="B222" t="s">
        <v>15</v>
      </c>
      <c r="C222" t="s">
        <v>48</v>
      </c>
      <c r="D222" t="s">
        <v>17</v>
      </c>
      <c r="E222" t="str">
        <f t="shared" si="12"/>
        <v>S</v>
      </c>
      <c r="F222" t="s">
        <v>55</v>
      </c>
      <c r="G222" t="s">
        <v>66</v>
      </c>
      <c r="H222" s="8">
        <v>167.02</v>
      </c>
      <c r="I222" s="3">
        <f t="shared" si="13"/>
        <v>0</v>
      </c>
      <c r="J222" s="4">
        <v>0</v>
      </c>
      <c r="K222" s="11">
        <f>Table1[[#This Row],[original_price]]* (Table1[[#This Row],[Markdown percentage updated]])</f>
        <v>0</v>
      </c>
      <c r="L2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22" s="6">
        <v>167.02</v>
      </c>
      <c r="N2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22" s="7">
        <v>45687</v>
      </c>
      <c r="P222">
        <v>26</v>
      </c>
      <c r="Q222" s="16" t="str">
        <f>IF(Table1[[#This Row],[stock_quantity]]=0,"NO STOCK",
IF(Table1[[#This Row],[stock_quantity]]&lt;=10,"LOW STOCK",
"IN STOCK"))</f>
        <v>IN STOCK</v>
      </c>
      <c r="R222" s="1">
        <f t="shared" si="14"/>
        <v>2.6</v>
      </c>
      <c r="S222">
        <v>2.6</v>
      </c>
      <c r="T222" t="b">
        <v>1</v>
      </c>
      <c r="U222" s="13" t="str">
        <f t="shared" si="15"/>
        <v>Size Issue</v>
      </c>
      <c r="V222" t="s">
        <v>73</v>
      </c>
    </row>
    <row r="223" spans="1:22" hidden="1" x14ac:dyDescent="0.3">
      <c r="A223" t="s">
        <v>276</v>
      </c>
      <c r="B223" t="s">
        <v>21</v>
      </c>
      <c r="C223" t="s">
        <v>16</v>
      </c>
      <c r="D223" t="s">
        <v>62</v>
      </c>
      <c r="E223" t="str">
        <f t="shared" si="12"/>
        <v>XL</v>
      </c>
      <c r="F223" t="s">
        <v>49</v>
      </c>
      <c r="G223" t="s">
        <v>40</v>
      </c>
      <c r="H223" s="8">
        <v>26.09</v>
      </c>
      <c r="I223" s="3">
        <f t="shared" si="13"/>
        <v>0</v>
      </c>
      <c r="J223" s="4">
        <v>0</v>
      </c>
      <c r="K223" s="11">
        <f>Table1[[#This Row],[original_price]]* (Table1[[#This Row],[Markdown percentage updated]])</f>
        <v>0</v>
      </c>
      <c r="L2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23" s="6">
        <v>26.09</v>
      </c>
      <c r="N2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23" s="7">
        <v>45875</v>
      </c>
      <c r="P223">
        <v>32</v>
      </c>
      <c r="Q223" s="16" t="str">
        <f>IF(Table1[[#This Row],[stock_quantity]]=0,"NO STOCK",
IF(Table1[[#This Row],[stock_quantity]]&lt;=10,"LOW STOCK",
"IN STOCK"))</f>
        <v>IN STOCK</v>
      </c>
      <c r="R223" s="1">
        <f t="shared" si="14"/>
        <v>4.5999999999999996</v>
      </c>
      <c r="S223">
        <v>4.5999999999999996</v>
      </c>
      <c r="T223" t="b">
        <v>1</v>
      </c>
      <c r="U223" s="13" t="str">
        <f t="shared" si="15"/>
        <v>Damaged</v>
      </c>
      <c r="V223" t="s">
        <v>78</v>
      </c>
    </row>
    <row r="224" spans="1:22" hidden="1" x14ac:dyDescent="0.3">
      <c r="A224" t="s">
        <v>277</v>
      </c>
      <c r="B224" t="s">
        <v>15</v>
      </c>
      <c r="C224" t="s">
        <v>48</v>
      </c>
      <c r="D224" t="s">
        <v>62</v>
      </c>
      <c r="E224" t="str">
        <f t="shared" si="12"/>
        <v>XXL</v>
      </c>
      <c r="F224" t="s">
        <v>18</v>
      </c>
      <c r="G224" t="s">
        <v>70</v>
      </c>
      <c r="H224" s="8">
        <v>246.65</v>
      </c>
      <c r="I224" s="3">
        <f t="shared" si="13"/>
        <v>0</v>
      </c>
      <c r="J224" s="4">
        <v>0</v>
      </c>
      <c r="K224" s="11">
        <f>Table1[[#This Row],[original_price]]* (Table1[[#This Row],[Markdown percentage updated]])</f>
        <v>0</v>
      </c>
      <c r="L2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24" s="6">
        <v>246.65</v>
      </c>
      <c r="N2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24" s="7">
        <v>45875</v>
      </c>
      <c r="P224">
        <v>17</v>
      </c>
      <c r="Q224" s="16" t="str">
        <f>IF(Table1[[#This Row],[stock_quantity]]=0,"NO STOCK",
IF(Table1[[#This Row],[stock_quantity]]&lt;=10,"LOW STOCK",
"IN STOCK"))</f>
        <v>IN STOCK</v>
      </c>
      <c r="R224" s="1">
        <f t="shared" si="14"/>
        <v>2.9</v>
      </c>
      <c r="S224">
        <v>2.9</v>
      </c>
      <c r="T224" t="b">
        <v>1</v>
      </c>
      <c r="U224" s="13" t="str">
        <f t="shared" si="15"/>
        <v>Damaged</v>
      </c>
      <c r="V224" t="s">
        <v>78</v>
      </c>
    </row>
    <row r="225" spans="1:22" hidden="1" x14ac:dyDescent="0.3">
      <c r="A225" t="s">
        <v>278</v>
      </c>
      <c r="B225" t="s">
        <v>15</v>
      </c>
      <c r="C225" t="s">
        <v>75</v>
      </c>
      <c r="D225" t="s">
        <v>62</v>
      </c>
      <c r="E225" t="str">
        <f t="shared" si="12"/>
        <v>XXL</v>
      </c>
      <c r="F225" t="s">
        <v>39</v>
      </c>
      <c r="G225" t="s">
        <v>19</v>
      </c>
      <c r="H225" s="8">
        <v>206.91</v>
      </c>
      <c r="I225" s="3">
        <f t="shared" si="13"/>
        <v>0</v>
      </c>
      <c r="J225" s="4">
        <v>0</v>
      </c>
      <c r="K225" s="11">
        <f>Table1[[#This Row],[original_price]]* (Table1[[#This Row],[Markdown percentage updated]])</f>
        <v>0</v>
      </c>
      <c r="L2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25" s="6">
        <v>206.91</v>
      </c>
      <c r="N2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25" s="7">
        <v>45875</v>
      </c>
      <c r="P225">
        <v>34</v>
      </c>
      <c r="Q225" s="16" t="str">
        <f>IF(Table1[[#This Row],[stock_quantity]]=0,"NO STOCK",
IF(Table1[[#This Row],[stock_quantity]]&lt;=10,"LOW STOCK",
"IN STOCK"))</f>
        <v>IN STOCK</v>
      </c>
      <c r="R225" s="1">
        <f t="shared" si="14"/>
        <v>2.2999999999999998</v>
      </c>
      <c r="S225">
        <v>2.2999999999999998</v>
      </c>
      <c r="T225" t="b">
        <v>0</v>
      </c>
      <c r="U225" t="str">
        <f t="shared" si="15"/>
        <v>No Return</v>
      </c>
    </row>
    <row r="226" spans="1:22" hidden="1" x14ac:dyDescent="0.3">
      <c r="A226" t="s">
        <v>279</v>
      </c>
      <c r="B226" t="s">
        <v>42</v>
      </c>
      <c r="C226" t="s">
        <v>61</v>
      </c>
      <c r="D226" t="s">
        <v>23</v>
      </c>
      <c r="E226" t="str">
        <f t="shared" si="12"/>
        <v>XS</v>
      </c>
      <c r="F226" t="s">
        <v>18</v>
      </c>
      <c r="G226" t="s">
        <v>28</v>
      </c>
      <c r="H226" s="8">
        <v>85.08</v>
      </c>
      <c r="I226" s="3">
        <f t="shared" si="13"/>
        <v>0</v>
      </c>
      <c r="J226" s="4">
        <v>0</v>
      </c>
      <c r="K226" s="11">
        <f>Table1[[#This Row],[original_price]]* (Table1[[#This Row],[Markdown percentage updated]])</f>
        <v>0</v>
      </c>
      <c r="L2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26" s="6">
        <v>85.08</v>
      </c>
      <c r="N2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26" s="7">
        <v>45875</v>
      </c>
      <c r="P226">
        <v>29</v>
      </c>
      <c r="Q226" s="16" t="str">
        <f>IF(Table1[[#This Row],[stock_quantity]]=0,"NO STOCK",
IF(Table1[[#This Row],[stock_quantity]]&lt;=10,"LOW STOCK",
"IN STOCK"))</f>
        <v>IN STOCK</v>
      </c>
      <c r="R226" s="1">
        <f t="shared" si="14"/>
        <v>0</v>
      </c>
      <c r="T226" t="b">
        <v>0</v>
      </c>
      <c r="U226" t="str">
        <f t="shared" si="15"/>
        <v>No Return</v>
      </c>
    </row>
    <row r="227" spans="1:22" hidden="1" x14ac:dyDescent="0.3">
      <c r="A227" t="s">
        <v>280</v>
      </c>
      <c r="B227" t="s">
        <v>15</v>
      </c>
      <c r="C227" t="s">
        <v>75</v>
      </c>
      <c r="D227" t="s">
        <v>17</v>
      </c>
      <c r="E227" t="str">
        <f t="shared" si="12"/>
        <v>S</v>
      </c>
      <c r="F227" t="s">
        <v>49</v>
      </c>
      <c r="G227" t="s">
        <v>35</v>
      </c>
      <c r="H227" s="8">
        <v>240.32</v>
      </c>
      <c r="I227" s="3">
        <f t="shared" si="13"/>
        <v>0.54799999999999993</v>
      </c>
      <c r="J227" s="4">
        <v>54.8</v>
      </c>
      <c r="K227" s="11">
        <f>Table1[[#This Row],[original_price]]* (Table1[[#This Row],[Markdown percentage updated]])</f>
        <v>131.69535999999999</v>
      </c>
      <c r="L2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27" s="6">
        <v>108.62</v>
      </c>
      <c r="N2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27" s="7">
        <v>45653</v>
      </c>
      <c r="P227">
        <v>3</v>
      </c>
      <c r="Q227" s="17" t="str">
        <f>IF(Table1[[#This Row],[stock_quantity]]=0,"NO STOCK",
IF(Table1[[#This Row],[stock_quantity]]&lt;=10,"LOW STOCK",
"IN STOCK"))</f>
        <v>LOW STOCK</v>
      </c>
      <c r="R227" s="1">
        <f t="shared" si="14"/>
        <v>4.5</v>
      </c>
      <c r="S227">
        <v>4.5</v>
      </c>
      <c r="T227" t="b">
        <v>0</v>
      </c>
      <c r="U227" t="str">
        <f t="shared" si="15"/>
        <v>No Return</v>
      </c>
    </row>
    <row r="228" spans="1:22" hidden="1" x14ac:dyDescent="0.3">
      <c r="A228" t="s">
        <v>281</v>
      </c>
      <c r="B228" t="s">
        <v>42</v>
      </c>
      <c r="C228" t="s">
        <v>22</v>
      </c>
      <c r="D228" t="s">
        <v>34</v>
      </c>
      <c r="E228" t="str">
        <f t="shared" si="12"/>
        <v>OS</v>
      </c>
      <c r="F228" t="s">
        <v>49</v>
      </c>
      <c r="G228" t="s">
        <v>19</v>
      </c>
      <c r="H228" s="8">
        <v>130.12</v>
      </c>
      <c r="I228" s="3">
        <f t="shared" si="13"/>
        <v>1.3999999999999999E-2</v>
      </c>
      <c r="J228" s="4">
        <v>1.4</v>
      </c>
      <c r="K228" s="11">
        <f>Table1[[#This Row],[original_price]]* (Table1[[#This Row],[Markdown percentage updated]])</f>
        <v>1.82168</v>
      </c>
      <c r="L2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28" s="6">
        <v>128.30000000000001</v>
      </c>
      <c r="N2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28" s="7">
        <v>45875</v>
      </c>
      <c r="P228">
        <v>0</v>
      </c>
      <c r="Q228" s="13" t="str">
        <f>IF(Table1[[#This Row],[stock_quantity]]=0,"NO STOCK",
IF(Table1[[#This Row],[stock_quantity]]&lt;=10,"LOW STOCK",
"IN STOCK"))</f>
        <v>NO STOCK</v>
      </c>
      <c r="R228" s="1">
        <f t="shared" si="14"/>
        <v>5</v>
      </c>
      <c r="S228">
        <v>5</v>
      </c>
      <c r="T228" t="b">
        <v>0</v>
      </c>
      <c r="U228" t="str">
        <f t="shared" si="15"/>
        <v>No Return</v>
      </c>
    </row>
    <row r="229" spans="1:22" hidden="1" x14ac:dyDescent="0.3">
      <c r="A229" t="s">
        <v>282</v>
      </c>
      <c r="B229" t="s">
        <v>38</v>
      </c>
      <c r="C229" t="s">
        <v>48</v>
      </c>
      <c r="D229" t="s">
        <v>17</v>
      </c>
      <c r="E229" t="str">
        <f t="shared" si="12"/>
        <v>S</v>
      </c>
      <c r="F229" t="s">
        <v>55</v>
      </c>
      <c r="G229" t="s">
        <v>28</v>
      </c>
      <c r="H229" s="8">
        <v>42.29</v>
      </c>
      <c r="I229" s="3">
        <f t="shared" si="13"/>
        <v>0.158</v>
      </c>
      <c r="J229" s="4">
        <v>15.8</v>
      </c>
      <c r="K229" s="11">
        <f>Table1[[#This Row],[original_price]]* (Table1[[#This Row],[Markdown percentage updated]])</f>
        <v>6.6818200000000001</v>
      </c>
      <c r="L2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29" s="6">
        <v>35.61</v>
      </c>
      <c r="N2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29" s="7">
        <v>45598</v>
      </c>
      <c r="P229">
        <v>11</v>
      </c>
      <c r="Q229" s="16" t="str">
        <f>IF(Table1[[#This Row],[stock_quantity]]=0,"NO STOCK",
IF(Table1[[#This Row],[stock_quantity]]&lt;=10,"LOW STOCK",
"IN STOCK"))</f>
        <v>IN STOCK</v>
      </c>
      <c r="R229" s="1">
        <f t="shared" si="14"/>
        <v>1.6</v>
      </c>
      <c r="S229">
        <v>1.6</v>
      </c>
      <c r="T229" t="b">
        <v>0</v>
      </c>
      <c r="U229" t="str">
        <f t="shared" si="15"/>
        <v>No Return</v>
      </c>
    </row>
    <row r="230" spans="1:22" hidden="1" x14ac:dyDescent="0.3">
      <c r="A230" t="s">
        <v>283</v>
      </c>
      <c r="B230" t="s">
        <v>15</v>
      </c>
      <c r="C230" t="s">
        <v>48</v>
      </c>
      <c r="D230" t="s">
        <v>17</v>
      </c>
      <c r="E230" t="str">
        <f t="shared" si="12"/>
        <v>OS</v>
      </c>
      <c r="F230" t="s">
        <v>39</v>
      </c>
      <c r="G230" t="s">
        <v>56</v>
      </c>
      <c r="H230" s="8">
        <v>191.54</v>
      </c>
      <c r="I230" s="3">
        <f t="shared" si="13"/>
        <v>0</v>
      </c>
      <c r="J230" s="4">
        <v>0</v>
      </c>
      <c r="K230" s="11">
        <f>Table1[[#This Row],[original_price]]* (Table1[[#This Row],[Markdown percentage updated]])</f>
        <v>0</v>
      </c>
      <c r="L2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30" s="6">
        <v>191.54</v>
      </c>
      <c r="N2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30" s="7">
        <v>45575</v>
      </c>
      <c r="P230">
        <v>18</v>
      </c>
      <c r="Q230" s="16" t="str">
        <f>IF(Table1[[#This Row],[stock_quantity]]=0,"NO STOCK",
IF(Table1[[#This Row],[stock_quantity]]&lt;=10,"LOW STOCK",
"IN STOCK"))</f>
        <v>IN STOCK</v>
      </c>
      <c r="R230" s="1">
        <f t="shared" si="14"/>
        <v>1.2</v>
      </c>
      <c r="S230">
        <v>1.2</v>
      </c>
      <c r="T230" t="b">
        <v>0</v>
      </c>
      <c r="U230" t="str">
        <f t="shared" si="15"/>
        <v>No Return</v>
      </c>
    </row>
    <row r="231" spans="1:22" hidden="1" x14ac:dyDescent="0.3">
      <c r="A231" t="s">
        <v>284</v>
      </c>
      <c r="B231" t="s">
        <v>27</v>
      </c>
      <c r="C231" t="s">
        <v>53</v>
      </c>
      <c r="D231" t="s">
        <v>17</v>
      </c>
      <c r="E231" t="str">
        <f t="shared" si="12"/>
        <v>OS</v>
      </c>
      <c r="G231" t="s">
        <v>56</v>
      </c>
      <c r="H231" s="8">
        <v>42.23</v>
      </c>
      <c r="I231" s="3">
        <f t="shared" si="13"/>
        <v>0</v>
      </c>
      <c r="J231" s="4">
        <v>0</v>
      </c>
      <c r="K231" s="11">
        <f>Table1[[#This Row],[original_price]]* (Table1[[#This Row],[Markdown percentage updated]])</f>
        <v>0</v>
      </c>
      <c r="L2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31" s="6">
        <v>42.23</v>
      </c>
      <c r="N2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31" s="7">
        <v>45852</v>
      </c>
      <c r="P231">
        <v>15</v>
      </c>
      <c r="Q231" s="16" t="str">
        <f>IF(Table1[[#This Row],[stock_quantity]]=0,"NO STOCK",
IF(Table1[[#This Row],[stock_quantity]]&lt;=10,"LOW STOCK",
"IN STOCK"))</f>
        <v>IN STOCK</v>
      </c>
      <c r="R231" s="1">
        <f t="shared" si="14"/>
        <v>0</v>
      </c>
      <c r="T231" t="b">
        <v>0</v>
      </c>
      <c r="U231" t="str">
        <f t="shared" si="15"/>
        <v>No Return</v>
      </c>
    </row>
    <row r="232" spans="1:22" hidden="1" x14ac:dyDescent="0.3">
      <c r="A232" t="s">
        <v>285</v>
      </c>
      <c r="B232" t="s">
        <v>30</v>
      </c>
      <c r="C232" t="s">
        <v>48</v>
      </c>
      <c r="D232" t="s">
        <v>62</v>
      </c>
      <c r="E232" t="str">
        <f t="shared" si="12"/>
        <v>OS</v>
      </c>
      <c r="F232" t="s">
        <v>39</v>
      </c>
      <c r="G232" t="s">
        <v>40</v>
      </c>
      <c r="H232" s="8">
        <v>109.76</v>
      </c>
      <c r="I232" s="3">
        <f t="shared" si="13"/>
        <v>0</v>
      </c>
      <c r="J232" s="4">
        <v>0</v>
      </c>
      <c r="K232" s="11">
        <f>Table1[[#This Row],[original_price]]* (Table1[[#This Row],[Markdown percentage updated]])</f>
        <v>0</v>
      </c>
      <c r="L2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32" s="6">
        <v>109.76</v>
      </c>
      <c r="N2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32" s="7">
        <v>45875</v>
      </c>
      <c r="P232">
        <v>16</v>
      </c>
      <c r="Q232" s="16" t="str">
        <f>IF(Table1[[#This Row],[stock_quantity]]=0,"NO STOCK",
IF(Table1[[#This Row],[stock_quantity]]&lt;=10,"LOW STOCK",
"IN STOCK"))</f>
        <v>IN STOCK</v>
      </c>
      <c r="R232" s="1">
        <f t="shared" si="14"/>
        <v>4.3</v>
      </c>
      <c r="S232">
        <v>4.3</v>
      </c>
      <c r="T232" t="b">
        <v>0</v>
      </c>
      <c r="U232" t="str">
        <f t="shared" si="15"/>
        <v>No Return</v>
      </c>
    </row>
    <row r="233" spans="1:22" hidden="1" x14ac:dyDescent="0.3">
      <c r="A233" t="s">
        <v>286</v>
      </c>
      <c r="B233" t="s">
        <v>27</v>
      </c>
      <c r="C233" t="s">
        <v>43</v>
      </c>
      <c r="D233" t="s">
        <v>62</v>
      </c>
      <c r="E233" t="str">
        <f t="shared" si="12"/>
        <v>S</v>
      </c>
      <c r="G233" t="s">
        <v>19</v>
      </c>
      <c r="H233" s="8">
        <v>76.8</v>
      </c>
      <c r="I233" s="3">
        <f t="shared" si="13"/>
        <v>0.433</v>
      </c>
      <c r="J233" s="4">
        <v>43.3</v>
      </c>
      <c r="K233" s="11">
        <f>Table1[[#This Row],[original_price]]* (Table1[[#This Row],[Markdown percentage updated]])</f>
        <v>33.254399999999997</v>
      </c>
      <c r="L2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33" s="6">
        <v>43.55</v>
      </c>
      <c r="N2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33" s="7">
        <v>45875</v>
      </c>
      <c r="P233">
        <v>24</v>
      </c>
      <c r="Q233" s="16" t="str">
        <f>IF(Table1[[#This Row],[stock_quantity]]=0,"NO STOCK",
IF(Table1[[#This Row],[stock_quantity]]&lt;=10,"LOW STOCK",
"IN STOCK"))</f>
        <v>IN STOCK</v>
      </c>
      <c r="R233" s="1">
        <f t="shared" si="14"/>
        <v>0</v>
      </c>
      <c r="T233" t="b">
        <v>0</v>
      </c>
      <c r="U233" t="str">
        <f t="shared" si="15"/>
        <v>No Return</v>
      </c>
    </row>
    <row r="234" spans="1:22" hidden="1" x14ac:dyDescent="0.3">
      <c r="A234" t="s">
        <v>287</v>
      </c>
      <c r="B234" t="s">
        <v>42</v>
      </c>
      <c r="C234" t="s">
        <v>75</v>
      </c>
      <c r="D234" t="s">
        <v>23</v>
      </c>
      <c r="E234" t="str">
        <f t="shared" si="12"/>
        <v>XXL</v>
      </c>
      <c r="G234" t="s">
        <v>28</v>
      </c>
      <c r="H234" s="8">
        <v>56.34</v>
      </c>
      <c r="I234" s="3">
        <f t="shared" si="13"/>
        <v>0.22399999999999998</v>
      </c>
      <c r="J234" s="4">
        <v>22.4</v>
      </c>
      <c r="K234" s="11">
        <f>Table1[[#This Row],[original_price]]* (Table1[[#This Row],[Markdown percentage updated]])</f>
        <v>12.62016</v>
      </c>
      <c r="L2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34" s="6">
        <v>43.72</v>
      </c>
      <c r="N2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34" s="7">
        <v>45875</v>
      </c>
      <c r="P234">
        <v>37</v>
      </c>
      <c r="Q234" s="16" t="str">
        <f>IF(Table1[[#This Row],[stock_quantity]]=0,"NO STOCK",
IF(Table1[[#This Row],[stock_quantity]]&lt;=10,"LOW STOCK",
"IN STOCK"))</f>
        <v>IN STOCK</v>
      </c>
      <c r="R234" s="1">
        <f t="shared" si="14"/>
        <v>2.5</v>
      </c>
      <c r="S234">
        <v>2.5</v>
      </c>
      <c r="T234" t="b">
        <v>1</v>
      </c>
      <c r="U234" s="13" t="str">
        <f t="shared" si="15"/>
        <v>Wrong Item</v>
      </c>
      <c r="V234" t="s">
        <v>125</v>
      </c>
    </row>
    <row r="235" spans="1:22" hidden="1" x14ac:dyDescent="0.3">
      <c r="A235" t="s">
        <v>288</v>
      </c>
      <c r="B235" t="s">
        <v>21</v>
      </c>
      <c r="C235" t="s">
        <v>61</v>
      </c>
      <c r="D235" t="s">
        <v>34</v>
      </c>
      <c r="E235" t="str">
        <f t="shared" si="12"/>
        <v>OS</v>
      </c>
      <c r="G235" t="s">
        <v>56</v>
      </c>
      <c r="H235" s="8">
        <v>88.41</v>
      </c>
      <c r="I235" s="3">
        <f t="shared" si="13"/>
        <v>0</v>
      </c>
      <c r="J235" s="4">
        <v>0</v>
      </c>
      <c r="K235" s="11">
        <f>Table1[[#This Row],[original_price]]* (Table1[[#This Row],[Markdown percentage updated]])</f>
        <v>0</v>
      </c>
      <c r="L2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35" s="6">
        <v>88.41</v>
      </c>
      <c r="N2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35" s="7">
        <v>45875</v>
      </c>
      <c r="P235">
        <v>24</v>
      </c>
      <c r="Q235" s="16" t="str">
        <f>IF(Table1[[#This Row],[stock_quantity]]=0,"NO STOCK",
IF(Table1[[#This Row],[stock_quantity]]&lt;=10,"LOW STOCK",
"IN STOCK"))</f>
        <v>IN STOCK</v>
      </c>
      <c r="R235" s="1">
        <f t="shared" si="14"/>
        <v>4.4000000000000004</v>
      </c>
      <c r="S235">
        <v>4.4000000000000004</v>
      </c>
      <c r="T235" t="b">
        <v>0</v>
      </c>
      <c r="U235" t="str">
        <f t="shared" si="15"/>
        <v>No Return</v>
      </c>
    </row>
    <row r="236" spans="1:22" hidden="1" x14ac:dyDescent="0.3">
      <c r="A236" t="s">
        <v>289</v>
      </c>
      <c r="B236" t="s">
        <v>21</v>
      </c>
      <c r="C236" t="s">
        <v>61</v>
      </c>
      <c r="D236" t="s">
        <v>17</v>
      </c>
      <c r="E236" t="str">
        <f t="shared" si="12"/>
        <v>OS</v>
      </c>
      <c r="F236" t="s">
        <v>39</v>
      </c>
      <c r="G236" t="s">
        <v>28</v>
      </c>
      <c r="H236" s="8">
        <v>25.96</v>
      </c>
      <c r="I236" s="3">
        <f t="shared" si="13"/>
        <v>0</v>
      </c>
      <c r="J236" s="4">
        <v>0</v>
      </c>
      <c r="K236" s="11">
        <f>Table1[[#This Row],[original_price]]* (Table1[[#This Row],[Markdown percentage updated]])</f>
        <v>0</v>
      </c>
      <c r="L2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36" s="6">
        <v>25.96</v>
      </c>
      <c r="N2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36" s="7">
        <v>45569</v>
      </c>
      <c r="P236">
        <v>2</v>
      </c>
      <c r="Q236" s="17" t="str">
        <f>IF(Table1[[#This Row],[stock_quantity]]=0,"NO STOCK",
IF(Table1[[#This Row],[stock_quantity]]&lt;=10,"LOW STOCK",
"IN STOCK"))</f>
        <v>LOW STOCK</v>
      </c>
      <c r="R236" s="1">
        <f t="shared" si="14"/>
        <v>1.4</v>
      </c>
      <c r="S236">
        <v>1.4</v>
      </c>
      <c r="T236" t="b">
        <v>0</v>
      </c>
      <c r="U236" t="str">
        <f t="shared" si="15"/>
        <v>No Return</v>
      </c>
    </row>
    <row r="237" spans="1:22" hidden="1" x14ac:dyDescent="0.3">
      <c r="A237" t="s">
        <v>290</v>
      </c>
      <c r="B237" t="s">
        <v>38</v>
      </c>
      <c r="C237" t="s">
        <v>16</v>
      </c>
      <c r="D237" t="s">
        <v>17</v>
      </c>
      <c r="E237" t="str">
        <f t="shared" si="12"/>
        <v>L</v>
      </c>
      <c r="F237" t="s">
        <v>49</v>
      </c>
      <c r="G237" t="s">
        <v>19</v>
      </c>
      <c r="H237" s="8">
        <v>60.25</v>
      </c>
      <c r="I237" s="3">
        <f t="shared" si="13"/>
        <v>0</v>
      </c>
      <c r="J237" s="4">
        <v>0</v>
      </c>
      <c r="K237" s="11">
        <f>Table1[[#This Row],[original_price]]* (Table1[[#This Row],[Markdown percentage updated]])</f>
        <v>0</v>
      </c>
      <c r="L2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37" s="6">
        <v>60.25</v>
      </c>
      <c r="N2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37" s="7">
        <v>45520</v>
      </c>
      <c r="P237">
        <v>25</v>
      </c>
      <c r="Q237" s="16" t="str">
        <f>IF(Table1[[#This Row],[stock_quantity]]=0,"NO STOCK",
IF(Table1[[#This Row],[stock_quantity]]&lt;=10,"LOW STOCK",
"IN STOCK"))</f>
        <v>IN STOCK</v>
      </c>
      <c r="R237" s="1">
        <f t="shared" si="14"/>
        <v>4.0999999999999996</v>
      </c>
      <c r="S237">
        <v>4.0999999999999996</v>
      </c>
      <c r="T237" t="b">
        <v>0</v>
      </c>
      <c r="U237" t="str">
        <f t="shared" si="15"/>
        <v>No Return</v>
      </c>
    </row>
    <row r="238" spans="1:22" hidden="1" x14ac:dyDescent="0.3">
      <c r="A238" t="s">
        <v>291</v>
      </c>
      <c r="B238" t="s">
        <v>27</v>
      </c>
      <c r="C238" t="s">
        <v>48</v>
      </c>
      <c r="D238" t="s">
        <v>34</v>
      </c>
      <c r="E238" t="str">
        <f t="shared" si="12"/>
        <v>OS</v>
      </c>
      <c r="G238" t="s">
        <v>19</v>
      </c>
      <c r="H238" s="8">
        <v>52.33</v>
      </c>
      <c r="I238" s="3">
        <f t="shared" si="13"/>
        <v>0.191</v>
      </c>
      <c r="J238" s="4">
        <v>19.100000000000001</v>
      </c>
      <c r="K238" s="11">
        <f>Table1[[#This Row],[original_price]]* (Table1[[#This Row],[Markdown percentage updated]])</f>
        <v>9.9950299999999999</v>
      </c>
      <c r="L2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38" s="6">
        <v>42.33</v>
      </c>
      <c r="N2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38" s="7">
        <v>45875</v>
      </c>
      <c r="P238">
        <v>4</v>
      </c>
      <c r="Q238" s="17" t="str">
        <f>IF(Table1[[#This Row],[stock_quantity]]=0,"NO STOCK",
IF(Table1[[#This Row],[stock_quantity]]&lt;=10,"LOW STOCK",
"IN STOCK"))</f>
        <v>LOW STOCK</v>
      </c>
      <c r="R238" s="1">
        <f t="shared" si="14"/>
        <v>0</v>
      </c>
      <c r="T238" t="b">
        <v>0</v>
      </c>
      <c r="U238" t="str">
        <f t="shared" si="15"/>
        <v>No Return</v>
      </c>
    </row>
    <row r="239" spans="1:22" hidden="1" x14ac:dyDescent="0.3">
      <c r="A239" t="s">
        <v>292</v>
      </c>
      <c r="B239" t="s">
        <v>27</v>
      </c>
      <c r="C239" t="s">
        <v>43</v>
      </c>
      <c r="D239" t="s">
        <v>34</v>
      </c>
      <c r="E239" t="str">
        <f t="shared" si="12"/>
        <v>XS</v>
      </c>
      <c r="G239" t="s">
        <v>35</v>
      </c>
      <c r="H239" s="8">
        <v>67.61</v>
      </c>
      <c r="I239" s="3">
        <f t="shared" si="13"/>
        <v>0</v>
      </c>
      <c r="J239" s="4">
        <v>0</v>
      </c>
      <c r="K239" s="11">
        <f>Table1[[#This Row],[original_price]]* (Table1[[#This Row],[Markdown percentage updated]])</f>
        <v>0</v>
      </c>
      <c r="L2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39" s="6">
        <v>67.61</v>
      </c>
      <c r="N2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39" s="7">
        <v>45875</v>
      </c>
      <c r="P239">
        <v>14</v>
      </c>
      <c r="Q239" s="16" t="str">
        <f>IF(Table1[[#This Row],[stock_quantity]]=0,"NO STOCK",
IF(Table1[[#This Row],[stock_quantity]]&lt;=10,"LOW STOCK",
"IN STOCK"))</f>
        <v>IN STOCK</v>
      </c>
      <c r="R239" s="1">
        <f t="shared" si="14"/>
        <v>1.8</v>
      </c>
      <c r="S239">
        <v>1.8</v>
      </c>
      <c r="T239" t="b">
        <v>0</v>
      </c>
      <c r="U239" t="str">
        <f t="shared" si="15"/>
        <v>No Return</v>
      </c>
    </row>
    <row r="240" spans="1:22" hidden="1" x14ac:dyDescent="0.3">
      <c r="A240" t="s">
        <v>293</v>
      </c>
      <c r="B240" t="s">
        <v>30</v>
      </c>
      <c r="C240" t="s">
        <v>75</v>
      </c>
      <c r="D240" t="s">
        <v>17</v>
      </c>
      <c r="E240" t="str">
        <f t="shared" si="12"/>
        <v>XXL</v>
      </c>
      <c r="F240" t="s">
        <v>24</v>
      </c>
      <c r="G240" t="s">
        <v>70</v>
      </c>
      <c r="H240" s="8">
        <v>136</v>
      </c>
      <c r="I240" s="3">
        <f t="shared" si="13"/>
        <v>0</v>
      </c>
      <c r="J240" s="4">
        <v>0</v>
      </c>
      <c r="K240" s="11">
        <f>Table1[[#This Row],[original_price]]* (Table1[[#This Row],[Markdown percentage updated]])</f>
        <v>0</v>
      </c>
      <c r="L2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40" s="6">
        <v>136</v>
      </c>
      <c r="N2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40" s="7">
        <v>45870</v>
      </c>
      <c r="P240">
        <v>46</v>
      </c>
      <c r="Q240" s="16" t="str">
        <f>IF(Table1[[#This Row],[stock_quantity]]=0,"NO STOCK",
IF(Table1[[#This Row],[stock_quantity]]&lt;=10,"LOW STOCK",
"IN STOCK"))</f>
        <v>IN STOCK</v>
      </c>
      <c r="R240" s="1">
        <f t="shared" si="14"/>
        <v>4.5</v>
      </c>
      <c r="S240">
        <v>4.5</v>
      </c>
      <c r="T240" t="b">
        <v>0</v>
      </c>
      <c r="U240" t="str">
        <f t="shared" si="15"/>
        <v>No Return</v>
      </c>
    </row>
    <row r="241" spans="1:22" hidden="1" x14ac:dyDescent="0.3">
      <c r="A241" t="s">
        <v>294</v>
      </c>
      <c r="B241" t="s">
        <v>30</v>
      </c>
      <c r="C241" t="s">
        <v>16</v>
      </c>
      <c r="D241" t="s">
        <v>34</v>
      </c>
      <c r="E241" t="str">
        <f t="shared" si="12"/>
        <v>OS</v>
      </c>
      <c r="G241" t="s">
        <v>70</v>
      </c>
      <c r="H241" s="8">
        <v>74.48</v>
      </c>
      <c r="I241" s="3">
        <f t="shared" si="13"/>
        <v>0</v>
      </c>
      <c r="J241" s="4">
        <v>0</v>
      </c>
      <c r="K241" s="11">
        <f>Table1[[#This Row],[original_price]]* (Table1[[#This Row],[Markdown percentage updated]])</f>
        <v>0</v>
      </c>
      <c r="L2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41" s="6">
        <v>74.48</v>
      </c>
      <c r="N2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41" s="7">
        <v>45875</v>
      </c>
      <c r="P241">
        <v>24</v>
      </c>
      <c r="Q241" s="16" t="str">
        <f>IF(Table1[[#This Row],[stock_quantity]]=0,"NO STOCK",
IF(Table1[[#This Row],[stock_quantity]]&lt;=10,"LOW STOCK",
"IN STOCK"))</f>
        <v>IN STOCK</v>
      </c>
      <c r="R241" s="1">
        <f t="shared" si="14"/>
        <v>3.7</v>
      </c>
      <c r="S241">
        <v>3.7</v>
      </c>
      <c r="T241" t="b">
        <v>0</v>
      </c>
      <c r="U241" t="str">
        <f t="shared" si="15"/>
        <v>No Return</v>
      </c>
    </row>
    <row r="242" spans="1:22" hidden="1" x14ac:dyDescent="0.3">
      <c r="A242" t="s">
        <v>295</v>
      </c>
      <c r="B242" t="s">
        <v>42</v>
      </c>
      <c r="C242" t="s">
        <v>75</v>
      </c>
      <c r="D242" t="s">
        <v>34</v>
      </c>
      <c r="E242" t="str">
        <f t="shared" si="12"/>
        <v>XXL</v>
      </c>
      <c r="F242" t="s">
        <v>55</v>
      </c>
      <c r="G242" t="s">
        <v>25</v>
      </c>
      <c r="H242" s="8">
        <v>101.39</v>
      </c>
      <c r="I242" s="3">
        <f t="shared" si="13"/>
        <v>0</v>
      </c>
      <c r="J242" s="4">
        <v>0</v>
      </c>
      <c r="K242" s="11">
        <f>Table1[[#This Row],[original_price]]* (Table1[[#This Row],[Markdown percentage updated]])</f>
        <v>0</v>
      </c>
      <c r="L2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42" s="6">
        <v>101.39</v>
      </c>
      <c r="N2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42" s="7">
        <v>45875</v>
      </c>
      <c r="P242">
        <v>33</v>
      </c>
      <c r="Q242" s="16" t="str">
        <f>IF(Table1[[#This Row],[stock_quantity]]=0,"NO STOCK",
IF(Table1[[#This Row],[stock_quantity]]&lt;=10,"LOW STOCK",
"IN STOCK"))</f>
        <v>IN STOCK</v>
      </c>
      <c r="R242" s="1">
        <f t="shared" si="14"/>
        <v>2.4</v>
      </c>
      <c r="S242">
        <v>2.4</v>
      </c>
      <c r="T242" t="b">
        <v>1</v>
      </c>
      <c r="U242" s="13" t="str">
        <f t="shared" si="15"/>
        <v>Size Issue</v>
      </c>
      <c r="V242" t="s">
        <v>73</v>
      </c>
    </row>
    <row r="243" spans="1:22" hidden="1" x14ac:dyDescent="0.3">
      <c r="A243" t="s">
        <v>296</v>
      </c>
      <c r="B243" t="s">
        <v>42</v>
      </c>
      <c r="C243" t="s">
        <v>75</v>
      </c>
      <c r="D243" t="s">
        <v>34</v>
      </c>
      <c r="E243" t="str">
        <f t="shared" si="12"/>
        <v>M</v>
      </c>
      <c r="F243" t="s">
        <v>49</v>
      </c>
      <c r="G243" t="s">
        <v>46</v>
      </c>
      <c r="H243" s="8">
        <v>169.68</v>
      </c>
      <c r="I243" s="3">
        <f t="shared" si="13"/>
        <v>0.41700000000000004</v>
      </c>
      <c r="J243" s="4">
        <v>41.7</v>
      </c>
      <c r="K243" s="11">
        <f>Table1[[#This Row],[original_price]]* (Table1[[#This Row],[Markdown percentage updated]])</f>
        <v>70.756560000000007</v>
      </c>
      <c r="L2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43" s="6">
        <v>98.92</v>
      </c>
      <c r="N2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43" s="7">
        <v>45875</v>
      </c>
      <c r="P243">
        <v>43</v>
      </c>
      <c r="Q243" s="16" t="str">
        <f>IF(Table1[[#This Row],[stock_quantity]]=0,"NO STOCK",
IF(Table1[[#This Row],[stock_quantity]]&lt;=10,"LOW STOCK",
"IN STOCK"))</f>
        <v>IN STOCK</v>
      </c>
      <c r="R243" s="1">
        <f t="shared" si="14"/>
        <v>4.5999999999999996</v>
      </c>
      <c r="S243">
        <v>4.5999999999999996</v>
      </c>
      <c r="T243" t="b">
        <v>0</v>
      </c>
      <c r="U243" t="str">
        <f t="shared" si="15"/>
        <v>No Return</v>
      </c>
    </row>
    <row r="244" spans="1:22" hidden="1" x14ac:dyDescent="0.3">
      <c r="A244" t="s">
        <v>297</v>
      </c>
      <c r="B244" t="s">
        <v>27</v>
      </c>
      <c r="C244" t="s">
        <v>75</v>
      </c>
      <c r="D244" t="s">
        <v>23</v>
      </c>
      <c r="E244" t="str">
        <f t="shared" si="12"/>
        <v>L</v>
      </c>
      <c r="G244" t="s">
        <v>66</v>
      </c>
      <c r="H244" s="8">
        <v>52.45</v>
      </c>
      <c r="I244" s="3">
        <f t="shared" si="13"/>
        <v>0</v>
      </c>
      <c r="J244" s="4">
        <v>0</v>
      </c>
      <c r="K244" s="11">
        <f>Table1[[#This Row],[original_price]]* (Table1[[#This Row],[Markdown percentage updated]])</f>
        <v>0</v>
      </c>
      <c r="L2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44" s="6">
        <v>52.45</v>
      </c>
      <c r="N2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44" s="7">
        <v>45875</v>
      </c>
      <c r="P244">
        <v>34</v>
      </c>
      <c r="Q244" s="16" t="str">
        <f>IF(Table1[[#This Row],[stock_quantity]]=0,"NO STOCK",
IF(Table1[[#This Row],[stock_quantity]]&lt;=10,"LOW STOCK",
"IN STOCK"))</f>
        <v>IN STOCK</v>
      </c>
      <c r="R244" s="1">
        <f t="shared" si="14"/>
        <v>2.1</v>
      </c>
      <c r="S244">
        <v>2.1</v>
      </c>
      <c r="T244" t="b">
        <v>0</v>
      </c>
      <c r="U244" t="str">
        <f t="shared" si="15"/>
        <v>No Return</v>
      </c>
    </row>
    <row r="245" spans="1:22" hidden="1" x14ac:dyDescent="0.3">
      <c r="A245" t="s">
        <v>298</v>
      </c>
      <c r="B245" t="s">
        <v>30</v>
      </c>
      <c r="C245" t="s">
        <v>22</v>
      </c>
      <c r="D245" t="s">
        <v>62</v>
      </c>
      <c r="E245" t="str">
        <f t="shared" si="12"/>
        <v>M</v>
      </c>
      <c r="F245" t="s">
        <v>49</v>
      </c>
      <c r="G245" t="s">
        <v>25</v>
      </c>
      <c r="H245" s="8">
        <v>153.85</v>
      </c>
      <c r="I245" s="3">
        <f t="shared" si="13"/>
        <v>0.47600000000000003</v>
      </c>
      <c r="J245" s="4">
        <v>47.6</v>
      </c>
      <c r="K245" s="11">
        <f>Table1[[#This Row],[original_price]]* (Table1[[#This Row],[Markdown percentage updated]])</f>
        <v>73.232600000000005</v>
      </c>
      <c r="L2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45" s="6">
        <v>80.62</v>
      </c>
      <c r="N2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45" s="7">
        <v>45875</v>
      </c>
      <c r="P245">
        <v>12</v>
      </c>
      <c r="Q245" s="16" t="str">
        <f>IF(Table1[[#This Row],[stock_quantity]]=0,"NO STOCK",
IF(Table1[[#This Row],[stock_quantity]]&lt;=10,"LOW STOCK",
"IN STOCK"))</f>
        <v>IN STOCK</v>
      </c>
      <c r="R245" s="1">
        <f t="shared" si="14"/>
        <v>3.1</v>
      </c>
      <c r="S245">
        <v>3.1</v>
      </c>
      <c r="T245" t="b">
        <v>0</v>
      </c>
      <c r="U245" t="str">
        <f t="shared" si="15"/>
        <v>No Return</v>
      </c>
    </row>
    <row r="246" spans="1:22" hidden="1" x14ac:dyDescent="0.3">
      <c r="A246" t="s">
        <v>299</v>
      </c>
      <c r="B246" t="s">
        <v>38</v>
      </c>
      <c r="C246" t="s">
        <v>43</v>
      </c>
      <c r="D246" t="s">
        <v>34</v>
      </c>
      <c r="E246" t="str">
        <f t="shared" si="12"/>
        <v>M</v>
      </c>
      <c r="F246" t="s">
        <v>58</v>
      </c>
      <c r="G246" t="s">
        <v>70</v>
      </c>
      <c r="H246" s="8">
        <v>32.700000000000003</v>
      </c>
      <c r="I246" s="3">
        <f t="shared" si="13"/>
        <v>0.505</v>
      </c>
      <c r="J246" s="4">
        <v>50.5</v>
      </c>
      <c r="K246" s="11">
        <f>Table1[[#This Row],[original_price]]* (Table1[[#This Row],[Markdown percentage updated]])</f>
        <v>16.513500000000001</v>
      </c>
      <c r="L2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46" s="6">
        <v>16.190000000000001</v>
      </c>
      <c r="N2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46" s="7">
        <v>45875</v>
      </c>
      <c r="P246">
        <v>46</v>
      </c>
      <c r="Q246" s="16" t="str">
        <f>IF(Table1[[#This Row],[stock_quantity]]=0,"NO STOCK",
IF(Table1[[#This Row],[stock_quantity]]&lt;=10,"LOW STOCK",
"IN STOCK"))</f>
        <v>IN STOCK</v>
      </c>
      <c r="R246" s="1">
        <f t="shared" si="14"/>
        <v>1.3</v>
      </c>
      <c r="S246">
        <v>1.3</v>
      </c>
      <c r="T246" t="b">
        <v>0</v>
      </c>
      <c r="U246" t="str">
        <f t="shared" si="15"/>
        <v>No Return</v>
      </c>
    </row>
    <row r="247" spans="1:22" hidden="1" x14ac:dyDescent="0.3">
      <c r="A247" t="s">
        <v>300</v>
      </c>
      <c r="B247" t="s">
        <v>15</v>
      </c>
      <c r="C247" t="s">
        <v>22</v>
      </c>
      <c r="D247" t="s">
        <v>34</v>
      </c>
      <c r="E247" t="str">
        <f t="shared" si="12"/>
        <v>M</v>
      </c>
      <c r="F247" t="s">
        <v>24</v>
      </c>
      <c r="G247" t="s">
        <v>64</v>
      </c>
      <c r="H247" s="8">
        <v>104.27</v>
      </c>
      <c r="I247" s="3">
        <f t="shared" si="13"/>
        <v>0.54600000000000004</v>
      </c>
      <c r="J247" s="4">
        <v>54.6</v>
      </c>
      <c r="K247" s="11">
        <f>Table1[[#This Row],[original_price]]* (Table1[[#This Row],[Markdown percentage updated]])</f>
        <v>56.931420000000003</v>
      </c>
      <c r="L2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47" s="6">
        <v>47.34</v>
      </c>
      <c r="N2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47" s="7">
        <v>45875</v>
      </c>
      <c r="P247">
        <v>42</v>
      </c>
      <c r="Q247" s="16" t="str">
        <f>IF(Table1[[#This Row],[stock_quantity]]=0,"NO STOCK",
IF(Table1[[#This Row],[stock_quantity]]&lt;=10,"LOW STOCK",
"IN STOCK"))</f>
        <v>IN STOCK</v>
      </c>
      <c r="R247" s="1">
        <f t="shared" si="14"/>
        <v>4.2</v>
      </c>
      <c r="S247">
        <v>4.2</v>
      </c>
      <c r="T247" t="b">
        <v>0</v>
      </c>
      <c r="U247" t="str">
        <f t="shared" si="15"/>
        <v>No Return</v>
      </c>
    </row>
    <row r="248" spans="1:22" hidden="1" x14ac:dyDescent="0.3">
      <c r="A248" t="s">
        <v>301</v>
      </c>
      <c r="B248" t="s">
        <v>42</v>
      </c>
      <c r="C248" t="s">
        <v>75</v>
      </c>
      <c r="D248" t="s">
        <v>62</v>
      </c>
      <c r="E248" t="str">
        <f t="shared" si="12"/>
        <v>XS</v>
      </c>
      <c r="F248" t="s">
        <v>58</v>
      </c>
      <c r="G248" t="s">
        <v>40</v>
      </c>
      <c r="H248" s="8">
        <v>80.040000000000006</v>
      </c>
      <c r="I248" s="3">
        <f t="shared" si="13"/>
        <v>0.50900000000000001</v>
      </c>
      <c r="J248" s="4">
        <v>50.9</v>
      </c>
      <c r="K248" s="11">
        <f>Table1[[#This Row],[original_price]]* (Table1[[#This Row],[Markdown percentage updated]])</f>
        <v>40.740360000000003</v>
      </c>
      <c r="L2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48" s="6">
        <v>39.299999999999997</v>
      </c>
      <c r="N2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48" s="7">
        <v>45875</v>
      </c>
      <c r="P248">
        <v>45</v>
      </c>
      <c r="Q248" s="16" t="str">
        <f>IF(Table1[[#This Row],[stock_quantity]]=0,"NO STOCK",
IF(Table1[[#This Row],[stock_quantity]]&lt;=10,"LOW STOCK",
"IN STOCK"))</f>
        <v>IN STOCK</v>
      </c>
      <c r="R248" s="1">
        <f t="shared" si="14"/>
        <v>0</v>
      </c>
      <c r="T248" t="b">
        <v>0</v>
      </c>
      <c r="U248" t="str">
        <f t="shared" si="15"/>
        <v>No Return</v>
      </c>
    </row>
    <row r="249" spans="1:22" hidden="1" x14ac:dyDescent="0.3">
      <c r="A249" t="s">
        <v>302</v>
      </c>
      <c r="B249" t="s">
        <v>38</v>
      </c>
      <c r="C249" t="s">
        <v>32</v>
      </c>
      <c r="D249" t="s">
        <v>17</v>
      </c>
      <c r="E249" t="str">
        <f t="shared" si="12"/>
        <v>L</v>
      </c>
      <c r="F249" t="s">
        <v>58</v>
      </c>
      <c r="G249" t="s">
        <v>28</v>
      </c>
      <c r="H249" s="8">
        <v>72.069999999999993</v>
      </c>
      <c r="I249" s="3">
        <f t="shared" si="13"/>
        <v>0</v>
      </c>
      <c r="J249" s="4">
        <v>0</v>
      </c>
      <c r="K249" s="11">
        <f>Table1[[#This Row],[original_price]]* (Table1[[#This Row],[Markdown percentage updated]])</f>
        <v>0</v>
      </c>
      <c r="L2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49" s="6">
        <v>72.069999999999993</v>
      </c>
      <c r="N2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49" s="7">
        <v>45785</v>
      </c>
      <c r="P249">
        <v>20</v>
      </c>
      <c r="Q249" s="16" t="str">
        <f>IF(Table1[[#This Row],[stock_quantity]]=0,"NO STOCK",
IF(Table1[[#This Row],[stock_quantity]]&lt;=10,"LOW STOCK",
"IN STOCK"))</f>
        <v>IN STOCK</v>
      </c>
      <c r="R249" s="1">
        <f t="shared" si="14"/>
        <v>0</v>
      </c>
      <c r="T249" t="b">
        <v>1</v>
      </c>
      <c r="U249" s="13" t="str">
        <f t="shared" si="15"/>
        <v>Color Mismatch</v>
      </c>
      <c r="V249" t="s">
        <v>36</v>
      </c>
    </row>
    <row r="250" spans="1:22" hidden="1" x14ac:dyDescent="0.3">
      <c r="A250" t="s">
        <v>303</v>
      </c>
      <c r="B250" t="s">
        <v>15</v>
      </c>
      <c r="C250" t="s">
        <v>16</v>
      </c>
      <c r="D250" t="s">
        <v>34</v>
      </c>
      <c r="E250" t="str">
        <f t="shared" si="12"/>
        <v>L</v>
      </c>
      <c r="F250" t="s">
        <v>58</v>
      </c>
      <c r="G250" t="s">
        <v>46</v>
      </c>
      <c r="H250" s="8">
        <v>220.99</v>
      </c>
      <c r="I250" s="3">
        <f t="shared" si="13"/>
        <v>0</v>
      </c>
      <c r="J250" s="4">
        <v>0</v>
      </c>
      <c r="K250" s="11">
        <f>Table1[[#This Row],[original_price]]* (Table1[[#This Row],[Markdown percentage updated]])</f>
        <v>0</v>
      </c>
      <c r="L2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50" s="6">
        <v>220.99</v>
      </c>
      <c r="N2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50" s="7">
        <v>45875</v>
      </c>
      <c r="P250">
        <v>42</v>
      </c>
      <c r="Q250" s="16" t="str">
        <f>IF(Table1[[#This Row],[stock_quantity]]=0,"NO STOCK",
IF(Table1[[#This Row],[stock_quantity]]&lt;=10,"LOW STOCK",
"IN STOCK"))</f>
        <v>IN STOCK</v>
      </c>
      <c r="R250" s="1">
        <f t="shared" si="14"/>
        <v>3.6</v>
      </c>
      <c r="S250">
        <v>3.6</v>
      </c>
      <c r="T250" t="b">
        <v>0</v>
      </c>
      <c r="U250" t="str">
        <f t="shared" si="15"/>
        <v>No Return</v>
      </c>
    </row>
    <row r="251" spans="1:22" hidden="1" x14ac:dyDescent="0.3">
      <c r="A251" t="s">
        <v>304</v>
      </c>
      <c r="B251" t="s">
        <v>15</v>
      </c>
      <c r="C251" t="s">
        <v>22</v>
      </c>
      <c r="D251" t="s">
        <v>34</v>
      </c>
      <c r="E251" t="str">
        <f t="shared" si="12"/>
        <v>L</v>
      </c>
      <c r="F251" t="s">
        <v>55</v>
      </c>
      <c r="G251" t="s">
        <v>28</v>
      </c>
      <c r="H251" s="8">
        <v>117.36</v>
      </c>
      <c r="I251" s="3">
        <f t="shared" si="13"/>
        <v>0.14599999999999999</v>
      </c>
      <c r="J251" s="4">
        <v>14.6</v>
      </c>
      <c r="K251" s="11">
        <f>Table1[[#This Row],[original_price]]* (Table1[[#This Row],[Markdown percentage updated]])</f>
        <v>17.13456</v>
      </c>
      <c r="L2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51" s="6">
        <v>100.23</v>
      </c>
      <c r="N2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51" s="7">
        <v>45875</v>
      </c>
      <c r="P251">
        <v>33</v>
      </c>
      <c r="Q251" s="16" t="str">
        <f>IF(Table1[[#This Row],[stock_quantity]]=0,"NO STOCK",
IF(Table1[[#This Row],[stock_quantity]]&lt;=10,"LOW STOCK",
"IN STOCK"))</f>
        <v>IN STOCK</v>
      </c>
      <c r="R251" s="1">
        <f t="shared" si="14"/>
        <v>0</v>
      </c>
      <c r="T251" t="b">
        <v>1</v>
      </c>
      <c r="U251" s="13" t="str">
        <f t="shared" si="15"/>
        <v>Size Issue</v>
      </c>
      <c r="V251" t="s">
        <v>73</v>
      </c>
    </row>
    <row r="252" spans="1:22" hidden="1" x14ac:dyDescent="0.3">
      <c r="A252" t="s">
        <v>305</v>
      </c>
      <c r="B252" t="s">
        <v>15</v>
      </c>
      <c r="C252" t="s">
        <v>32</v>
      </c>
      <c r="D252" t="s">
        <v>17</v>
      </c>
      <c r="E252" t="str">
        <f t="shared" si="12"/>
        <v>XL</v>
      </c>
      <c r="F252" t="s">
        <v>24</v>
      </c>
      <c r="G252" t="s">
        <v>64</v>
      </c>
      <c r="H252" s="8">
        <v>198.76</v>
      </c>
      <c r="I252" s="3">
        <f t="shared" si="13"/>
        <v>0.48799999999999999</v>
      </c>
      <c r="J252" s="4">
        <v>48.8</v>
      </c>
      <c r="K252" s="11">
        <f>Table1[[#This Row],[original_price]]* (Table1[[#This Row],[Markdown percentage updated]])</f>
        <v>96.994879999999995</v>
      </c>
      <c r="L2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52" s="6">
        <v>101.77</v>
      </c>
      <c r="N2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52" s="7">
        <v>45773</v>
      </c>
      <c r="P252">
        <v>36</v>
      </c>
      <c r="Q252" s="16" t="str">
        <f>IF(Table1[[#This Row],[stock_quantity]]=0,"NO STOCK",
IF(Table1[[#This Row],[stock_quantity]]&lt;=10,"LOW STOCK",
"IN STOCK"))</f>
        <v>IN STOCK</v>
      </c>
      <c r="R252" s="1">
        <f t="shared" si="14"/>
        <v>3</v>
      </c>
      <c r="S252">
        <v>3</v>
      </c>
      <c r="T252" t="b">
        <v>0</v>
      </c>
      <c r="U252" t="str">
        <f t="shared" si="15"/>
        <v>No Return</v>
      </c>
    </row>
    <row r="253" spans="1:22" x14ac:dyDescent="0.3">
      <c r="A253" t="s">
        <v>306</v>
      </c>
      <c r="B253" t="s">
        <v>15</v>
      </c>
      <c r="C253" t="s">
        <v>48</v>
      </c>
      <c r="D253" t="s">
        <v>34</v>
      </c>
      <c r="E253" t="str">
        <f t="shared" si="12"/>
        <v>S</v>
      </c>
      <c r="F253" t="s">
        <v>24</v>
      </c>
      <c r="G253" t="s">
        <v>28</v>
      </c>
      <c r="H253" s="8">
        <v>121.03</v>
      </c>
      <c r="I253" s="3">
        <f t="shared" si="13"/>
        <v>0</v>
      </c>
      <c r="J253" s="4">
        <v>0</v>
      </c>
      <c r="K253" s="11">
        <f>Table1[[#This Row],[original_price]]* (Table1[[#This Row],[Markdown percentage updated]])</f>
        <v>0</v>
      </c>
      <c r="L2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53" s="6">
        <v>121.03</v>
      </c>
      <c r="N2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53" s="7">
        <v>45875</v>
      </c>
      <c r="P253">
        <v>14</v>
      </c>
      <c r="Q253" s="16" t="str">
        <f>IF(Table1[[#This Row],[stock_quantity]]=0,"NO STOCK",
IF(Table1[[#This Row],[stock_quantity]]&lt;=10,"LOW STOCK",
"IN STOCK"))</f>
        <v>IN STOCK</v>
      </c>
      <c r="R253" s="1">
        <f t="shared" si="14"/>
        <v>1.6</v>
      </c>
      <c r="S253">
        <v>1.6</v>
      </c>
      <c r="T253" t="b">
        <v>1</v>
      </c>
      <c r="U253" s="13" t="str">
        <f t="shared" si="15"/>
        <v>Changed Mind</v>
      </c>
      <c r="V253" t="s">
        <v>115</v>
      </c>
    </row>
    <row r="254" spans="1:22" hidden="1" x14ac:dyDescent="0.3">
      <c r="A254" t="s">
        <v>307</v>
      </c>
      <c r="B254" t="s">
        <v>21</v>
      </c>
      <c r="C254" t="s">
        <v>48</v>
      </c>
      <c r="D254" t="s">
        <v>34</v>
      </c>
      <c r="E254" t="str">
        <f t="shared" si="12"/>
        <v>XXL</v>
      </c>
      <c r="F254" t="s">
        <v>24</v>
      </c>
      <c r="G254" t="s">
        <v>35</v>
      </c>
      <c r="H254" s="8">
        <v>88.62</v>
      </c>
      <c r="I254" s="3">
        <f t="shared" si="13"/>
        <v>0</v>
      </c>
      <c r="J254" s="4">
        <v>0</v>
      </c>
      <c r="K254" s="11">
        <f>Table1[[#This Row],[original_price]]* (Table1[[#This Row],[Markdown percentage updated]])</f>
        <v>0</v>
      </c>
      <c r="L2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54" s="6">
        <v>88.62</v>
      </c>
      <c r="N2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54" s="7">
        <v>45875</v>
      </c>
      <c r="P254">
        <v>48</v>
      </c>
      <c r="Q254" s="16" t="str">
        <f>IF(Table1[[#This Row],[stock_quantity]]=0,"NO STOCK",
IF(Table1[[#This Row],[stock_quantity]]&lt;=10,"LOW STOCK",
"IN STOCK"))</f>
        <v>IN STOCK</v>
      </c>
      <c r="R254" s="1">
        <f t="shared" si="14"/>
        <v>2.4</v>
      </c>
      <c r="S254">
        <v>2.4</v>
      </c>
      <c r="T254" t="b">
        <v>0</v>
      </c>
      <c r="U254" t="str">
        <f t="shared" si="15"/>
        <v>No Return</v>
      </c>
    </row>
    <row r="255" spans="1:22" hidden="1" x14ac:dyDescent="0.3">
      <c r="A255" t="s">
        <v>308</v>
      </c>
      <c r="B255" t="s">
        <v>30</v>
      </c>
      <c r="C255" t="s">
        <v>48</v>
      </c>
      <c r="D255" t="s">
        <v>62</v>
      </c>
      <c r="E255" t="str">
        <f t="shared" si="12"/>
        <v>OS</v>
      </c>
      <c r="F255" t="s">
        <v>18</v>
      </c>
      <c r="G255" t="s">
        <v>46</v>
      </c>
      <c r="H255" s="8">
        <v>88.94</v>
      </c>
      <c r="I255" s="3">
        <f t="shared" si="13"/>
        <v>0</v>
      </c>
      <c r="J255" s="4">
        <v>0</v>
      </c>
      <c r="K255" s="11">
        <f>Table1[[#This Row],[original_price]]* (Table1[[#This Row],[Markdown percentage updated]])</f>
        <v>0</v>
      </c>
      <c r="L2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55" s="6">
        <v>88.94</v>
      </c>
      <c r="N2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55" s="7">
        <v>45875</v>
      </c>
      <c r="P255">
        <v>29</v>
      </c>
      <c r="Q255" s="16" t="str">
        <f>IF(Table1[[#This Row],[stock_quantity]]=0,"NO STOCK",
IF(Table1[[#This Row],[stock_quantity]]&lt;=10,"LOW STOCK",
"IN STOCK"))</f>
        <v>IN STOCK</v>
      </c>
      <c r="R255" s="1">
        <f t="shared" si="14"/>
        <v>3.9</v>
      </c>
      <c r="S255">
        <v>3.9</v>
      </c>
      <c r="T255" t="b">
        <v>0</v>
      </c>
      <c r="U255" t="str">
        <f t="shared" si="15"/>
        <v>No Return</v>
      </c>
    </row>
    <row r="256" spans="1:22" hidden="1" x14ac:dyDescent="0.3">
      <c r="A256" t="s">
        <v>309</v>
      </c>
      <c r="B256" t="s">
        <v>38</v>
      </c>
      <c r="C256" t="s">
        <v>16</v>
      </c>
      <c r="D256" t="s">
        <v>23</v>
      </c>
      <c r="E256" t="str">
        <f t="shared" si="12"/>
        <v>XXL</v>
      </c>
      <c r="F256" t="s">
        <v>39</v>
      </c>
      <c r="G256" t="s">
        <v>28</v>
      </c>
      <c r="H256" s="8">
        <v>115.7</v>
      </c>
      <c r="I256" s="3">
        <f t="shared" si="13"/>
        <v>0.17800000000000002</v>
      </c>
      <c r="J256" s="4">
        <v>17.8</v>
      </c>
      <c r="K256" s="11">
        <f>Table1[[#This Row],[original_price]]* (Table1[[#This Row],[Markdown percentage updated]])</f>
        <v>20.594600000000003</v>
      </c>
      <c r="L2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56" s="6">
        <v>95.11</v>
      </c>
      <c r="N2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56" s="7">
        <v>45875</v>
      </c>
      <c r="P256">
        <v>32</v>
      </c>
      <c r="Q256" s="16" t="str">
        <f>IF(Table1[[#This Row],[stock_quantity]]=0,"NO STOCK",
IF(Table1[[#This Row],[stock_quantity]]&lt;=10,"LOW STOCK",
"IN STOCK"))</f>
        <v>IN STOCK</v>
      </c>
      <c r="R256" s="1">
        <f t="shared" si="14"/>
        <v>1.7</v>
      </c>
      <c r="S256">
        <v>1.7</v>
      </c>
      <c r="T256" t="b">
        <v>0</v>
      </c>
      <c r="U256" t="str">
        <f t="shared" si="15"/>
        <v>No Return</v>
      </c>
    </row>
    <row r="257" spans="1:22" hidden="1" x14ac:dyDescent="0.3">
      <c r="A257" t="s">
        <v>310</v>
      </c>
      <c r="B257" t="s">
        <v>38</v>
      </c>
      <c r="C257" t="s">
        <v>75</v>
      </c>
      <c r="D257" t="s">
        <v>34</v>
      </c>
      <c r="E257" t="str">
        <f t="shared" si="12"/>
        <v>XL</v>
      </c>
      <c r="F257" t="s">
        <v>49</v>
      </c>
      <c r="G257" t="s">
        <v>28</v>
      </c>
      <c r="H257" s="8">
        <v>75.66</v>
      </c>
      <c r="I257" s="3">
        <f t="shared" si="13"/>
        <v>0</v>
      </c>
      <c r="J257" s="4">
        <v>0</v>
      </c>
      <c r="K257" s="11">
        <f>Table1[[#This Row],[original_price]]* (Table1[[#This Row],[Markdown percentage updated]])</f>
        <v>0</v>
      </c>
      <c r="L2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57" s="6">
        <v>75.66</v>
      </c>
      <c r="N2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57" s="7">
        <v>45875</v>
      </c>
      <c r="P257">
        <v>20</v>
      </c>
      <c r="Q257" s="16" t="str">
        <f>IF(Table1[[#This Row],[stock_quantity]]=0,"NO STOCK",
IF(Table1[[#This Row],[stock_quantity]]&lt;=10,"LOW STOCK",
"IN STOCK"))</f>
        <v>IN STOCK</v>
      </c>
      <c r="R257" s="1">
        <f t="shared" si="14"/>
        <v>3</v>
      </c>
      <c r="S257">
        <v>3</v>
      </c>
      <c r="T257" t="b">
        <v>0</v>
      </c>
      <c r="U257" t="str">
        <f t="shared" si="15"/>
        <v>No Return</v>
      </c>
    </row>
    <row r="258" spans="1:22" hidden="1" x14ac:dyDescent="0.3">
      <c r="A258" t="s">
        <v>311</v>
      </c>
      <c r="B258" t="s">
        <v>27</v>
      </c>
      <c r="C258" t="s">
        <v>53</v>
      </c>
      <c r="D258" t="s">
        <v>23</v>
      </c>
      <c r="E258" t="str">
        <f t="shared" ref="E258:E321" si="16">IF(ISBLANK(F261),"OS",F261)</f>
        <v>OS</v>
      </c>
      <c r="G258" t="s">
        <v>46</v>
      </c>
      <c r="H258" s="8">
        <v>42.11</v>
      </c>
      <c r="I258" s="3">
        <f t="shared" ref="I258:I321" si="17">J258/100</f>
        <v>0</v>
      </c>
      <c r="J258" s="4">
        <v>0</v>
      </c>
      <c r="K258" s="11">
        <f>Table1[[#This Row],[original_price]]* (Table1[[#This Row],[Markdown percentage updated]])</f>
        <v>0</v>
      </c>
      <c r="L2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58" s="6">
        <v>42.11</v>
      </c>
      <c r="N2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58" s="7">
        <v>45875</v>
      </c>
      <c r="P258">
        <v>26</v>
      </c>
      <c r="Q258" s="16" t="str">
        <f>IF(Table1[[#This Row],[stock_quantity]]=0,"NO STOCK",
IF(Table1[[#This Row],[stock_quantity]]&lt;=10,"LOW STOCK",
"IN STOCK"))</f>
        <v>IN STOCK</v>
      </c>
      <c r="R258" s="1">
        <f t="shared" si="14"/>
        <v>4</v>
      </c>
      <c r="S258">
        <v>4</v>
      </c>
      <c r="T258" t="b">
        <v>0</v>
      </c>
      <c r="U258" t="str">
        <f t="shared" si="15"/>
        <v>No Return</v>
      </c>
    </row>
    <row r="259" spans="1:22" hidden="1" x14ac:dyDescent="0.3">
      <c r="A259" t="s">
        <v>312</v>
      </c>
      <c r="B259" t="s">
        <v>15</v>
      </c>
      <c r="C259" t="s">
        <v>48</v>
      </c>
      <c r="D259" t="s">
        <v>17</v>
      </c>
      <c r="E259" t="str">
        <f t="shared" si="16"/>
        <v>XL</v>
      </c>
      <c r="F259" t="s">
        <v>49</v>
      </c>
      <c r="G259" t="s">
        <v>56</v>
      </c>
      <c r="H259" s="8">
        <v>247.9</v>
      </c>
      <c r="I259" s="3">
        <f t="shared" si="17"/>
        <v>4.2999999999999997E-2</v>
      </c>
      <c r="J259" s="4">
        <v>4.3</v>
      </c>
      <c r="K259" s="11">
        <f>Table1[[#This Row],[original_price]]* (Table1[[#This Row],[Markdown percentage updated]])</f>
        <v>10.659699999999999</v>
      </c>
      <c r="L2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59" s="6">
        <v>237.24</v>
      </c>
      <c r="N2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59" s="7">
        <v>45651</v>
      </c>
      <c r="P259">
        <v>25</v>
      </c>
      <c r="Q259" s="16" t="str">
        <f>IF(Table1[[#This Row],[stock_quantity]]=0,"NO STOCK",
IF(Table1[[#This Row],[stock_quantity]]&lt;=10,"LOW STOCK",
"IN STOCK"))</f>
        <v>IN STOCK</v>
      </c>
      <c r="R259" s="1">
        <f t="shared" ref="R259:R322" si="18">IF(ISBLANK(S259), 0, S259)</f>
        <v>4.5999999999999996</v>
      </c>
      <c r="S259">
        <v>4.5999999999999996</v>
      </c>
      <c r="T259" t="b">
        <v>0</v>
      </c>
      <c r="U259" t="str">
        <f t="shared" ref="U259:U322" si="19">IF(V259="","No Return",V259)</f>
        <v>No Return</v>
      </c>
    </row>
    <row r="260" spans="1:22" hidden="1" x14ac:dyDescent="0.3">
      <c r="A260" t="s">
        <v>313</v>
      </c>
      <c r="B260" t="s">
        <v>30</v>
      </c>
      <c r="C260" t="s">
        <v>32</v>
      </c>
      <c r="D260" t="s">
        <v>17</v>
      </c>
      <c r="E260" t="str">
        <f t="shared" si="16"/>
        <v>XL</v>
      </c>
      <c r="F260" t="s">
        <v>18</v>
      </c>
      <c r="G260" t="s">
        <v>56</v>
      </c>
      <c r="H260" s="8">
        <v>143.44999999999999</v>
      </c>
      <c r="I260" s="3">
        <f t="shared" si="17"/>
        <v>0</v>
      </c>
      <c r="J260" s="4">
        <v>0</v>
      </c>
      <c r="K260" s="11">
        <f>Table1[[#This Row],[original_price]]* (Table1[[#This Row],[Markdown percentage updated]])</f>
        <v>0</v>
      </c>
      <c r="L2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60" s="6">
        <v>143.44999999999999</v>
      </c>
      <c r="N2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60" s="7">
        <v>45562</v>
      </c>
      <c r="P260">
        <v>39</v>
      </c>
      <c r="Q260" s="16" t="str">
        <f>IF(Table1[[#This Row],[stock_quantity]]=0,"NO STOCK",
IF(Table1[[#This Row],[stock_quantity]]&lt;=10,"LOW STOCK",
"IN STOCK"))</f>
        <v>IN STOCK</v>
      </c>
      <c r="R260" s="1">
        <f t="shared" si="18"/>
        <v>0</v>
      </c>
      <c r="T260" t="b">
        <v>1</v>
      </c>
      <c r="U260" s="13" t="str">
        <f t="shared" si="19"/>
        <v>Quality Issue</v>
      </c>
      <c r="V260" t="s">
        <v>83</v>
      </c>
    </row>
    <row r="261" spans="1:22" hidden="1" x14ac:dyDescent="0.3">
      <c r="A261" t="s">
        <v>314</v>
      </c>
      <c r="B261" t="s">
        <v>27</v>
      </c>
      <c r="C261" t="s">
        <v>32</v>
      </c>
      <c r="D261" t="s">
        <v>23</v>
      </c>
      <c r="E261" t="str">
        <f t="shared" si="16"/>
        <v>XXL</v>
      </c>
      <c r="G261" t="s">
        <v>56</v>
      </c>
      <c r="H261" s="8">
        <v>24.96</v>
      </c>
      <c r="I261" s="3">
        <f t="shared" si="17"/>
        <v>0.44700000000000001</v>
      </c>
      <c r="J261" s="4">
        <v>44.7</v>
      </c>
      <c r="K261" s="11">
        <f>Table1[[#This Row],[original_price]]* (Table1[[#This Row],[Markdown percentage updated]])</f>
        <v>11.157120000000001</v>
      </c>
      <c r="L2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61" s="6">
        <v>13.8</v>
      </c>
      <c r="N2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61" s="7">
        <v>45875</v>
      </c>
      <c r="P261">
        <v>44</v>
      </c>
      <c r="Q261" s="16" t="str">
        <f>IF(Table1[[#This Row],[stock_quantity]]=0,"NO STOCK",
IF(Table1[[#This Row],[stock_quantity]]&lt;=10,"LOW STOCK",
"IN STOCK"))</f>
        <v>IN STOCK</v>
      </c>
      <c r="R261" s="1">
        <f t="shared" si="18"/>
        <v>0</v>
      </c>
      <c r="T261" t="b">
        <v>0</v>
      </c>
      <c r="U261" t="str">
        <f t="shared" si="19"/>
        <v>No Return</v>
      </c>
    </row>
    <row r="262" spans="1:22" hidden="1" x14ac:dyDescent="0.3">
      <c r="A262" t="s">
        <v>315</v>
      </c>
      <c r="B262" t="s">
        <v>15</v>
      </c>
      <c r="C262" t="s">
        <v>75</v>
      </c>
      <c r="D262" t="s">
        <v>62</v>
      </c>
      <c r="E262" t="str">
        <f t="shared" si="16"/>
        <v>S</v>
      </c>
      <c r="F262" t="s">
        <v>18</v>
      </c>
      <c r="G262" t="s">
        <v>64</v>
      </c>
      <c r="H262" s="8">
        <v>109.74</v>
      </c>
      <c r="I262" s="3">
        <f t="shared" si="17"/>
        <v>0</v>
      </c>
      <c r="J262" s="4">
        <v>0</v>
      </c>
      <c r="K262" s="11">
        <f>Table1[[#This Row],[original_price]]* (Table1[[#This Row],[Markdown percentage updated]])</f>
        <v>0</v>
      </c>
      <c r="L2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62" s="6">
        <v>109.74</v>
      </c>
      <c r="N2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62" s="7">
        <v>45875</v>
      </c>
      <c r="P262">
        <v>45</v>
      </c>
      <c r="Q262" s="16" t="str">
        <f>IF(Table1[[#This Row],[stock_quantity]]=0,"NO STOCK",
IF(Table1[[#This Row],[stock_quantity]]&lt;=10,"LOW STOCK",
"IN STOCK"))</f>
        <v>IN STOCK</v>
      </c>
      <c r="R262" s="1">
        <f t="shared" si="18"/>
        <v>1.9</v>
      </c>
      <c r="S262">
        <v>1.9</v>
      </c>
      <c r="T262" t="b">
        <v>0</v>
      </c>
      <c r="U262" t="str">
        <f t="shared" si="19"/>
        <v>No Return</v>
      </c>
    </row>
    <row r="263" spans="1:22" hidden="1" x14ac:dyDescent="0.3">
      <c r="A263" t="s">
        <v>316</v>
      </c>
      <c r="B263" t="s">
        <v>42</v>
      </c>
      <c r="C263" t="s">
        <v>48</v>
      </c>
      <c r="D263" t="s">
        <v>62</v>
      </c>
      <c r="E263" t="str">
        <f t="shared" si="16"/>
        <v>XXL</v>
      </c>
      <c r="F263" t="s">
        <v>18</v>
      </c>
      <c r="G263" t="s">
        <v>44</v>
      </c>
      <c r="H263" s="8">
        <v>161.13999999999999</v>
      </c>
      <c r="I263" s="3">
        <f t="shared" si="17"/>
        <v>0</v>
      </c>
      <c r="J263" s="4">
        <v>0</v>
      </c>
      <c r="K263" s="11">
        <f>Table1[[#This Row],[original_price]]* (Table1[[#This Row],[Markdown percentage updated]])</f>
        <v>0</v>
      </c>
      <c r="L2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63" s="6">
        <v>161.13999999999999</v>
      </c>
      <c r="N2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63" s="7">
        <v>45875</v>
      </c>
      <c r="P263">
        <v>44</v>
      </c>
      <c r="Q263" s="16" t="str">
        <f>IF(Table1[[#This Row],[stock_quantity]]=0,"NO STOCK",
IF(Table1[[#This Row],[stock_quantity]]&lt;=10,"LOW STOCK",
"IN STOCK"))</f>
        <v>IN STOCK</v>
      </c>
      <c r="R263" s="1">
        <f t="shared" si="18"/>
        <v>1.6</v>
      </c>
      <c r="S263">
        <v>1.6</v>
      </c>
      <c r="T263" t="b">
        <v>0</v>
      </c>
      <c r="U263" t="str">
        <f t="shared" si="19"/>
        <v>No Return</v>
      </c>
    </row>
    <row r="264" spans="1:22" hidden="1" x14ac:dyDescent="0.3">
      <c r="A264" t="s">
        <v>317</v>
      </c>
      <c r="B264" t="s">
        <v>15</v>
      </c>
      <c r="C264" t="s">
        <v>32</v>
      </c>
      <c r="D264" t="s">
        <v>17</v>
      </c>
      <c r="E264" t="str">
        <f t="shared" si="16"/>
        <v>OS</v>
      </c>
      <c r="F264" t="s">
        <v>49</v>
      </c>
      <c r="G264" t="s">
        <v>70</v>
      </c>
      <c r="H264" s="8">
        <v>220.14</v>
      </c>
      <c r="I264" s="3">
        <f t="shared" si="17"/>
        <v>9.1999999999999998E-2</v>
      </c>
      <c r="J264" s="4">
        <v>9.1999999999999993</v>
      </c>
      <c r="K264" s="11">
        <f>Table1[[#This Row],[original_price]]* (Table1[[#This Row],[Markdown percentage updated]])</f>
        <v>20.252879999999998</v>
      </c>
      <c r="L2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64" s="6">
        <v>199.89</v>
      </c>
      <c r="N2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64" s="7">
        <v>45835</v>
      </c>
      <c r="P264">
        <v>23</v>
      </c>
      <c r="Q264" s="16" t="str">
        <f>IF(Table1[[#This Row],[stock_quantity]]=0,"NO STOCK",
IF(Table1[[#This Row],[stock_quantity]]&lt;=10,"LOW STOCK",
"IN STOCK"))</f>
        <v>IN STOCK</v>
      </c>
      <c r="R264" s="1">
        <f t="shared" si="18"/>
        <v>4.8</v>
      </c>
      <c r="S264">
        <v>4.8</v>
      </c>
      <c r="T264" t="b">
        <v>0</v>
      </c>
      <c r="U264" t="str">
        <f t="shared" si="19"/>
        <v>No Return</v>
      </c>
    </row>
    <row r="265" spans="1:22" hidden="1" x14ac:dyDescent="0.3">
      <c r="A265" t="s">
        <v>318</v>
      </c>
      <c r="B265" t="s">
        <v>42</v>
      </c>
      <c r="C265" t="s">
        <v>75</v>
      </c>
      <c r="D265" t="s">
        <v>62</v>
      </c>
      <c r="E265" t="str">
        <f t="shared" si="16"/>
        <v>XS</v>
      </c>
      <c r="F265" t="s">
        <v>39</v>
      </c>
      <c r="G265" t="s">
        <v>25</v>
      </c>
      <c r="H265" s="8">
        <v>57.33</v>
      </c>
      <c r="I265" s="3">
        <f t="shared" si="17"/>
        <v>0</v>
      </c>
      <c r="J265" s="4">
        <v>0</v>
      </c>
      <c r="K265" s="11">
        <f>Table1[[#This Row],[original_price]]* (Table1[[#This Row],[Markdown percentage updated]])</f>
        <v>0</v>
      </c>
      <c r="L2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65" s="6">
        <v>57.33</v>
      </c>
      <c r="N2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65" s="7">
        <v>45875</v>
      </c>
      <c r="P265">
        <v>23</v>
      </c>
      <c r="Q265" s="16" t="str">
        <f>IF(Table1[[#This Row],[stock_quantity]]=0,"NO STOCK",
IF(Table1[[#This Row],[stock_quantity]]&lt;=10,"LOW STOCK",
"IN STOCK"))</f>
        <v>IN STOCK</v>
      </c>
      <c r="R265" s="1">
        <f t="shared" si="18"/>
        <v>2</v>
      </c>
      <c r="S265">
        <v>2</v>
      </c>
      <c r="T265" t="b">
        <v>0</v>
      </c>
      <c r="U265" t="str">
        <f t="shared" si="19"/>
        <v>No Return</v>
      </c>
    </row>
    <row r="266" spans="1:22" hidden="1" x14ac:dyDescent="0.3">
      <c r="A266" t="s">
        <v>319</v>
      </c>
      <c r="B266" t="s">
        <v>38</v>
      </c>
      <c r="C266" t="s">
        <v>16</v>
      </c>
      <c r="D266" t="s">
        <v>34</v>
      </c>
      <c r="E266" t="str">
        <f t="shared" si="16"/>
        <v>S</v>
      </c>
      <c r="F266" t="s">
        <v>49</v>
      </c>
      <c r="G266" t="s">
        <v>44</v>
      </c>
      <c r="H266" s="8">
        <v>108.24</v>
      </c>
      <c r="I266" s="3">
        <f t="shared" si="17"/>
        <v>0</v>
      </c>
      <c r="J266" s="4">
        <v>0</v>
      </c>
      <c r="K266" s="11">
        <f>Table1[[#This Row],[original_price]]* (Table1[[#This Row],[Markdown percentage updated]])</f>
        <v>0</v>
      </c>
      <c r="L2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66" s="6">
        <v>108.24</v>
      </c>
      <c r="N2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66" s="7">
        <v>45875</v>
      </c>
      <c r="P266">
        <v>8</v>
      </c>
      <c r="Q266" s="17" t="str">
        <f>IF(Table1[[#This Row],[stock_quantity]]=0,"NO STOCK",
IF(Table1[[#This Row],[stock_quantity]]&lt;=10,"LOW STOCK",
"IN STOCK"))</f>
        <v>LOW STOCK</v>
      </c>
      <c r="R266" s="1">
        <f t="shared" si="18"/>
        <v>2.2999999999999998</v>
      </c>
      <c r="S266">
        <v>2.2999999999999998</v>
      </c>
      <c r="T266" t="b">
        <v>0</v>
      </c>
      <c r="U266" t="str">
        <f t="shared" si="19"/>
        <v>No Return</v>
      </c>
    </row>
    <row r="267" spans="1:22" hidden="1" x14ac:dyDescent="0.3">
      <c r="A267" t="s">
        <v>320</v>
      </c>
      <c r="B267" t="s">
        <v>27</v>
      </c>
      <c r="C267" t="s">
        <v>32</v>
      </c>
      <c r="D267" t="s">
        <v>62</v>
      </c>
      <c r="E267" t="str">
        <f t="shared" si="16"/>
        <v>OS</v>
      </c>
      <c r="G267" t="s">
        <v>40</v>
      </c>
      <c r="H267" s="8">
        <v>67.930000000000007</v>
      </c>
      <c r="I267" s="3">
        <f t="shared" si="17"/>
        <v>0</v>
      </c>
      <c r="J267" s="4">
        <v>0</v>
      </c>
      <c r="K267" s="11">
        <f>Table1[[#This Row],[original_price]]* (Table1[[#This Row],[Markdown percentage updated]])</f>
        <v>0</v>
      </c>
      <c r="L2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67" s="6">
        <v>67.930000000000007</v>
      </c>
      <c r="N2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67" s="7">
        <v>45875</v>
      </c>
      <c r="P267">
        <v>22</v>
      </c>
      <c r="Q267" s="16" t="str">
        <f>IF(Table1[[#This Row],[stock_quantity]]=0,"NO STOCK",
IF(Table1[[#This Row],[stock_quantity]]&lt;=10,"LOW STOCK",
"IN STOCK"))</f>
        <v>IN STOCK</v>
      </c>
      <c r="R267" s="1">
        <f t="shared" si="18"/>
        <v>4.5999999999999996</v>
      </c>
      <c r="S267">
        <v>4.5999999999999996</v>
      </c>
      <c r="T267" t="b">
        <v>0</v>
      </c>
      <c r="U267" t="str">
        <f t="shared" si="19"/>
        <v>No Return</v>
      </c>
    </row>
    <row r="268" spans="1:22" hidden="1" x14ac:dyDescent="0.3">
      <c r="A268" t="s">
        <v>321</v>
      </c>
      <c r="B268" t="s">
        <v>42</v>
      </c>
      <c r="C268" t="s">
        <v>16</v>
      </c>
      <c r="D268" t="s">
        <v>23</v>
      </c>
      <c r="E268" t="str">
        <f t="shared" si="16"/>
        <v>S</v>
      </c>
      <c r="F268" t="s">
        <v>55</v>
      </c>
      <c r="G268" t="s">
        <v>44</v>
      </c>
      <c r="H268" s="8">
        <v>168.96</v>
      </c>
      <c r="I268" s="3">
        <f t="shared" si="17"/>
        <v>0</v>
      </c>
      <c r="J268" s="4">
        <v>0</v>
      </c>
      <c r="K268" s="11">
        <f>Table1[[#This Row],[original_price]]* (Table1[[#This Row],[Markdown percentage updated]])</f>
        <v>0</v>
      </c>
      <c r="L2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68" s="6">
        <v>168.96</v>
      </c>
      <c r="N2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68" s="7">
        <v>45875</v>
      </c>
      <c r="P268">
        <v>9</v>
      </c>
      <c r="Q268" s="17" t="str">
        <f>IF(Table1[[#This Row],[stock_quantity]]=0,"NO STOCK",
IF(Table1[[#This Row],[stock_quantity]]&lt;=10,"LOW STOCK",
"IN STOCK"))</f>
        <v>LOW STOCK</v>
      </c>
      <c r="R268" s="1">
        <f t="shared" si="18"/>
        <v>0</v>
      </c>
      <c r="T268" t="b">
        <v>0</v>
      </c>
      <c r="U268" t="str">
        <f t="shared" si="19"/>
        <v>No Return</v>
      </c>
    </row>
    <row r="269" spans="1:22" hidden="1" x14ac:dyDescent="0.3">
      <c r="A269" t="s">
        <v>322</v>
      </c>
      <c r="B269" t="s">
        <v>21</v>
      </c>
      <c r="C269" t="s">
        <v>53</v>
      </c>
      <c r="D269" t="s">
        <v>34</v>
      </c>
      <c r="E269" t="str">
        <f t="shared" si="16"/>
        <v>OS</v>
      </c>
      <c r="F269" t="s">
        <v>39</v>
      </c>
      <c r="G269" t="s">
        <v>35</v>
      </c>
      <c r="H269" s="8">
        <v>90.63</v>
      </c>
      <c r="I269" s="3">
        <f t="shared" si="17"/>
        <v>0</v>
      </c>
      <c r="J269" s="4">
        <v>0</v>
      </c>
      <c r="K269" s="11">
        <f>Table1[[#This Row],[original_price]]* (Table1[[#This Row],[Markdown percentage updated]])</f>
        <v>0</v>
      </c>
      <c r="L2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69" s="6">
        <v>90.63</v>
      </c>
      <c r="N2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69" s="7">
        <v>45875</v>
      </c>
      <c r="P269">
        <v>33</v>
      </c>
      <c r="Q269" s="16" t="str">
        <f>IF(Table1[[#This Row],[stock_quantity]]=0,"NO STOCK",
IF(Table1[[#This Row],[stock_quantity]]&lt;=10,"LOW STOCK",
"IN STOCK"))</f>
        <v>IN STOCK</v>
      </c>
      <c r="R269" s="1">
        <f t="shared" si="18"/>
        <v>4.2</v>
      </c>
      <c r="S269">
        <v>4.2</v>
      </c>
      <c r="T269" t="b">
        <v>0</v>
      </c>
      <c r="U269" t="str">
        <f t="shared" si="19"/>
        <v>No Return</v>
      </c>
    </row>
    <row r="270" spans="1:22" hidden="1" x14ac:dyDescent="0.3">
      <c r="A270" t="s">
        <v>323</v>
      </c>
      <c r="B270" t="s">
        <v>27</v>
      </c>
      <c r="C270" t="s">
        <v>43</v>
      </c>
      <c r="D270" t="s">
        <v>17</v>
      </c>
      <c r="E270" t="str">
        <f t="shared" si="16"/>
        <v>XXL</v>
      </c>
      <c r="G270" t="s">
        <v>46</v>
      </c>
      <c r="H270" s="8">
        <v>72.3</v>
      </c>
      <c r="I270" s="3">
        <f t="shared" si="17"/>
        <v>4.0000000000000001E-3</v>
      </c>
      <c r="J270" s="4">
        <v>0.4</v>
      </c>
      <c r="K270" s="11">
        <f>Table1[[#This Row],[original_price]]* (Table1[[#This Row],[Markdown percentage updated]])</f>
        <v>0.28920000000000001</v>
      </c>
      <c r="L2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70" s="6">
        <v>72.010000000000005</v>
      </c>
      <c r="N2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70" s="7">
        <v>45655</v>
      </c>
      <c r="P270">
        <v>38</v>
      </c>
      <c r="Q270" s="16" t="str">
        <f>IF(Table1[[#This Row],[stock_quantity]]=0,"NO STOCK",
IF(Table1[[#This Row],[stock_quantity]]&lt;=10,"LOW STOCK",
"IN STOCK"))</f>
        <v>IN STOCK</v>
      </c>
      <c r="R270" s="1">
        <f t="shared" si="18"/>
        <v>3</v>
      </c>
      <c r="S270">
        <v>3</v>
      </c>
      <c r="T270" t="b">
        <v>1</v>
      </c>
      <c r="U270" s="13" t="str">
        <f t="shared" si="19"/>
        <v>Color Mismatch</v>
      </c>
      <c r="V270" t="s">
        <v>36</v>
      </c>
    </row>
    <row r="271" spans="1:22" hidden="1" x14ac:dyDescent="0.3">
      <c r="A271" t="s">
        <v>324</v>
      </c>
      <c r="B271" t="s">
        <v>38</v>
      </c>
      <c r="C271" t="s">
        <v>48</v>
      </c>
      <c r="D271" t="s">
        <v>23</v>
      </c>
      <c r="E271" t="str">
        <f t="shared" si="16"/>
        <v>M</v>
      </c>
      <c r="F271" t="s">
        <v>39</v>
      </c>
      <c r="G271" t="s">
        <v>56</v>
      </c>
      <c r="H271" s="8">
        <v>27.98</v>
      </c>
      <c r="I271" s="3">
        <f t="shared" si="17"/>
        <v>0</v>
      </c>
      <c r="J271" s="4">
        <v>0</v>
      </c>
      <c r="K271" s="11">
        <f>Table1[[#This Row],[original_price]]* (Table1[[#This Row],[Markdown percentage updated]])</f>
        <v>0</v>
      </c>
      <c r="L2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71" s="6">
        <v>27.98</v>
      </c>
      <c r="N2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71" s="7">
        <v>45875</v>
      </c>
      <c r="P271">
        <v>0</v>
      </c>
      <c r="Q271" s="13" t="str">
        <f>IF(Table1[[#This Row],[stock_quantity]]=0,"NO STOCK",
IF(Table1[[#This Row],[stock_quantity]]&lt;=10,"LOW STOCK",
"IN STOCK"))</f>
        <v>NO STOCK</v>
      </c>
      <c r="R271" s="1">
        <f t="shared" si="18"/>
        <v>3</v>
      </c>
      <c r="S271">
        <v>3</v>
      </c>
      <c r="T271" t="b">
        <v>0</v>
      </c>
      <c r="U271" t="str">
        <f t="shared" si="19"/>
        <v>No Return</v>
      </c>
    </row>
    <row r="272" spans="1:22" hidden="1" x14ac:dyDescent="0.3">
      <c r="A272" t="s">
        <v>325</v>
      </c>
      <c r="B272" t="s">
        <v>42</v>
      </c>
      <c r="C272" t="s">
        <v>75</v>
      </c>
      <c r="D272" t="s">
        <v>62</v>
      </c>
      <c r="E272" t="str">
        <f t="shared" si="16"/>
        <v>XXL</v>
      </c>
      <c r="G272" t="s">
        <v>64</v>
      </c>
      <c r="H272" s="8">
        <v>92.73</v>
      </c>
      <c r="I272" s="3">
        <f t="shared" si="17"/>
        <v>0</v>
      </c>
      <c r="J272" s="4">
        <v>0</v>
      </c>
      <c r="K272" s="11">
        <f>Table1[[#This Row],[original_price]]* (Table1[[#This Row],[Markdown percentage updated]])</f>
        <v>0</v>
      </c>
      <c r="L2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72" s="6">
        <v>92.73</v>
      </c>
      <c r="N2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72" s="7">
        <v>45875</v>
      </c>
      <c r="P272">
        <v>15</v>
      </c>
      <c r="Q272" s="16" t="str">
        <f>IF(Table1[[#This Row],[stock_quantity]]=0,"NO STOCK",
IF(Table1[[#This Row],[stock_quantity]]&lt;=10,"LOW STOCK",
"IN STOCK"))</f>
        <v>IN STOCK</v>
      </c>
      <c r="R272" s="1">
        <f t="shared" si="18"/>
        <v>1.4</v>
      </c>
      <c r="S272">
        <v>1.4</v>
      </c>
      <c r="T272" t="b">
        <v>0</v>
      </c>
      <c r="U272" t="str">
        <f t="shared" si="19"/>
        <v>No Return</v>
      </c>
    </row>
    <row r="273" spans="1:22" hidden="1" x14ac:dyDescent="0.3">
      <c r="A273" t="s">
        <v>326</v>
      </c>
      <c r="B273" t="s">
        <v>38</v>
      </c>
      <c r="C273" t="s">
        <v>43</v>
      </c>
      <c r="D273" t="s">
        <v>62</v>
      </c>
      <c r="E273" t="str">
        <f t="shared" si="16"/>
        <v>XL</v>
      </c>
      <c r="F273" t="s">
        <v>49</v>
      </c>
      <c r="G273" t="s">
        <v>35</v>
      </c>
      <c r="H273" s="8">
        <v>64.28</v>
      </c>
      <c r="I273" s="3">
        <f t="shared" si="17"/>
        <v>0</v>
      </c>
      <c r="J273" s="4">
        <v>0</v>
      </c>
      <c r="K273" s="11">
        <f>Table1[[#This Row],[original_price]]* (Table1[[#This Row],[Markdown percentage updated]])</f>
        <v>0</v>
      </c>
      <c r="L2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73" s="6">
        <v>64.28</v>
      </c>
      <c r="N2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73" s="7">
        <v>45875</v>
      </c>
      <c r="P273">
        <v>46</v>
      </c>
      <c r="Q273" s="16" t="str">
        <f>IF(Table1[[#This Row],[stock_quantity]]=0,"NO STOCK",
IF(Table1[[#This Row],[stock_quantity]]&lt;=10,"LOW STOCK",
"IN STOCK"))</f>
        <v>IN STOCK</v>
      </c>
      <c r="R273" s="1">
        <f t="shared" si="18"/>
        <v>3</v>
      </c>
      <c r="S273">
        <v>3</v>
      </c>
      <c r="T273" t="b">
        <v>0</v>
      </c>
      <c r="U273" t="str">
        <f t="shared" si="19"/>
        <v>No Return</v>
      </c>
    </row>
    <row r="274" spans="1:22" hidden="1" x14ac:dyDescent="0.3">
      <c r="A274" t="s">
        <v>327</v>
      </c>
      <c r="B274" t="s">
        <v>42</v>
      </c>
      <c r="C274" t="s">
        <v>53</v>
      </c>
      <c r="D274" t="s">
        <v>34</v>
      </c>
      <c r="E274" t="str">
        <f t="shared" si="16"/>
        <v>L</v>
      </c>
      <c r="F274" t="s">
        <v>58</v>
      </c>
      <c r="G274" t="s">
        <v>28</v>
      </c>
      <c r="H274" s="8">
        <v>133.12</v>
      </c>
      <c r="I274" s="3">
        <f t="shared" si="17"/>
        <v>0</v>
      </c>
      <c r="J274" s="4">
        <v>0</v>
      </c>
      <c r="K274" s="11">
        <f>Table1[[#This Row],[original_price]]* (Table1[[#This Row],[Markdown percentage updated]])</f>
        <v>0</v>
      </c>
      <c r="L2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74" s="6">
        <v>133.12</v>
      </c>
      <c r="N2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74" s="7">
        <v>45875</v>
      </c>
      <c r="P274">
        <v>35</v>
      </c>
      <c r="Q274" s="16" t="str">
        <f>IF(Table1[[#This Row],[stock_quantity]]=0,"NO STOCK",
IF(Table1[[#This Row],[stock_quantity]]&lt;=10,"LOW STOCK",
"IN STOCK"))</f>
        <v>IN STOCK</v>
      </c>
      <c r="R274" s="1">
        <f t="shared" si="18"/>
        <v>1.9</v>
      </c>
      <c r="S274">
        <v>1.9</v>
      </c>
      <c r="T274" t="b">
        <v>0</v>
      </c>
      <c r="U274" t="str">
        <f t="shared" si="19"/>
        <v>No Return</v>
      </c>
    </row>
    <row r="275" spans="1:22" hidden="1" x14ac:dyDescent="0.3">
      <c r="A275" t="s">
        <v>328</v>
      </c>
      <c r="B275" t="s">
        <v>21</v>
      </c>
      <c r="C275" t="s">
        <v>61</v>
      </c>
      <c r="D275" t="s">
        <v>23</v>
      </c>
      <c r="E275" t="str">
        <f t="shared" si="16"/>
        <v>XS</v>
      </c>
      <c r="F275" t="s">
        <v>49</v>
      </c>
      <c r="G275" t="s">
        <v>70</v>
      </c>
      <c r="H275" s="8">
        <v>70.36</v>
      </c>
      <c r="I275" s="3">
        <f t="shared" si="17"/>
        <v>0</v>
      </c>
      <c r="J275" s="4">
        <v>0</v>
      </c>
      <c r="K275" s="11">
        <f>Table1[[#This Row],[original_price]]* (Table1[[#This Row],[Markdown percentage updated]])</f>
        <v>0</v>
      </c>
      <c r="L2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75" s="6">
        <v>70.36</v>
      </c>
      <c r="N2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75" s="7">
        <v>45875</v>
      </c>
      <c r="P275">
        <v>0</v>
      </c>
      <c r="Q275" s="13" t="str">
        <f>IF(Table1[[#This Row],[stock_quantity]]=0,"NO STOCK",
IF(Table1[[#This Row],[stock_quantity]]&lt;=10,"LOW STOCK",
"IN STOCK"))</f>
        <v>NO STOCK</v>
      </c>
      <c r="R275" s="1">
        <f t="shared" si="18"/>
        <v>0</v>
      </c>
      <c r="T275" t="b">
        <v>0</v>
      </c>
      <c r="U275" t="str">
        <f t="shared" si="19"/>
        <v>No Return</v>
      </c>
    </row>
    <row r="276" spans="1:22" hidden="1" x14ac:dyDescent="0.3">
      <c r="A276" t="s">
        <v>329</v>
      </c>
      <c r="B276" t="s">
        <v>15</v>
      </c>
      <c r="C276" t="s">
        <v>22</v>
      </c>
      <c r="D276" t="s">
        <v>62</v>
      </c>
      <c r="E276" t="str">
        <f t="shared" si="16"/>
        <v>OS</v>
      </c>
      <c r="F276" t="s">
        <v>18</v>
      </c>
      <c r="G276" t="s">
        <v>25</v>
      </c>
      <c r="H276" s="8">
        <v>199.01</v>
      </c>
      <c r="I276" s="3">
        <f t="shared" si="17"/>
        <v>0</v>
      </c>
      <c r="J276" s="4">
        <v>0</v>
      </c>
      <c r="K276" s="11">
        <f>Table1[[#This Row],[original_price]]* (Table1[[#This Row],[Markdown percentage updated]])</f>
        <v>0</v>
      </c>
      <c r="L2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76" s="6">
        <v>199.01</v>
      </c>
      <c r="N2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76" s="7">
        <v>45875</v>
      </c>
      <c r="P276">
        <v>8</v>
      </c>
      <c r="Q276" s="17" t="str">
        <f>IF(Table1[[#This Row],[stock_quantity]]=0,"NO STOCK",
IF(Table1[[#This Row],[stock_quantity]]&lt;=10,"LOW STOCK",
"IN STOCK"))</f>
        <v>LOW STOCK</v>
      </c>
      <c r="R276" s="1">
        <f t="shared" si="18"/>
        <v>4.4000000000000004</v>
      </c>
      <c r="S276">
        <v>4.4000000000000004</v>
      </c>
      <c r="T276" t="b">
        <v>0</v>
      </c>
      <c r="U276" t="str">
        <f t="shared" si="19"/>
        <v>No Return</v>
      </c>
    </row>
    <row r="277" spans="1:22" hidden="1" x14ac:dyDescent="0.3">
      <c r="A277" t="s">
        <v>330</v>
      </c>
      <c r="B277" t="s">
        <v>38</v>
      </c>
      <c r="C277" t="s">
        <v>48</v>
      </c>
      <c r="D277" t="s">
        <v>62</v>
      </c>
      <c r="E277" t="str">
        <f t="shared" si="16"/>
        <v>XXL</v>
      </c>
      <c r="F277" t="s">
        <v>24</v>
      </c>
      <c r="G277" t="s">
        <v>64</v>
      </c>
      <c r="H277" s="8">
        <v>62.41</v>
      </c>
      <c r="I277" s="3">
        <f t="shared" si="17"/>
        <v>0.371</v>
      </c>
      <c r="J277" s="4">
        <v>37.1</v>
      </c>
      <c r="K277" s="11">
        <f>Table1[[#This Row],[original_price]]* (Table1[[#This Row],[Markdown percentage updated]])</f>
        <v>23.154109999999999</v>
      </c>
      <c r="L2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77" s="6">
        <v>39.26</v>
      </c>
      <c r="N2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77" s="7">
        <v>45875</v>
      </c>
      <c r="P277">
        <v>6</v>
      </c>
      <c r="Q277" s="17" t="str">
        <f>IF(Table1[[#This Row],[stock_quantity]]=0,"NO STOCK",
IF(Table1[[#This Row],[stock_quantity]]&lt;=10,"LOW STOCK",
"IN STOCK"))</f>
        <v>LOW STOCK</v>
      </c>
      <c r="R277" s="1">
        <f t="shared" si="18"/>
        <v>4.0999999999999996</v>
      </c>
      <c r="S277">
        <v>4.0999999999999996</v>
      </c>
      <c r="T277" t="b">
        <v>0</v>
      </c>
      <c r="U277" t="str">
        <f t="shared" si="19"/>
        <v>No Return</v>
      </c>
    </row>
    <row r="278" spans="1:22" hidden="1" x14ac:dyDescent="0.3">
      <c r="A278" t="s">
        <v>331</v>
      </c>
      <c r="B278" t="s">
        <v>30</v>
      </c>
      <c r="C278" t="s">
        <v>22</v>
      </c>
      <c r="D278" t="s">
        <v>62</v>
      </c>
      <c r="E278" t="str">
        <f t="shared" si="16"/>
        <v>OS</v>
      </c>
      <c r="F278" t="s">
        <v>55</v>
      </c>
      <c r="G278" t="s">
        <v>28</v>
      </c>
      <c r="H278" s="8">
        <v>71.44</v>
      </c>
      <c r="I278" s="3">
        <f t="shared" si="17"/>
        <v>0</v>
      </c>
      <c r="J278" s="4">
        <v>0</v>
      </c>
      <c r="K278" s="11">
        <f>Table1[[#This Row],[original_price]]* (Table1[[#This Row],[Markdown percentage updated]])</f>
        <v>0</v>
      </c>
      <c r="L2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78" s="6">
        <v>71.44</v>
      </c>
      <c r="N2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78" s="7">
        <v>45875</v>
      </c>
      <c r="P278">
        <v>45</v>
      </c>
      <c r="Q278" s="16" t="str">
        <f>IF(Table1[[#This Row],[stock_quantity]]=0,"NO STOCK",
IF(Table1[[#This Row],[stock_quantity]]&lt;=10,"LOW STOCK",
"IN STOCK"))</f>
        <v>IN STOCK</v>
      </c>
      <c r="R278" s="1">
        <f t="shared" si="18"/>
        <v>4</v>
      </c>
      <c r="S278">
        <v>4</v>
      </c>
      <c r="T278" t="b">
        <v>0</v>
      </c>
      <c r="U278" t="str">
        <f t="shared" si="19"/>
        <v>No Return</v>
      </c>
    </row>
    <row r="279" spans="1:22" hidden="1" x14ac:dyDescent="0.3">
      <c r="A279" t="s">
        <v>332</v>
      </c>
      <c r="B279" t="s">
        <v>42</v>
      </c>
      <c r="C279" t="s">
        <v>16</v>
      </c>
      <c r="D279" t="s">
        <v>23</v>
      </c>
      <c r="E279" t="str">
        <f t="shared" si="16"/>
        <v>OS</v>
      </c>
      <c r="G279" t="s">
        <v>44</v>
      </c>
      <c r="H279" s="8">
        <v>89.69</v>
      </c>
      <c r="I279" s="3">
        <f t="shared" si="17"/>
        <v>0</v>
      </c>
      <c r="J279" s="4">
        <v>0</v>
      </c>
      <c r="K279" s="11">
        <f>Table1[[#This Row],[original_price]]* (Table1[[#This Row],[Markdown percentage updated]])</f>
        <v>0</v>
      </c>
      <c r="L2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79" s="6">
        <v>89.69</v>
      </c>
      <c r="N2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79" s="7">
        <v>45875</v>
      </c>
      <c r="P279">
        <v>50</v>
      </c>
      <c r="Q279" s="16" t="str">
        <f>IF(Table1[[#This Row],[stock_quantity]]=0,"NO STOCK",
IF(Table1[[#This Row],[stock_quantity]]&lt;=10,"LOW STOCK",
"IN STOCK"))</f>
        <v>IN STOCK</v>
      </c>
      <c r="R279" s="1">
        <f t="shared" si="18"/>
        <v>4.3</v>
      </c>
      <c r="S279">
        <v>4.3</v>
      </c>
      <c r="T279" t="b">
        <v>0</v>
      </c>
      <c r="U279" t="str">
        <f t="shared" si="19"/>
        <v>No Return</v>
      </c>
    </row>
    <row r="280" spans="1:22" hidden="1" x14ac:dyDescent="0.3">
      <c r="A280" t="s">
        <v>333</v>
      </c>
      <c r="B280" t="s">
        <v>15</v>
      </c>
      <c r="C280" t="s">
        <v>43</v>
      </c>
      <c r="D280" t="s">
        <v>17</v>
      </c>
      <c r="E280" t="str">
        <f t="shared" si="16"/>
        <v>S</v>
      </c>
      <c r="F280" t="s">
        <v>49</v>
      </c>
      <c r="G280" t="s">
        <v>40</v>
      </c>
      <c r="H280" s="8">
        <v>161.65</v>
      </c>
      <c r="I280" s="3">
        <f t="shared" si="17"/>
        <v>0.10199999999999999</v>
      </c>
      <c r="J280" s="4">
        <v>10.199999999999999</v>
      </c>
      <c r="K280" s="11">
        <f>Table1[[#This Row],[original_price]]* (Table1[[#This Row],[Markdown percentage updated]])</f>
        <v>16.488299999999999</v>
      </c>
      <c r="L2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80" s="6">
        <v>145.16</v>
      </c>
      <c r="N2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80" s="7">
        <v>45746</v>
      </c>
      <c r="P280">
        <v>42</v>
      </c>
      <c r="Q280" s="16" t="str">
        <f>IF(Table1[[#This Row],[stock_quantity]]=0,"NO STOCK",
IF(Table1[[#This Row],[stock_quantity]]&lt;=10,"LOW STOCK",
"IN STOCK"))</f>
        <v>IN STOCK</v>
      </c>
      <c r="R280" s="1">
        <f t="shared" si="18"/>
        <v>0</v>
      </c>
      <c r="T280" t="b">
        <v>0</v>
      </c>
      <c r="U280" t="str">
        <f t="shared" si="19"/>
        <v>No Return</v>
      </c>
    </row>
    <row r="281" spans="1:22" hidden="1" x14ac:dyDescent="0.3">
      <c r="A281" t="s">
        <v>334</v>
      </c>
      <c r="B281" t="s">
        <v>27</v>
      </c>
      <c r="C281" t="s">
        <v>22</v>
      </c>
      <c r="D281" t="s">
        <v>23</v>
      </c>
      <c r="E281" t="str">
        <f t="shared" si="16"/>
        <v>XS</v>
      </c>
      <c r="G281" t="s">
        <v>35</v>
      </c>
      <c r="H281" s="8">
        <v>46.59</v>
      </c>
      <c r="I281" s="3">
        <f t="shared" si="17"/>
        <v>0</v>
      </c>
      <c r="J281" s="4">
        <v>0</v>
      </c>
      <c r="K281" s="11">
        <f>Table1[[#This Row],[original_price]]* (Table1[[#This Row],[Markdown percentage updated]])</f>
        <v>0</v>
      </c>
      <c r="L2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81" s="6">
        <v>46.59</v>
      </c>
      <c r="N2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81" s="7">
        <v>45875</v>
      </c>
      <c r="P281">
        <v>29</v>
      </c>
      <c r="Q281" s="16" t="str">
        <f>IF(Table1[[#This Row],[stock_quantity]]=0,"NO STOCK",
IF(Table1[[#This Row],[stock_quantity]]&lt;=10,"LOW STOCK",
"IN STOCK"))</f>
        <v>IN STOCK</v>
      </c>
      <c r="R281" s="1">
        <f t="shared" si="18"/>
        <v>4.8</v>
      </c>
      <c r="S281">
        <v>4.8</v>
      </c>
      <c r="T281" t="b">
        <v>0</v>
      </c>
      <c r="U281" t="str">
        <f t="shared" si="19"/>
        <v>No Return</v>
      </c>
    </row>
    <row r="282" spans="1:22" hidden="1" x14ac:dyDescent="0.3">
      <c r="A282" t="s">
        <v>335</v>
      </c>
      <c r="B282" t="s">
        <v>27</v>
      </c>
      <c r="C282" t="s">
        <v>16</v>
      </c>
      <c r="D282" t="s">
        <v>34</v>
      </c>
      <c r="E282" t="str">
        <f t="shared" si="16"/>
        <v>S</v>
      </c>
      <c r="G282" t="s">
        <v>25</v>
      </c>
      <c r="H282" s="8">
        <v>74.2</v>
      </c>
      <c r="I282" s="3">
        <f t="shared" si="17"/>
        <v>0</v>
      </c>
      <c r="J282" s="4">
        <v>0</v>
      </c>
      <c r="K282" s="11">
        <f>Table1[[#This Row],[original_price]]* (Table1[[#This Row],[Markdown percentage updated]])</f>
        <v>0</v>
      </c>
      <c r="L2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82" s="6">
        <v>74.2</v>
      </c>
      <c r="N2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82" s="7">
        <v>45875</v>
      </c>
      <c r="P282">
        <v>22</v>
      </c>
      <c r="Q282" s="16" t="str">
        <f>IF(Table1[[#This Row],[stock_quantity]]=0,"NO STOCK",
IF(Table1[[#This Row],[stock_quantity]]&lt;=10,"LOW STOCK",
"IN STOCK"))</f>
        <v>IN STOCK</v>
      </c>
      <c r="R282" s="1">
        <f t="shared" si="18"/>
        <v>1.7</v>
      </c>
      <c r="S282">
        <v>1.7</v>
      </c>
      <c r="T282" t="b">
        <v>0</v>
      </c>
      <c r="U282" t="str">
        <f t="shared" si="19"/>
        <v>No Return</v>
      </c>
    </row>
    <row r="283" spans="1:22" hidden="1" x14ac:dyDescent="0.3">
      <c r="A283" t="s">
        <v>336</v>
      </c>
      <c r="B283" t="s">
        <v>38</v>
      </c>
      <c r="C283" t="s">
        <v>22</v>
      </c>
      <c r="D283" t="s">
        <v>34</v>
      </c>
      <c r="E283" t="str">
        <f t="shared" si="16"/>
        <v>M</v>
      </c>
      <c r="F283" t="s">
        <v>39</v>
      </c>
      <c r="G283" t="s">
        <v>70</v>
      </c>
      <c r="H283" s="8">
        <v>99.67</v>
      </c>
      <c r="I283" s="3">
        <f t="shared" si="17"/>
        <v>0</v>
      </c>
      <c r="J283" s="4">
        <v>0</v>
      </c>
      <c r="K283" s="11">
        <f>Table1[[#This Row],[original_price]]* (Table1[[#This Row],[Markdown percentage updated]])</f>
        <v>0</v>
      </c>
      <c r="L2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83" s="6">
        <v>99.67</v>
      </c>
      <c r="N2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83" s="7">
        <v>45875</v>
      </c>
      <c r="P283">
        <v>13</v>
      </c>
      <c r="Q283" s="16" t="str">
        <f>IF(Table1[[#This Row],[stock_quantity]]=0,"NO STOCK",
IF(Table1[[#This Row],[stock_quantity]]&lt;=10,"LOW STOCK",
"IN STOCK"))</f>
        <v>IN STOCK</v>
      </c>
      <c r="R283" s="1">
        <f t="shared" si="18"/>
        <v>5</v>
      </c>
      <c r="S283">
        <v>5</v>
      </c>
      <c r="T283" t="b">
        <v>0</v>
      </c>
      <c r="U283" t="str">
        <f t="shared" si="19"/>
        <v>No Return</v>
      </c>
    </row>
    <row r="284" spans="1:22" hidden="1" x14ac:dyDescent="0.3">
      <c r="A284" t="s">
        <v>337</v>
      </c>
      <c r="B284" t="s">
        <v>30</v>
      </c>
      <c r="C284" t="s">
        <v>75</v>
      </c>
      <c r="D284" t="s">
        <v>34</v>
      </c>
      <c r="E284" t="str">
        <f t="shared" si="16"/>
        <v>OS</v>
      </c>
      <c r="F284" t="s">
        <v>55</v>
      </c>
      <c r="G284" t="s">
        <v>66</v>
      </c>
      <c r="H284" s="8">
        <v>112.74</v>
      </c>
      <c r="I284" s="3">
        <f t="shared" si="17"/>
        <v>0.23</v>
      </c>
      <c r="J284" s="4">
        <v>23</v>
      </c>
      <c r="K284" s="11">
        <f>Table1[[#This Row],[original_price]]* (Table1[[#This Row],[Markdown percentage updated]])</f>
        <v>25.930199999999999</v>
      </c>
      <c r="L2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84" s="6">
        <v>86.81</v>
      </c>
      <c r="N2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84" s="7">
        <v>45875</v>
      </c>
      <c r="P284">
        <v>37</v>
      </c>
      <c r="Q284" s="16" t="str">
        <f>IF(Table1[[#This Row],[stock_quantity]]=0,"NO STOCK",
IF(Table1[[#This Row],[stock_quantity]]&lt;=10,"LOW STOCK",
"IN STOCK"))</f>
        <v>IN STOCK</v>
      </c>
      <c r="R284" s="1">
        <f t="shared" si="18"/>
        <v>1</v>
      </c>
      <c r="S284">
        <v>1</v>
      </c>
      <c r="T284" t="b">
        <v>0</v>
      </c>
      <c r="U284" t="str">
        <f t="shared" si="19"/>
        <v>No Return</v>
      </c>
    </row>
    <row r="285" spans="1:22" hidden="1" x14ac:dyDescent="0.3">
      <c r="A285" t="s">
        <v>338</v>
      </c>
      <c r="B285" t="s">
        <v>21</v>
      </c>
      <c r="C285" t="s">
        <v>32</v>
      </c>
      <c r="D285" t="s">
        <v>62</v>
      </c>
      <c r="E285" t="str">
        <f t="shared" si="16"/>
        <v>XL</v>
      </c>
      <c r="F285" t="s">
        <v>39</v>
      </c>
      <c r="G285" t="s">
        <v>28</v>
      </c>
      <c r="H285" s="8">
        <v>95.82</v>
      </c>
      <c r="I285" s="3">
        <f t="shared" si="17"/>
        <v>0.39399999999999996</v>
      </c>
      <c r="J285" s="4">
        <v>39.4</v>
      </c>
      <c r="K285" s="11">
        <f>Table1[[#This Row],[original_price]]* (Table1[[#This Row],[Markdown percentage updated]])</f>
        <v>37.753079999999997</v>
      </c>
      <c r="L2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85" s="6">
        <v>58.07</v>
      </c>
      <c r="N2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85" s="7">
        <v>45875</v>
      </c>
      <c r="P285">
        <v>6</v>
      </c>
      <c r="Q285" s="17" t="str">
        <f>IF(Table1[[#This Row],[stock_quantity]]=0,"NO STOCK",
IF(Table1[[#This Row],[stock_quantity]]&lt;=10,"LOW STOCK",
"IN STOCK"))</f>
        <v>LOW STOCK</v>
      </c>
      <c r="R285" s="1">
        <f t="shared" si="18"/>
        <v>0</v>
      </c>
      <c r="T285" t="b">
        <v>1</v>
      </c>
      <c r="U285" s="13" t="str">
        <f t="shared" si="19"/>
        <v>Damaged</v>
      </c>
      <c r="V285" t="s">
        <v>78</v>
      </c>
    </row>
    <row r="286" spans="1:22" hidden="1" x14ac:dyDescent="0.3">
      <c r="A286" t="s">
        <v>339</v>
      </c>
      <c r="B286" t="s">
        <v>30</v>
      </c>
      <c r="C286" t="s">
        <v>53</v>
      </c>
      <c r="D286" t="s">
        <v>23</v>
      </c>
      <c r="E286" t="str">
        <f t="shared" si="16"/>
        <v>S</v>
      </c>
      <c r="F286" t="s">
        <v>58</v>
      </c>
      <c r="G286" t="s">
        <v>46</v>
      </c>
      <c r="H286" s="8">
        <v>157.41999999999999</v>
      </c>
      <c r="I286" s="3">
        <f t="shared" si="17"/>
        <v>0</v>
      </c>
      <c r="J286" s="4">
        <v>0</v>
      </c>
      <c r="K286" s="11">
        <f>Table1[[#This Row],[original_price]]* (Table1[[#This Row],[Markdown percentage updated]])</f>
        <v>0</v>
      </c>
      <c r="L2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86" s="6">
        <v>157.41999999999999</v>
      </c>
      <c r="N2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86" s="7">
        <v>45875</v>
      </c>
      <c r="P286">
        <v>38</v>
      </c>
      <c r="Q286" s="16" t="str">
        <f>IF(Table1[[#This Row],[stock_quantity]]=0,"NO STOCK",
IF(Table1[[#This Row],[stock_quantity]]&lt;=10,"LOW STOCK",
"IN STOCK"))</f>
        <v>IN STOCK</v>
      </c>
      <c r="R286" s="1">
        <f t="shared" si="18"/>
        <v>2.4</v>
      </c>
      <c r="S286">
        <v>2.4</v>
      </c>
      <c r="T286" t="b">
        <v>0</v>
      </c>
      <c r="U286" t="str">
        <f t="shared" si="19"/>
        <v>No Return</v>
      </c>
    </row>
    <row r="287" spans="1:22" hidden="1" x14ac:dyDescent="0.3">
      <c r="A287" t="s">
        <v>340</v>
      </c>
      <c r="B287" t="s">
        <v>27</v>
      </c>
      <c r="C287" t="s">
        <v>16</v>
      </c>
      <c r="D287" t="s">
        <v>34</v>
      </c>
      <c r="E287" t="str">
        <f t="shared" si="16"/>
        <v>OS</v>
      </c>
      <c r="G287" t="s">
        <v>19</v>
      </c>
      <c r="H287" s="8">
        <v>60.17</v>
      </c>
      <c r="I287" s="3">
        <f t="shared" si="17"/>
        <v>0.14099999999999999</v>
      </c>
      <c r="J287" s="4">
        <v>14.1</v>
      </c>
      <c r="K287" s="11">
        <f>Table1[[#This Row],[original_price]]* (Table1[[#This Row],[Markdown percentage updated]])</f>
        <v>8.4839699999999993</v>
      </c>
      <c r="L2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87" s="6">
        <v>51.69</v>
      </c>
      <c r="N2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87" s="7">
        <v>45875</v>
      </c>
      <c r="P287">
        <v>38</v>
      </c>
      <c r="Q287" s="16" t="str">
        <f>IF(Table1[[#This Row],[stock_quantity]]=0,"NO STOCK",
IF(Table1[[#This Row],[stock_quantity]]&lt;=10,"LOW STOCK",
"IN STOCK"))</f>
        <v>IN STOCK</v>
      </c>
      <c r="R287" s="1">
        <f t="shared" si="18"/>
        <v>5</v>
      </c>
      <c r="S287">
        <v>5</v>
      </c>
      <c r="T287" t="b">
        <v>0</v>
      </c>
      <c r="U287" t="str">
        <f t="shared" si="19"/>
        <v>No Return</v>
      </c>
    </row>
    <row r="288" spans="1:22" hidden="1" x14ac:dyDescent="0.3">
      <c r="A288" t="s">
        <v>341</v>
      </c>
      <c r="B288" t="s">
        <v>15</v>
      </c>
      <c r="C288" t="s">
        <v>43</v>
      </c>
      <c r="D288" t="s">
        <v>23</v>
      </c>
      <c r="E288" t="str">
        <f t="shared" si="16"/>
        <v>OS</v>
      </c>
      <c r="F288" t="s">
        <v>18</v>
      </c>
      <c r="G288" t="s">
        <v>25</v>
      </c>
      <c r="H288" s="8">
        <v>169.03</v>
      </c>
      <c r="I288" s="3">
        <f t="shared" si="17"/>
        <v>0</v>
      </c>
      <c r="J288" s="4">
        <v>0</v>
      </c>
      <c r="K288" s="11">
        <f>Table1[[#This Row],[original_price]]* (Table1[[#This Row],[Markdown percentage updated]])</f>
        <v>0</v>
      </c>
      <c r="L2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88" s="6">
        <v>169.03</v>
      </c>
      <c r="N2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88" s="7">
        <v>45875</v>
      </c>
      <c r="P288">
        <v>16</v>
      </c>
      <c r="Q288" s="16" t="str">
        <f>IF(Table1[[#This Row],[stock_quantity]]=0,"NO STOCK",
IF(Table1[[#This Row],[stock_quantity]]&lt;=10,"LOW STOCK",
"IN STOCK"))</f>
        <v>IN STOCK</v>
      </c>
      <c r="R288" s="1">
        <f t="shared" si="18"/>
        <v>1.7</v>
      </c>
      <c r="S288">
        <v>1.7</v>
      </c>
      <c r="T288" t="b">
        <v>0</v>
      </c>
      <c r="U288" t="str">
        <f t="shared" si="19"/>
        <v>No Return</v>
      </c>
    </row>
    <row r="289" spans="1:22" hidden="1" x14ac:dyDescent="0.3">
      <c r="A289" t="s">
        <v>342</v>
      </c>
      <c r="B289" t="s">
        <v>42</v>
      </c>
      <c r="C289" t="s">
        <v>22</v>
      </c>
      <c r="D289" t="s">
        <v>34</v>
      </c>
      <c r="E289" t="str">
        <f t="shared" si="16"/>
        <v>M</v>
      </c>
      <c r="F289" t="s">
        <v>39</v>
      </c>
      <c r="G289" t="s">
        <v>25</v>
      </c>
      <c r="H289" s="8">
        <v>175.86</v>
      </c>
      <c r="I289" s="3">
        <f t="shared" si="17"/>
        <v>0</v>
      </c>
      <c r="J289" s="4">
        <v>0</v>
      </c>
      <c r="K289" s="11">
        <f>Table1[[#This Row],[original_price]]* (Table1[[#This Row],[Markdown percentage updated]])</f>
        <v>0</v>
      </c>
      <c r="L2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89" s="6">
        <v>175.86</v>
      </c>
      <c r="N2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89" s="7">
        <v>45875</v>
      </c>
      <c r="P289">
        <v>0</v>
      </c>
      <c r="Q289" s="13" t="str">
        <f>IF(Table1[[#This Row],[stock_quantity]]=0,"NO STOCK",
IF(Table1[[#This Row],[stock_quantity]]&lt;=10,"LOW STOCK",
"IN STOCK"))</f>
        <v>NO STOCK</v>
      </c>
      <c r="R289" s="1">
        <f t="shared" si="18"/>
        <v>4.5999999999999996</v>
      </c>
      <c r="S289">
        <v>4.5999999999999996</v>
      </c>
      <c r="T289" t="b">
        <v>0</v>
      </c>
      <c r="U289" t="str">
        <f t="shared" si="19"/>
        <v>No Return</v>
      </c>
    </row>
    <row r="290" spans="1:22" hidden="1" x14ac:dyDescent="0.3">
      <c r="A290" t="s">
        <v>343</v>
      </c>
      <c r="B290" t="s">
        <v>30</v>
      </c>
      <c r="C290" t="s">
        <v>43</v>
      </c>
      <c r="D290" t="s">
        <v>62</v>
      </c>
      <c r="E290" t="str">
        <f t="shared" si="16"/>
        <v>XS</v>
      </c>
      <c r="G290" t="s">
        <v>70</v>
      </c>
      <c r="H290" s="8">
        <v>169.75</v>
      </c>
      <c r="I290" s="3">
        <f t="shared" si="17"/>
        <v>0</v>
      </c>
      <c r="J290" s="4">
        <v>0</v>
      </c>
      <c r="K290" s="11">
        <f>Table1[[#This Row],[original_price]]* (Table1[[#This Row],[Markdown percentage updated]])</f>
        <v>0</v>
      </c>
      <c r="L2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90" s="6">
        <v>169.75</v>
      </c>
      <c r="N2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90" s="7">
        <v>45875</v>
      </c>
      <c r="P290">
        <v>5</v>
      </c>
      <c r="Q290" s="17" t="str">
        <f>IF(Table1[[#This Row],[stock_quantity]]=0,"NO STOCK",
IF(Table1[[#This Row],[stock_quantity]]&lt;=10,"LOW STOCK",
"IN STOCK"))</f>
        <v>LOW STOCK</v>
      </c>
      <c r="R290" s="1">
        <f t="shared" si="18"/>
        <v>2.7</v>
      </c>
      <c r="S290">
        <v>2.7</v>
      </c>
      <c r="T290" t="b">
        <v>0</v>
      </c>
      <c r="U290" t="str">
        <f t="shared" si="19"/>
        <v>No Return</v>
      </c>
    </row>
    <row r="291" spans="1:22" hidden="1" x14ac:dyDescent="0.3">
      <c r="A291" t="s">
        <v>344</v>
      </c>
      <c r="B291" t="s">
        <v>27</v>
      </c>
      <c r="C291" t="s">
        <v>48</v>
      </c>
      <c r="D291" t="s">
        <v>62</v>
      </c>
      <c r="E291" t="str">
        <f t="shared" si="16"/>
        <v>M</v>
      </c>
      <c r="G291" t="s">
        <v>19</v>
      </c>
      <c r="H291" s="8">
        <v>51.77</v>
      </c>
      <c r="I291" s="3">
        <f t="shared" si="17"/>
        <v>0.24299999999999999</v>
      </c>
      <c r="J291" s="4">
        <v>24.3</v>
      </c>
      <c r="K291" s="11">
        <f>Table1[[#This Row],[original_price]]* (Table1[[#This Row],[Markdown percentage updated]])</f>
        <v>12.580110000000001</v>
      </c>
      <c r="L2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91" s="6">
        <v>39.19</v>
      </c>
      <c r="N2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91" s="7">
        <v>45875</v>
      </c>
      <c r="P291">
        <v>50</v>
      </c>
      <c r="Q291" s="16" t="str">
        <f>IF(Table1[[#This Row],[stock_quantity]]=0,"NO STOCK",
IF(Table1[[#This Row],[stock_quantity]]&lt;=10,"LOW STOCK",
"IN STOCK"))</f>
        <v>IN STOCK</v>
      </c>
      <c r="R291" s="1">
        <f t="shared" si="18"/>
        <v>3.7</v>
      </c>
      <c r="S291">
        <v>3.7</v>
      </c>
      <c r="T291" t="b">
        <v>0</v>
      </c>
      <c r="U291" t="str">
        <f t="shared" si="19"/>
        <v>No Return</v>
      </c>
    </row>
    <row r="292" spans="1:22" hidden="1" x14ac:dyDescent="0.3">
      <c r="A292" t="s">
        <v>345</v>
      </c>
      <c r="B292" t="s">
        <v>21</v>
      </c>
      <c r="C292" t="s">
        <v>43</v>
      </c>
      <c r="D292" t="s">
        <v>34</v>
      </c>
      <c r="E292" t="str">
        <f t="shared" si="16"/>
        <v>S</v>
      </c>
      <c r="F292" t="s">
        <v>58</v>
      </c>
      <c r="G292" t="s">
        <v>28</v>
      </c>
      <c r="H292" s="8">
        <v>83.09</v>
      </c>
      <c r="I292" s="3">
        <f t="shared" si="17"/>
        <v>0</v>
      </c>
      <c r="J292" s="4">
        <v>0</v>
      </c>
      <c r="K292" s="11">
        <f>Table1[[#This Row],[original_price]]* (Table1[[#This Row],[Markdown percentage updated]])</f>
        <v>0</v>
      </c>
      <c r="L2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92" s="6">
        <v>83.09</v>
      </c>
      <c r="N2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92" s="7">
        <v>45875</v>
      </c>
      <c r="P292">
        <v>22</v>
      </c>
      <c r="Q292" s="16" t="str">
        <f>IF(Table1[[#This Row],[stock_quantity]]=0,"NO STOCK",
IF(Table1[[#This Row],[stock_quantity]]&lt;=10,"LOW STOCK",
"IN STOCK"))</f>
        <v>IN STOCK</v>
      </c>
      <c r="R292" s="1">
        <f t="shared" si="18"/>
        <v>2.2999999999999998</v>
      </c>
      <c r="S292">
        <v>2.2999999999999998</v>
      </c>
      <c r="T292" t="b">
        <v>0</v>
      </c>
      <c r="U292" t="str">
        <f t="shared" si="19"/>
        <v>No Return</v>
      </c>
    </row>
    <row r="293" spans="1:22" hidden="1" x14ac:dyDescent="0.3">
      <c r="A293" t="s">
        <v>346</v>
      </c>
      <c r="B293" t="s">
        <v>15</v>
      </c>
      <c r="C293" t="s">
        <v>53</v>
      </c>
      <c r="D293" t="s">
        <v>23</v>
      </c>
      <c r="E293" t="str">
        <f t="shared" si="16"/>
        <v>M</v>
      </c>
      <c r="F293" t="s">
        <v>55</v>
      </c>
      <c r="G293" t="s">
        <v>66</v>
      </c>
      <c r="H293" s="8">
        <v>176.1</v>
      </c>
      <c r="I293" s="3">
        <f t="shared" si="17"/>
        <v>0</v>
      </c>
      <c r="J293" s="4">
        <v>0</v>
      </c>
      <c r="K293" s="11">
        <f>Table1[[#This Row],[original_price]]* (Table1[[#This Row],[Markdown percentage updated]])</f>
        <v>0</v>
      </c>
      <c r="L2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93" s="6">
        <v>176.1</v>
      </c>
      <c r="N2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93" s="7">
        <v>45875</v>
      </c>
      <c r="P293">
        <v>12</v>
      </c>
      <c r="Q293" s="16" t="str">
        <f>IF(Table1[[#This Row],[stock_quantity]]=0,"NO STOCK",
IF(Table1[[#This Row],[stock_quantity]]&lt;=10,"LOW STOCK",
"IN STOCK"))</f>
        <v>IN STOCK</v>
      </c>
      <c r="R293" s="1">
        <f t="shared" si="18"/>
        <v>4.5999999999999996</v>
      </c>
      <c r="S293">
        <v>4.5999999999999996</v>
      </c>
      <c r="T293" t="b">
        <v>0</v>
      </c>
      <c r="U293" t="str">
        <f t="shared" si="19"/>
        <v>No Return</v>
      </c>
    </row>
    <row r="294" spans="1:22" hidden="1" x14ac:dyDescent="0.3">
      <c r="A294" t="s">
        <v>347</v>
      </c>
      <c r="B294" t="s">
        <v>38</v>
      </c>
      <c r="C294" t="s">
        <v>43</v>
      </c>
      <c r="D294" t="s">
        <v>34</v>
      </c>
      <c r="E294" t="str">
        <f t="shared" si="16"/>
        <v>XXL</v>
      </c>
      <c r="F294" t="s">
        <v>58</v>
      </c>
      <c r="G294" t="s">
        <v>44</v>
      </c>
      <c r="H294" s="8">
        <v>69.11</v>
      </c>
      <c r="I294" s="3">
        <f t="shared" si="17"/>
        <v>0</v>
      </c>
      <c r="J294" s="4">
        <v>0</v>
      </c>
      <c r="K294" s="11">
        <f>Table1[[#This Row],[original_price]]* (Table1[[#This Row],[Markdown percentage updated]])</f>
        <v>0</v>
      </c>
      <c r="L2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94" s="6">
        <v>69.11</v>
      </c>
      <c r="N2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94" s="7">
        <v>45875</v>
      </c>
      <c r="P294">
        <v>18</v>
      </c>
      <c r="Q294" s="16" t="str">
        <f>IF(Table1[[#This Row],[stock_quantity]]=0,"NO STOCK",
IF(Table1[[#This Row],[stock_quantity]]&lt;=10,"LOW STOCK",
"IN STOCK"))</f>
        <v>IN STOCK</v>
      </c>
      <c r="R294" s="1">
        <f t="shared" si="18"/>
        <v>3.9</v>
      </c>
      <c r="S294">
        <v>3.9</v>
      </c>
      <c r="T294" t="b">
        <v>0</v>
      </c>
      <c r="U294" t="str">
        <f t="shared" si="19"/>
        <v>No Return</v>
      </c>
    </row>
    <row r="295" spans="1:22" hidden="1" x14ac:dyDescent="0.3">
      <c r="A295" t="s">
        <v>348</v>
      </c>
      <c r="B295" t="s">
        <v>30</v>
      </c>
      <c r="C295" t="s">
        <v>16</v>
      </c>
      <c r="D295" t="s">
        <v>17</v>
      </c>
      <c r="E295" t="str">
        <f t="shared" si="16"/>
        <v>OS</v>
      </c>
      <c r="F295" t="s">
        <v>39</v>
      </c>
      <c r="G295" t="s">
        <v>66</v>
      </c>
      <c r="H295" s="8">
        <v>117.85</v>
      </c>
      <c r="I295" s="3">
        <f t="shared" si="17"/>
        <v>0</v>
      </c>
      <c r="J295" s="4">
        <v>0</v>
      </c>
      <c r="K295" s="11">
        <f>Table1[[#This Row],[original_price]]* (Table1[[#This Row],[Markdown percentage updated]])</f>
        <v>0</v>
      </c>
      <c r="L2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95" s="6">
        <v>117.85</v>
      </c>
      <c r="N2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95" s="7">
        <v>45649</v>
      </c>
      <c r="P295">
        <v>34</v>
      </c>
      <c r="Q295" s="16" t="str">
        <f>IF(Table1[[#This Row],[stock_quantity]]=0,"NO STOCK",
IF(Table1[[#This Row],[stock_quantity]]&lt;=10,"LOW STOCK",
"IN STOCK"))</f>
        <v>IN STOCK</v>
      </c>
      <c r="R295" s="1">
        <f t="shared" si="18"/>
        <v>3.3</v>
      </c>
      <c r="S295">
        <v>3.3</v>
      </c>
      <c r="T295" t="b">
        <v>0</v>
      </c>
      <c r="U295" t="str">
        <f t="shared" si="19"/>
        <v>No Return</v>
      </c>
    </row>
    <row r="296" spans="1:22" hidden="1" x14ac:dyDescent="0.3">
      <c r="A296" t="s">
        <v>349</v>
      </c>
      <c r="B296" t="s">
        <v>30</v>
      </c>
      <c r="C296" t="s">
        <v>32</v>
      </c>
      <c r="D296" t="s">
        <v>34</v>
      </c>
      <c r="E296" t="str">
        <f t="shared" si="16"/>
        <v>S</v>
      </c>
      <c r="F296" t="s">
        <v>58</v>
      </c>
      <c r="G296" t="s">
        <v>66</v>
      </c>
      <c r="H296" s="8">
        <v>96.17</v>
      </c>
      <c r="I296" s="3">
        <f t="shared" si="17"/>
        <v>0.36</v>
      </c>
      <c r="J296" s="4">
        <v>36</v>
      </c>
      <c r="K296" s="11">
        <f>Table1[[#This Row],[original_price]]* (Table1[[#This Row],[Markdown percentage updated]])</f>
        <v>34.621200000000002</v>
      </c>
      <c r="L2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96" s="6">
        <v>61.55</v>
      </c>
      <c r="N2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96" s="7">
        <v>45875</v>
      </c>
      <c r="P296">
        <v>45</v>
      </c>
      <c r="Q296" s="16" t="str">
        <f>IF(Table1[[#This Row],[stock_quantity]]=0,"NO STOCK",
IF(Table1[[#This Row],[stock_quantity]]&lt;=10,"LOW STOCK",
"IN STOCK"))</f>
        <v>IN STOCK</v>
      </c>
      <c r="R296" s="1">
        <f t="shared" si="18"/>
        <v>3.5</v>
      </c>
      <c r="S296">
        <v>3.5</v>
      </c>
      <c r="T296" t="b">
        <v>0</v>
      </c>
      <c r="U296" t="str">
        <f t="shared" si="19"/>
        <v>No Return</v>
      </c>
    </row>
    <row r="297" spans="1:22" hidden="1" x14ac:dyDescent="0.3">
      <c r="A297" t="s">
        <v>350</v>
      </c>
      <c r="B297" t="s">
        <v>30</v>
      </c>
      <c r="C297" t="s">
        <v>16</v>
      </c>
      <c r="D297" t="s">
        <v>17</v>
      </c>
      <c r="E297" t="str">
        <f t="shared" si="16"/>
        <v>XXL</v>
      </c>
      <c r="F297" t="s">
        <v>49</v>
      </c>
      <c r="G297" t="s">
        <v>19</v>
      </c>
      <c r="H297" s="8">
        <v>80.14</v>
      </c>
      <c r="I297" s="3">
        <f t="shared" si="17"/>
        <v>0</v>
      </c>
      <c r="J297" s="4">
        <v>0</v>
      </c>
      <c r="K297" s="11">
        <f>Table1[[#This Row],[original_price]]* (Table1[[#This Row],[Markdown percentage updated]])</f>
        <v>0</v>
      </c>
      <c r="L2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97" s="6">
        <v>80.14</v>
      </c>
      <c r="N2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97" s="7">
        <v>45747</v>
      </c>
      <c r="P297">
        <v>10</v>
      </c>
      <c r="Q297" s="17" t="str">
        <f>IF(Table1[[#This Row],[stock_quantity]]=0,"NO STOCK",
IF(Table1[[#This Row],[stock_quantity]]&lt;=10,"LOW STOCK",
"IN STOCK"))</f>
        <v>LOW STOCK</v>
      </c>
      <c r="R297" s="1">
        <f t="shared" si="18"/>
        <v>5</v>
      </c>
      <c r="S297">
        <v>5</v>
      </c>
      <c r="T297" t="b">
        <v>0</v>
      </c>
      <c r="U297" t="str">
        <f t="shared" si="19"/>
        <v>No Return</v>
      </c>
    </row>
    <row r="298" spans="1:22" hidden="1" x14ac:dyDescent="0.3">
      <c r="A298" t="s">
        <v>351</v>
      </c>
      <c r="B298" t="s">
        <v>27</v>
      </c>
      <c r="C298" t="s">
        <v>61</v>
      </c>
      <c r="D298" t="s">
        <v>62</v>
      </c>
      <c r="E298" t="str">
        <f t="shared" si="16"/>
        <v>S</v>
      </c>
      <c r="G298" t="s">
        <v>25</v>
      </c>
      <c r="H298" s="8">
        <v>55.08</v>
      </c>
      <c r="I298" s="3">
        <f t="shared" si="17"/>
        <v>0.13</v>
      </c>
      <c r="J298" s="4">
        <v>13</v>
      </c>
      <c r="K298" s="11">
        <f>Table1[[#This Row],[original_price]]* (Table1[[#This Row],[Markdown percentage updated]])</f>
        <v>7.1604000000000001</v>
      </c>
      <c r="L2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98" s="6">
        <v>47.92</v>
      </c>
      <c r="N2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98" s="7">
        <v>45875</v>
      </c>
      <c r="P298">
        <v>17</v>
      </c>
      <c r="Q298" s="16" t="str">
        <f>IF(Table1[[#This Row],[stock_quantity]]=0,"NO STOCK",
IF(Table1[[#This Row],[stock_quantity]]&lt;=10,"LOW STOCK",
"IN STOCK"))</f>
        <v>IN STOCK</v>
      </c>
      <c r="R298" s="1">
        <f t="shared" si="18"/>
        <v>3.9</v>
      </c>
      <c r="S298">
        <v>3.9</v>
      </c>
      <c r="T298" t="b">
        <v>0</v>
      </c>
      <c r="U298" t="str">
        <f t="shared" si="19"/>
        <v>No Return</v>
      </c>
    </row>
    <row r="299" spans="1:22" hidden="1" x14ac:dyDescent="0.3">
      <c r="A299" t="s">
        <v>352</v>
      </c>
      <c r="B299" t="s">
        <v>42</v>
      </c>
      <c r="C299" t="s">
        <v>43</v>
      </c>
      <c r="D299" t="s">
        <v>34</v>
      </c>
      <c r="E299" t="str">
        <f t="shared" si="16"/>
        <v>L</v>
      </c>
      <c r="F299" t="s">
        <v>39</v>
      </c>
      <c r="G299" t="s">
        <v>25</v>
      </c>
      <c r="H299" s="8">
        <v>165.84</v>
      </c>
      <c r="I299" s="3">
        <f t="shared" si="17"/>
        <v>0.504</v>
      </c>
      <c r="J299" s="4">
        <v>50.4</v>
      </c>
      <c r="K299" s="11">
        <f>Table1[[#This Row],[original_price]]* (Table1[[#This Row],[Markdown percentage updated]])</f>
        <v>83.583359999999999</v>
      </c>
      <c r="L2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99" s="6">
        <v>82.26</v>
      </c>
      <c r="N2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99" s="7">
        <v>45875</v>
      </c>
      <c r="P299">
        <v>17</v>
      </c>
      <c r="Q299" s="16" t="str">
        <f>IF(Table1[[#This Row],[stock_quantity]]=0,"NO STOCK",
IF(Table1[[#This Row],[stock_quantity]]&lt;=10,"LOW STOCK",
"IN STOCK"))</f>
        <v>IN STOCK</v>
      </c>
      <c r="R299" s="1">
        <f t="shared" si="18"/>
        <v>3.2</v>
      </c>
      <c r="S299">
        <v>3.2</v>
      </c>
      <c r="T299" t="b">
        <v>1</v>
      </c>
      <c r="U299" s="13" t="str">
        <f t="shared" si="19"/>
        <v>Damaged</v>
      </c>
      <c r="V299" t="s">
        <v>78</v>
      </c>
    </row>
    <row r="300" spans="1:22" hidden="1" x14ac:dyDescent="0.3">
      <c r="A300" t="s">
        <v>353</v>
      </c>
      <c r="B300" t="s">
        <v>42</v>
      </c>
      <c r="C300" t="s">
        <v>61</v>
      </c>
      <c r="D300" t="s">
        <v>62</v>
      </c>
      <c r="E300" t="str">
        <f t="shared" si="16"/>
        <v>XXL</v>
      </c>
      <c r="F300" t="s">
        <v>49</v>
      </c>
      <c r="G300" t="s">
        <v>19</v>
      </c>
      <c r="H300" s="8">
        <v>82.7</v>
      </c>
      <c r="I300" s="3">
        <f t="shared" si="17"/>
        <v>0</v>
      </c>
      <c r="J300" s="4">
        <v>0</v>
      </c>
      <c r="K300" s="11">
        <f>Table1[[#This Row],[original_price]]* (Table1[[#This Row],[Markdown percentage updated]])</f>
        <v>0</v>
      </c>
      <c r="L3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00" s="6">
        <v>82.7</v>
      </c>
      <c r="N3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00" s="7">
        <v>45875</v>
      </c>
      <c r="P300">
        <v>20</v>
      </c>
      <c r="Q300" s="16" t="str">
        <f>IF(Table1[[#This Row],[stock_quantity]]=0,"NO STOCK",
IF(Table1[[#This Row],[stock_quantity]]&lt;=10,"LOW STOCK",
"IN STOCK"))</f>
        <v>IN STOCK</v>
      </c>
      <c r="R300" s="1">
        <f t="shared" si="18"/>
        <v>4</v>
      </c>
      <c r="S300">
        <v>4</v>
      </c>
      <c r="T300" t="b">
        <v>0</v>
      </c>
      <c r="U300" t="str">
        <f t="shared" si="19"/>
        <v>No Return</v>
      </c>
    </row>
    <row r="301" spans="1:22" hidden="1" x14ac:dyDescent="0.3">
      <c r="A301" t="s">
        <v>354</v>
      </c>
      <c r="B301" t="s">
        <v>15</v>
      </c>
      <c r="C301" t="s">
        <v>32</v>
      </c>
      <c r="D301" t="s">
        <v>17</v>
      </c>
      <c r="E301" t="str">
        <f t="shared" si="16"/>
        <v>XL</v>
      </c>
      <c r="F301" t="s">
        <v>39</v>
      </c>
      <c r="G301" t="s">
        <v>66</v>
      </c>
      <c r="H301" s="8">
        <v>222.86</v>
      </c>
      <c r="I301" s="3">
        <f t="shared" si="17"/>
        <v>6.6000000000000003E-2</v>
      </c>
      <c r="J301" s="4">
        <v>6.6</v>
      </c>
      <c r="K301" s="11">
        <f>Table1[[#This Row],[original_price]]* (Table1[[#This Row],[Markdown percentage updated]])</f>
        <v>14.708760000000002</v>
      </c>
      <c r="L3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01" s="6">
        <v>208.15</v>
      </c>
      <c r="N3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301" s="7">
        <v>45645</v>
      </c>
      <c r="P301">
        <v>29</v>
      </c>
      <c r="Q301" s="16" t="str">
        <f>IF(Table1[[#This Row],[stock_quantity]]=0,"NO STOCK",
IF(Table1[[#This Row],[stock_quantity]]&lt;=10,"LOW STOCK",
"IN STOCK"))</f>
        <v>IN STOCK</v>
      </c>
      <c r="R301" s="1">
        <f t="shared" si="18"/>
        <v>2.1</v>
      </c>
      <c r="S301">
        <v>2.1</v>
      </c>
      <c r="T301" t="b">
        <v>0</v>
      </c>
      <c r="U301" t="str">
        <f t="shared" si="19"/>
        <v>No Return</v>
      </c>
    </row>
    <row r="302" spans="1:22" hidden="1" x14ac:dyDescent="0.3">
      <c r="A302" t="s">
        <v>355</v>
      </c>
      <c r="B302" t="s">
        <v>21</v>
      </c>
      <c r="C302" t="s">
        <v>43</v>
      </c>
      <c r="D302" t="s">
        <v>23</v>
      </c>
      <c r="E302" t="str">
        <f t="shared" si="16"/>
        <v>XL</v>
      </c>
      <c r="F302" t="s">
        <v>24</v>
      </c>
      <c r="G302" t="s">
        <v>40</v>
      </c>
      <c r="H302" s="8">
        <v>107.15</v>
      </c>
      <c r="I302" s="3">
        <f t="shared" si="17"/>
        <v>0</v>
      </c>
      <c r="J302" s="4">
        <v>0</v>
      </c>
      <c r="K302" s="11">
        <f>Table1[[#This Row],[original_price]]* (Table1[[#This Row],[Markdown percentage updated]])</f>
        <v>0</v>
      </c>
      <c r="L3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02" s="6">
        <v>107.15</v>
      </c>
      <c r="N3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02" s="7">
        <v>45875</v>
      </c>
      <c r="P302">
        <v>33</v>
      </c>
      <c r="Q302" s="16" t="str">
        <f>IF(Table1[[#This Row],[stock_quantity]]=0,"NO STOCK",
IF(Table1[[#This Row],[stock_quantity]]&lt;=10,"LOW STOCK",
"IN STOCK"))</f>
        <v>IN STOCK</v>
      </c>
      <c r="R302" s="1">
        <f t="shared" si="18"/>
        <v>0</v>
      </c>
      <c r="T302" t="b">
        <v>1</v>
      </c>
      <c r="U302" s="13" t="str">
        <f t="shared" si="19"/>
        <v>Wrong Item</v>
      </c>
      <c r="V302" t="s">
        <v>125</v>
      </c>
    </row>
    <row r="303" spans="1:22" hidden="1" x14ac:dyDescent="0.3">
      <c r="A303" t="s">
        <v>356</v>
      </c>
      <c r="B303" t="s">
        <v>30</v>
      </c>
      <c r="C303" t="s">
        <v>48</v>
      </c>
      <c r="D303" t="s">
        <v>34</v>
      </c>
      <c r="E303" t="str">
        <f t="shared" si="16"/>
        <v>XXL</v>
      </c>
      <c r="F303" t="s">
        <v>49</v>
      </c>
      <c r="G303" t="s">
        <v>40</v>
      </c>
      <c r="H303" s="8">
        <v>85.54</v>
      </c>
      <c r="I303" s="3">
        <f t="shared" si="17"/>
        <v>0</v>
      </c>
      <c r="J303" s="4">
        <v>0</v>
      </c>
      <c r="K303" s="11">
        <f>Table1[[#This Row],[original_price]]* (Table1[[#This Row],[Markdown percentage updated]])</f>
        <v>0</v>
      </c>
      <c r="L3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03" s="6">
        <v>85.54</v>
      </c>
      <c r="N3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03" s="7">
        <v>45875</v>
      </c>
      <c r="P303">
        <v>30</v>
      </c>
      <c r="Q303" s="16" t="str">
        <f>IF(Table1[[#This Row],[stock_quantity]]=0,"NO STOCK",
IF(Table1[[#This Row],[stock_quantity]]&lt;=10,"LOW STOCK",
"IN STOCK"))</f>
        <v>IN STOCK</v>
      </c>
      <c r="R303" s="1">
        <f t="shared" si="18"/>
        <v>0</v>
      </c>
      <c r="T303" t="b">
        <v>0</v>
      </c>
      <c r="U303" t="str">
        <f t="shared" si="19"/>
        <v>No Return</v>
      </c>
    </row>
    <row r="304" spans="1:22" hidden="1" x14ac:dyDescent="0.3">
      <c r="A304" t="s">
        <v>357</v>
      </c>
      <c r="B304" t="s">
        <v>38</v>
      </c>
      <c r="C304" t="s">
        <v>43</v>
      </c>
      <c r="D304" t="s">
        <v>62</v>
      </c>
      <c r="E304" t="str">
        <f t="shared" si="16"/>
        <v>M</v>
      </c>
      <c r="F304" t="s">
        <v>18</v>
      </c>
      <c r="G304" t="s">
        <v>46</v>
      </c>
      <c r="H304" s="8">
        <v>34.36</v>
      </c>
      <c r="I304" s="3">
        <f t="shared" si="17"/>
        <v>5.4000000000000006E-2</v>
      </c>
      <c r="J304" s="4">
        <v>5.4</v>
      </c>
      <c r="K304" s="11">
        <f>Table1[[#This Row],[original_price]]* (Table1[[#This Row],[Markdown percentage updated]])</f>
        <v>1.8554400000000002</v>
      </c>
      <c r="L3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04" s="6">
        <v>32.5</v>
      </c>
      <c r="N3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04" s="7">
        <v>45875</v>
      </c>
      <c r="P304">
        <v>49</v>
      </c>
      <c r="Q304" s="16" t="str">
        <f>IF(Table1[[#This Row],[stock_quantity]]=0,"NO STOCK",
IF(Table1[[#This Row],[stock_quantity]]&lt;=10,"LOW STOCK",
"IN STOCK"))</f>
        <v>IN STOCK</v>
      </c>
      <c r="R304" s="1">
        <f t="shared" si="18"/>
        <v>4.5</v>
      </c>
      <c r="S304">
        <v>4.5</v>
      </c>
      <c r="T304" t="b">
        <v>0</v>
      </c>
      <c r="U304" t="str">
        <f t="shared" si="19"/>
        <v>No Return</v>
      </c>
    </row>
    <row r="305" spans="1:22" hidden="1" x14ac:dyDescent="0.3">
      <c r="A305" t="s">
        <v>358</v>
      </c>
      <c r="B305" t="s">
        <v>38</v>
      </c>
      <c r="C305" t="s">
        <v>43</v>
      </c>
      <c r="D305" t="s">
        <v>23</v>
      </c>
      <c r="E305" t="str">
        <f t="shared" si="16"/>
        <v>OS</v>
      </c>
      <c r="F305" t="s">
        <v>18</v>
      </c>
      <c r="G305" t="s">
        <v>28</v>
      </c>
      <c r="H305" s="8">
        <v>111.25</v>
      </c>
      <c r="I305" s="3">
        <f t="shared" si="17"/>
        <v>0.42200000000000004</v>
      </c>
      <c r="J305" s="4">
        <v>42.2</v>
      </c>
      <c r="K305" s="11">
        <f>Table1[[#This Row],[original_price]]* (Table1[[#This Row],[Markdown percentage updated]])</f>
        <v>46.947500000000005</v>
      </c>
      <c r="L3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05" s="6">
        <v>64.3</v>
      </c>
      <c r="N3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05" s="7">
        <v>45875</v>
      </c>
      <c r="P305">
        <v>34</v>
      </c>
      <c r="Q305" s="16" t="str">
        <f>IF(Table1[[#This Row],[stock_quantity]]=0,"NO STOCK",
IF(Table1[[#This Row],[stock_quantity]]&lt;=10,"LOW STOCK",
"IN STOCK"))</f>
        <v>IN STOCK</v>
      </c>
      <c r="R305" s="1">
        <f t="shared" si="18"/>
        <v>3</v>
      </c>
      <c r="S305">
        <v>3</v>
      </c>
      <c r="T305" t="b">
        <v>0</v>
      </c>
      <c r="U305" t="str">
        <f t="shared" si="19"/>
        <v>No Return</v>
      </c>
    </row>
    <row r="306" spans="1:22" hidden="1" x14ac:dyDescent="0.3">
      <c r="A306" t="s">
        <v>359</v>
      </c>
      <c r="B306" t="s">
        <v>21</v>
      </c>
      <c r="C306" t="s">
        <v>16</v>
      </c>
      <c r="D306" t="s">
        <v>17</v>
      </c>
      <c r="E306" t="str">
        <f t="shared" si="16"/>
        <v>M</v>
      </c>
      <c r="F306" t="s">
        <v>49</v>
      </c>
      <c r="G306" t="s">
        <v>25</v>
      </c>
      <c r="H306" s="8">
        <v>39.97</v>
      </c>
      <c r="I306" s="3">
        <f t="shared" si="17"/>
        <v>0.35200000000000004</v>
      </c>
      <c r="J306" s="4">
        <v>35.200000000000003</v>
      </c>
      <c r="K306" s="11">
        <f>Table1[[#This Row],[original_price]]* (Table1[[#This Row],[Markdown percentage updated]])</f>
        <v>14.06944</v>
      </c>
      <c r="L3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06" s="6">
        <v>25.9</v>
      </c>
      <c r="N3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306" s="7">
        <v>45679</v>
      </c>
      <c r="P306">
        <v>15</v>
      </c>
      <c r="Q306" s="16" t="str">
        <f>IF(Table1[[#This Row],[stock_quantity]]=0,"NO STOCK",
IF(Table1[[#This Row],[stock_quantity]]&lt;=10,"LOW STOCK",
"IN STOCK"))</f>
        <v>IN STOCK</v>
      </c>
      <c r="R306" s="1">
        <f t="shared" si="18"/>
        <v>2.2999999999999998</v>
      </c>
      <c r="S306">
        <v>2.2999999999999998</v>
      </c>
      <c r="T306" t="b">
        <v>0</v>
      </c>
      <c r="U306" t="str">
        <f t="shared" si="19"/>
        <v>No Return</v>
      </c>
    </row>
    <row r="307" spans="1:22" hidden="1" x14ac:dyDescent="0.3">
      <c r="A307" t="s">
        <v>360</v>
      </c>
      <c r="B307" t="s">
        <v>30</v>
      </c>
      <c r="C307" t="s">
        <v>75</v>
      </c>
      <c r="D307" t="s">
        <v>62</v>
      </c>
      <c r="E307" t="str">
        <f t="shared" si="16"/>
        <v>S</v>
      </c>
      <c r="F307" t="s">
        <v>58</v>
      </c>
      <c r="G307" t="s">
        <v>35</v>
      </c>
      <c r="H307" s="8">
        <v>60.34</v>
      </c>
      <c r="I307" s="3">
        <f t="shared" si="17"/>
        <v>0</v>
      </c>
      <c r="J307" s="4">
        <v>0</v>
      </c>
      <c r="K307" s="11">
        <f>Table1[[#This Row],[original_price]]* (Table1[[#This Row],[Markdown percentage updated]])</f>
        <v>0</v>
      </c>
      <c r="L3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07" s="6">
        <v>60.34</v>
      </c>
      <c r="N3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07" s="7">
        <v>45875</v>
      </c>
      <c r="P307">
        <v>4</v>
      </c>
      <c r="Q307" s="17" t="str">
        <f>IF(Table1[[#This Row],[stock_quantity]]=0,"NO STOCK",
IF(Table1[[#This Row],[stock_quantity]]&lt;=10,"LOW STOCK",
"IN STOCK"))</f>
        <v>LOW STOCK</v>
      </c>
      <c r="R307" s="1">
        <f t="shared" si="18"/>
        <v>0</v>
      </c>
      <c r="T307" t="b">
        <v>0</v>
      </c>
      <c r="U307" t="str">
        <f t="shared" si="19"/>
        <v>No Return</v>
      </c>
    </row>
    <row r="308" spans="1:22" hidden="1" x14ac:dyDescent="0.3">
      <c r="A308" t="s">
        <v>361</v>
      </c>
      <c r="B308" t="s">
        <v>27</v>
      </c>
      <c r="C308" t="s">
        <v>61</v>
      </c>
      <c r="D308" t="s">
        <v>62</v>
      </c>
      <c r="E308" t="str">
        <f t="shared" si="16"/>
        <v>L</v>
      </c>
      <c r="G308" t="s">
        <v>44</v>
      </c>
      <c r="H308" s="8">
        <v>17.7</v>
      </c>
      <c r="I308" s="3">
        <f t="shared" si="17"/>
        <v>0</v>
      </c>
      <c r="J308" s="4">
        <v>0</v>
      </c>
      <c r="K308" s="11">
        <f>Table1[[#This Row],[original_price]]* (Table1[[#This Row],[Markdown percentage updated]])</f>
        <v>0</v>
      </c>
      <c r="L3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08" s="6">
        <v>17.7</v>
      </c>
      <c r="N3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08" s="7">
        <v>45875</v>
      </c>
      <c r="P308">
        <v>42</v>
      </c>
      <c r="Q308" s="16" t="str">
        <f>IF(Table1[[#This Row],[stock_quantity]]=0,"NO STOCK",
IF(Table1[[#This Row],[stock_quantity]]&lt;=10,"LOW STOCK",
"IN STOCK"))</f>
        <v>IN STOCK</v>
      </c>
      <c r="R308" s="1">
        <f t="shared" si="18"/>
        <v>3.9</v>
      </c>
      <c r="S308">
        <v>3.9</v>
      </c>
      <c r="T308" t="b">
        <v>0</v>
      </c>
      <c r="U308" t="str">
        <f t="shared" si="19"/>
        <v>No Return</v>
      </c>
    </row>
    <row r="309" spans="1:22" hidden="1" x14ac:dyDescent="0.3">
      <c r="A309" t="s">
        <v>362</v>
      </c>
      <c r="B309" t="s">
        <v>38</v>
      </c>
      <c r="C309" t="s">
        <v>43</v>
      </c>
      <c r="D309" t="s">
        <v>62</v>
      </c>
      <c r="E309" t="str">
        <f t="shared" si="16"/>
        <v>L</v>
      </c>
      <c r="F309" t="s">
        <v>58</v>
      </c>
      <c r="G309" t="s">
        <v>35</v>
      </c>
      <c r="H309" s="8">
        <v>57.88</v>
      </c>
      <c r="I309" s="3">
        <f t="shared" si="17"/>
        <v>0</v>
      </c>
      <c r="J309" s="4">
        <v>0</v>
      </c>
      <c r="K309" s="11">
        <f>Table1[[#This Row],[original_price]]* (Table1[[#This Row],[Markdown percentage updated]])</f>
        <v>0</v>
      </c>
      <c r="L3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09" s="6">
        <v>57.88</v>
      </c>
      <c r="N3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09" s="7">
        <v>45875</v>
      </c>
      <c r="P309">
        <v>39</v>
      </c>
      <c r="Q309" s="16" t="str">
        <f>IF(Table1[[#This Row],[stock_quantity]]=0,"NO STOCK",
IF(Table1[[#This Row],[stock_quantity]]&lt;=10,"LOW STOCK",
"IN STOCK"))</f>
        <v>IN STOCK</v>
      </c>
      <c r="R309" s="1">
        <f t="shared" si="18"/>
        <v>3</v>
      </c>
      <c r="S309">
        <v>3</v>
      </c>
      <c r="T309" t="b">
        <v>0</v>
      </c>
      <c r="U309" t="str">
        <f t="shared" si="19"/>
        <v>No Return</v>
      </c>
    </row>
    <row r="310" spans="1:22" hidden="1" x14ac:dyDescent="0.3">
      <c r="A310" t="s">
        <v>363</v>
      </c>
      <c r="B310" t="s">
        <v>21</v>
      </c>
      <c r="C310" t="s">
        <v>43</v>
      </c>
      <c r="D310" t="s">
        <v>62</v>
      </c>
      <c r="E310" t="str">
        <f t="shared" si="16"/>
        <v>XXL</v>
      </c>
      <c r="F310" t="s">
        <v>39</v>
      </c>
      <c r="G310" t="s">
        <v>44</v>
      </c>
      <c r="H310" s="8">
        <v>25.15</v>
      </c>
      <c r="I310" s="3">
        <f t="shared" si="17"/>
        <v>0</v>
      </c>
      <c r="J310" s="4">
        <v>0</v>
      </c>
      <c r="K310" s="11">
        <f>Table1[[#This Row],[original_price]]* (Table1[[#This Row],[Markdown percentage updated]])</f>
        <v>0</v>
      </c>
      <c r="L3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10" s="6">
        <v>25.15</v>
      </c>
      <c r="N3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10" s="7">
        <v>45875</v>
      </c>
      <c r="P310">
        <v>34</v>
      </c>
      <c r="Q310" s="16" t="str">
        <f>IF(Table1[[#This Row],[stock_quantity]]=0,"NO STOCK",
IF(Table1[[#This Row],[stock_quantity]]&lt;=10,"LOW STOCK",
"IN STOCK"))</f>
        <v>IN STOCK</v>
      </c>
      <c r="R310" s="1">
        <f t="shared" si="18"/>
        <v>2.6</v>
      </c>
      <c r="S310">
        <v>2.6</v>
      </c>
      <c r="T310" t="b">
        <v>0</v>
      </c>
      <c r="U310" t="str">
        <f t="shared" si="19"/>
        <v>No Return</v>
      </c>
    </row>
    <row r="311" spans="1:22" hidden="1" x14ac:dyDescent="0.3">
      <c r="A311" t="s">
        <v>364</v>
      </c>
      <c r="B311" t="s">
        <v>15</v>
      </c>
      <c r="C311" t="s">
        <v>43</v>
      </c>
      <c r="D311" t="s">
        <v>17</v>
      </c>
      <c r="E311" t="str">
        <f t="shared" si="16"/>
        <v>XL</v>
      </c>
      <c r="F311" t="s">
        <v>24</v>
      </c>
      <c r="G311" t="s">
        <v>66</v>
      </c>
      <c r="H311" s="8">
        <v>157.44999999999999</v>
      </c>
      <c r="I311" s="3">
        <f t="shared" si="17"/>
        <v>0</v>
      </c>
      <c r="J311" s="4">
        <v>0</v>
      </c>
      <c r="K311" s="11">
        <f>Table1[[#This Row],[original_price]]* (Table1[[#This Row],[Markdown percentage updated]])</f>
        <v>0</v>
      </c>
      <c r="L3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11" s="6">
        <v>157.44999999999999</v>
      </c>
      <c r="N3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11" s="7">
        <v>45803</v>
      </c>
      <c r="P311">
        <v>7</v>
      </c>
      <c r="Q311" s="17" t="str">
        <f>IF(Table1[[#This Row],[stock_quantity]]=0,"NO STOCK",
IF(Table1[[#This Row],[stock_quantity]]&lt;=10,"LOW STOCK",
"IN STOCK"))</f>
        <v>LOW STOCK</v>
      </c>
      <c r="R311" s="1">
        <f t="shared" si="18"/>
        <v>2.9</v>
      </c>
      <c r="S311">
        <v>2.9</v>
      </c>
      <c r="T311" t="b">
        <v>0</v>
      </c>
      <c r="U311" t="str">
        <f t="shared" si="19"/>
        <v>No Return</v>
      </c>
    </row>
    <row r="312" spans="1:22" hidden="1" x14ac:dyDescent="0.3">
      <c r="A312" t="s">
        <v>365</v>
      </c>
      <c r="B312" t="s">
        <v>38</v>
      </c>
      <c r="C312" t="s">
        <v>48</v>
      </c>
      <c r="D312" t="s">
        <v>23</v>
      </c>
      <c r="E312" t="str">
        <f t="shared" si="16"/>
        <v>XXL</v>
      </c>
      <c r="F312" t="s">
        <v>24</v>
      </c>
      <c r="G312" t="s">
        <v>66</v>
      </c>
      <c r="H312" s="8">
        <v>65.72</v>
      </c>
      <c r="I312" s="3">
        <f t="shared" si="17"/>
        <v>9.0999999999999998E-2</v>
      </c>
      <c r="J312" s="4">
        <v>9.1</v>
      </c>
      <c r="K312" s="11">
        <f>Table1[[#This Row],[original_price]]* (Table1[[#This Row],[Markdown percentage updated]])</f>
        <v>5.9805199999999994</v>
      </c>
      <c r="L3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12" s="6">
        <v>59.74</v>
      </c>
      <c r="N3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12" s="7">
        <v>45875</v>
      </c>
      <c r="P312">
        <v>10</v>
      </c>
      <c r="Q312" s="17" t="str">
        <f>IF(Table1[[#This Row],[stock_quantity]]=0,"NO STOCK",
IF(Table1[[#This Row],[stock_quantity]]&lt;=10,"LOW STOCK",
"IN STOCK"))</f>
        <v>LOW STOCK</v>
      </c>
      <c r="R312" s="1">
        <f t="shared" si="18"/>
        <v>2.8</v>
      </c>
      <c r="S312">
        <v>2.8</v>
      </c>
      <c r="T312" t="b">
        <v>1</v>
      </c>
      <c r="U312" s="13" t="str">
        <f t="shared" si="19"/>
        <v>Quality Issue</v>
      </c>
      <c r="V312" t="s">
        <v>83</v>
      </c>
    </row>
    <row r="313" spans="1:22" hidden="1" x14ac:dyDescent="0.3">
      <c r="A313" t="s">
        <v>366</v>
      </c>
      <c r="B313" t="s">
        <v>42</v>
      </c>
      <c r="C313" t="s">
        <v>75</v>
      </c>
      <c r="D313" t="s">
        <v>23</v>
      </c>
      <c r="E313" t="str">
        <f t="shared" si="16"/>
        <v>XS</v>
      </c>
      <c r="F313" t="s">
        <v>49</v>
      </c>
      <c r="G313" t="s">
        <v>70</v>
      </c>
      <c r="H313" s="8">
        <v>92.8</v>
      </c>
      <c r="I313" s="3">
        <f t="shared" si="17"/>
        <v>0</v>
      </c>
      <c r="J313" s="4">
        <v>0</v>
      </c>
      <c r="K313" s="11">
        <f>Table1[[#This Row],[original_price]]* (Table1[[#This Row],[Markdown percentage updated]])</f>
        <v>0</v>
      </c>
      <c r="L3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13" s="6">
        <v>92.8</v>
      </c>
      <c r="N3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13" s="7">
        <v>45875</v>
      </c>
      <c r="P313">
        <v>25</v>
      </c>
      <c r="Q313" s="16" t="str">
        <f>IF(Table1[[#This Row],[stock_quantity]]=0,"NO STOCK",
IF(Table1[[#This Row],[stock_quantity]]&lt;=10,"LOW STOCK",
"IN STOCK"))</f>
        <v>IN STOCK</v>
      </c>
      <c r="R313" s="1">
        <f t="shared" si="18"/>
        <v>2.5</v>
      </c>
      <c r="S313">
        <v>2.5</v>
      </c>
      <c r="T313" t="b">
        <v>0</v>
      </c>
      <c r="U313" t="str">
        <f t="shared" si="19"/>
        <v>No Return</v>
      </c>
    </row>
    <row r="314" spans="1:22" hidden="1" x14ac:dyDescent="0.3">
      <c r="A314" t="s">
        <v>367</v>
      </c>
      <c r="B314" t="s">
        <v>42</v>
      </c>
      <c r="C314" t="s">
        <v>32</v>
      </c>
      <c r="D314" t="s">
        <v>23</v>
      </c>
      <c r="E314" t="str">
        <f t="shared" si="16"/>
        <v>XS</v>
      </c>
      <c r="F314" t="s">
        <v>18</v>
      </c>
      <c r="G314" t="s">
        <v>44</v>
      </c>
      <c r="H314" s="8">
        <v>88.65</v>
      </c>
      <c r="I314" s="3">
        <f t="shared" si="17"/>
        <v>0</v>
      </c>
      <c r="J314" s="4">
        <v>0</v>
      </c>
      <c r="K314" s="11">
        <f>Table1[[#This Row],[original_price]]* (Table1[[#This Row],[Markdown percentage updated]])</f>
        <v>0</v>
      </c>
      <c r="L3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14" s="6">
        <v>88.65</v>
      </c>
      <c r="N3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14" s="7">
        <v>45875</v>
      </c>
      <c r="P314">
        <v>11</v>
      </c>
      <c r="Q314" s="16" t="str">
        <f>IF(Table1[[#This Row],[stock_quantity]]=0,"NO STOCK",
IF(Table1[[#This Row],[stock_quantity]]&lt;=10,"LOW STOCK",
"IN STOCK"))</f>
        <v>IN STOCK</v>
      </c>
      <c r="R314" s="1">
        <f t="shared" si="18"/>
        <v>3.3</v>
      </c>
      <c r="S314">
        <v>3.3</v>
      </c>
      <c r="T314" t="b">
        <v>0</v>
      </c>
      <c r="U314" t="str">
        <f t="shared" si="19"/>
        <v>No Return</v>
      </c>
    </row>
    <row r="315" spans="1:22" hidden="1" x14ac:dyDescent="0.3">
      <c r="A315" t="s">
        <v>368</v>
      </c>
      <c r="B315" t="s">
        <v>21</v>
      </c>
      <c r="C315" t="s">
        <v>16</v>
      </c>
      <c r="D315" t="s">
        <v>23</v>
      </c>
      <c r="E315" t="str">
        <f t="shared" si="16"/>
        <v>XS</v>
      </c>
      <c r="F315" t="s">
        <v>49</v>
      </c>
      <c r="G315" t="s">
        <v>56</v>
      </c>
      <c r="H315" s="8">
        <v>47.07</v>
      </c>
      <c r="I315" s="3">
        <f t="shared" si="17"/>
        <v>0.57399999999999995</v>
      </c>
      <c r="J315" s="4">
        <v>57.4</v>
      </c>
      <c r="K315" s="11">
        <f>Table1[[#This Row],[original_price]]* (Table1[[#This Row],[Markdown percentage updated]])</f>
        <v>27.018179999999997</v>
      </c>
      <c r="L3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15" s="6">
        <v>20.05</v>
      </c>
      <c r="N3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15" s="7">
        <v>45875</v>
      </c>
      <c r="P315">
        <v>24</v>
      </c>
      <c r="Q315" s="16" t="str">
        <f>IF(Table1[[#This Row],[stock_quantity]]=0,"NO STOCK",
IF(Table1[[#This Row],[stock_quantity]]&lt;=10,"LOW STOCK",
"IN STOCK"))</f>
        <v>IN STOCK</v>
      </c>
      <c r="R315" s="1">
        <f t="shared" si="18"/>
        <v>1.3</v>
      </c>
      <c r="S315">
        <v>1.3</v>
      </c>
      <c r="T315" t="b">
        <v>1</v>
      </c>
      <c r="U315" s="13" t="str">
        <f t="shared" si="19"/>
        <v>Size Issue</v>
      </c>
      <c r="V315" t="s">
        <v>73</v>
      </c>
    </row>
    <row r="316" spans="1:22" hidden="1" x14ac:dyDescent="0.3">
      <c r="A316" t="s">
        <v>369</v>
      </c>
      <c r="B316" t="s">
        <v>15</v>
      </c>
      <c r="C316" t="s">
        <v>53</v>
      </c>
      <c r="D316" t="s">
        <v>62</v>
      </c>
      <c r="E316" t="str">
        <f t="shared" si="16"/>
        <v>L</v>
      </c>
      <c r="F316" t="s">
        <v>55</v>
      </c>
      <c r="G316" t="s">
        <v>19</v>
      </c>
      <c r="H316" s="8">
        <v>101.75</v>
      </c>
      <c r="I316" s="3">
        <f t="shared" si="17"/>
        <v>0</v>
      </c>
      <c r="J316" s="4">
        <v>0</v>
      </c>
      <c r="K316" s="11">
        <f>Table1[[#This Row],[original_price]]* (Table1[[#This Row],[Markdown percentage updated]])</f>
        <v>0</v>
      </c>
      <c r="L3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16" s="6">
        <v>101.75</v>
      </c>
      <c r="N3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16" s="7">
        <v>45875</v>
      </c>
      <c r="P316">
        <v>7</v>
      </c>
      <c r="Q316" s="17" t="str">
        <f>IF(Table1[[#This Row],[stock_quantity]]=0,"NO STOCK",
IF(Table1[[#This Row],[stock_quantity]]&lt;=10,"LOW STOCK",
"IN STOCK"))</f>
        <v>LOW STOCK</v>
      </c>
      <c r="R316" s="1">
        <f t="shared" si="18"/>
        <v>3.1</v>
      </c>
      <c r="S316">
        <v>3.1</v>
      </c>
      <c r="T316" t="b">
        <v>0</v>
      </c>
      <c r="U316" t="str">
        <f t="shared" si="19"/>
        <v>No Return</v>
      </c>
    </row>
    <row r="317" spans="1:22" hidden="1" x14ac:dyDescent="0.3">
      <c r="A317" t="s">
        <v>370</v>
      </c>
      <c r="B317" t="s">
        <v>42</v>
      </c>
      <c r="C317" t="s">
        <v>43</v>
      </c>
      <c r="D317" t="s">
        <v>17</v>
      </c>
      <c r="E317" t="str">
        <f t="shared" si="16"/>
        <v>OS</v>
      </c>
      <c r="F317" t="s">
        <v>55</v>
      </c>
      <c r="G317" t="s">
        <v>44</v>
      </c>
      <c r="H317" s="8">
        <v>131.08000000000001</v>
      </c>
      <c r="I317" s="3">
        <f t="shared" si="17"/>
        <v>7.4999999999999997E-2</v>
      </c>
      <c r="J317" s="4">
        <v>7.5</v>
      </c>
      <c r="K317" s="11">
        <f>Table1[[#This Row],[original_price]]* (Table1[[#This Row],[Markdown percentage updated]])</f>
        <v>9.8310000000000013</v>
      </c>
      <c r="L3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17" s="6">
        <v>121.25</v>
      </c>
      <c r="N3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17" s="7">
        <v>45630</v>
      </c>
      <c r="P317">
        <v>20</v>
      </c>
      <c r="Q317" s="16" t="str">
        <f>IF(Table1[[#This Row],[stock_quantity]]=0,"NO STOCK",
IF(Table1[[#This Row],[stock_quantity]]&lt;=10,"LOW STOCK",
"IN STOCK"))</f>
        <v>IN STOCK</v>
      </c>
      <c r="R317" s="1">
        <f t="shared" si="18"/>
        <v>4.5</v>
      </c>
      <c r="S317">
        <v>4.5</v>
      </c>
      <c r="T317" t="b">
        <v>1</v>
      </c>
      <c r="U317" s="13" t="str">
        <f t="shared" si="19"/>
        <v>Wrong Item</v>
      </c>
      <c r="V317" t="s">
        <v>125</v>
      </c>
    </row>
    <row r="318" spans="1:22" hidden="1" x14ac:dyDescent="0.3">
      <c r="A318" t="s">
        <v>371</v>
      </c>
      <c r="B318" t="s">
        <v>21</v>
      </c>
      <c r="C318" t="s">
        <v>16</v>
      </c>
      <c r="D318" t="s">
        <v>34</v>
      </c>
      <c r="E318" t="str">
        <f t="shared" si="16"/>
        <v>S</v>
      </c>
      <c r="F318" t="s">
        <v>55</v>
      </c>
      <c r="G318" t="s">
        <v>28</v>
      </c>
      <c r="H318" s="8">
        <v>82.06</v>
      </c>
      <c r="I318" s="3">
        <f t="shared" si="17"/>
        <v>0.26100000000000001</v>
      </c>
      <c r="J318" s="4">
        <v>26.1</v>
      </c>
      <c r="K318" s="11">
        <f>Table1[[#This Row],[original_price]]* (Table1[[#This Row],[Markdown percentage updated]])</f>
        <v>21.417660000000001</v>
      </c>
      <c r="L3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318" s="6">
        <v>60.64</v>
      </c>
      <c r="N3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18" s="7">
        <v>45875</v>
      </c>
      <c r="P318">
        <v>32</v>
      </c>
      <c r="Q318" s="16" t="str">
        <f>IF(Table1[[#This Row],[stock_quantity]]=0,"NO STOCK",
IF(Table1[[#This Row],[stock_quantity]]&lt;=10,"LOW STOCK",
"IN STOCK"))</f>
        <v>IN STOCK</v>
      </c>
      <c r="R318" s="1">
        <f t="shared" si="18"/>
        <v>1.5</v>
      </c>
      <c r="S318">
        <v>1.5</v>
      </c>
      <c r="T318" t="b">
        <v>0</v>
      </c>
      <c r="U318" t="str">
        <f t="shared" si="19"/>
        <v>No Return</v>
      </c>
    </row>
    <row r="319" spans="1:22" hidden="1" x14ac:dyDescent="0.3">
      <c r="A319" t="s">
        <v>372</v>
      </c>
      <c r="B319" t="s">
        <v>42</v>
      </c>
      <c r="C319" t="s">
        <v>48</v>
      </c>
      <c r="D319" t="s">
        <v>62</v>
      </c>
      <c r="E319" t="str">
        <f t="shared" si="16"/>
        <v>S</v>
      </c>
      <c r="F319" t="s">
        <v>24</v>
      </c>
      <c r="G319" t="s">
        <v>66</v>
      </c>
      <c r="H319" s="8">
        <v>66.31</v>
      </c>
      <c r="I319" s="3">
        <f t="shared" si="17"/>
        <v>0</v>
      </c>
      <c r="J319" s="4">
        <v>0</v>
      </c>
      <c r="K319" s="11">
        <f>Table1[[#This Row],[original_price]]* (Table1[[#This Row],[Markdown percentage updated]])</f>
        <v>0</v>
      </c>
      <c r="L3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19" s="6">
        <v>66.31</v>
      </c>
      <c r="N3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19" s="7">
        <v>45875</v>
      </c>
      <c r="P319">
        <v>47</v>
      </c>
      <c r="Q319" s="16" t="str">
        <f>IF(Table1[[#This Row],[stock_quantity]]=0,"NO STOCK",
IF(Table1[[#This Row],[stock_quantity]]&lt;=10,"LOW STOCK",
"IN STOCK"))</f>
        <v>IN STOCK</v>
      </c>
      <c r="R319" s="1">
        <f t="shared" si="18"/>
        <v>3.9</v>
      </c>
      <c r="S319">
        <v>3.9</v>
      </c>
      <c r="T319" t="b">
        <v>0</v>
      </c>
      <c r="U319" t="str">
        <f t="shared" si="19"/>
        <v>No Return</v>
      </c>
    </row>
    <row r="320" spans="1:22" hidden="1" x14ac:dyDescent="0.3">
      <c r="A320" t="s">
        <v>373</v>
      </c>
      <c r="B320" t="s">
        <v>27</v>
      </c>
      <c r="C320" t="s">
        <v>22</v>
      </c>
      <c r="D320" t="s">
        <v>34</v>
      </c>
      <c r="E320" t="str">
        <f t="shared" si="16"/>
        <v>XXL</v>
      </c>
      <c r="G320" t="s">
        <v>46</v>
      </c>
      <c r="H320" s="8">
        <v>26.03</v>
      </c>
      <c r="I320" s="3">
        <f t="shared" si="17"/>
        <v>0</v>
      </c>
      <c r="J320" s="4">
        <v>0</v>
      </c>
      <c r="K320" s="11">
        <f>Table1[[#This Row],[original_price]]* (Table1[[#This Row],[Markdown percentage updated]])</f>
        <v>0</v>
      </c>
      <c r="L3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20" s="6">
        <v>26.03</v>
      </c>
      <c r="N3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20" s="7">
        <v>45875</v>
      </c>
      <c r="P320">
        <v>15</v>
      </c>
      <c r="Q320" s="16" t="str">
        <f>IF(Table1[[#This Row],[stock_quantity]]=0,"NO STOCK",
IF(Table1[[#This Row],[stock_quantity]]&lt;=10,"LOW STOCK",
"IN STOCK"))</f>
        <v>IN STOCK</v>
      </c>
      <c r="R320" s="1">
        <f t="shared" si="18"/>
        <v>3.8</v>
      </c>
      <c r="S320">
        <v>3.8</v>
      </c>
      <c r="T320" t="b">
        <v>0</v>
      </c>
      <c r="U320" t="str">
        <f t="shared" si="19"/>
        <v>No Return</v>
      </c>
    </row>
    <row r="321" spans="1:22" hidden="1" x14ac:dyDescent="0.3">
      <c r="A321" t="s">
        <v>374</v>
      </c>
      <c r="B321" t="s">
        <v>30</v>
      </c>
      <c r="C321" t="s">
        <v>22</v>
      </c>
      <c r="D321" t="s">
        <v>17</v>
      </c>
      <c r="E321" t="str">
        <f t="shared" si="16"/>
        <v>OS</v>
      </c>
      <c r="F321" t="s">
        <v>39</v>
      </c>
      <c r="G321" t="s">
        <v>56</v>
      </c>
      <c r="H321" s="8">
        <v>152.53</v>
      </c>
      <c r="I321" s="3">
        <f t="shared" si="17"/>
        <v>0</v>
      </c>
      <c r="J321" s="4">
        <v>0</v>
      </c>
      <c r="K321" s="11">
        <f>Table1[[#This Row],[original_price]]* (Table1[[#This Row],[Markdown percentage updated]])</f>
        <v>0</v>
      </c>
      <c r="L3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21" s="6">
        <v>152.53</v>
      </c>
      <c r="N3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21" s="7">
        <v>45617</v>
      </c>
      <c r="P321">
        <v>24</v>
      </c>
      <c r="Q321" s="16" t="str">
        <f>IF(Table1[[#This Row],[stock_quantity]]=0,"NO STOCK",
IF(Table1[[#This Row],[stock_quantity]]&lt;=10,"LOW STOCK",
"IN STOCK"))</f>
        <v>IN STOCK</v>
      </c>
      <c r="R321" s="1">
        <f t="shared" si="18"/>
        <v>4.2</v>
      </c>
      <c r="S321">
        <v>4.2</v>
      </c>
      <c r="T321" t="b">
        <v>0</v>
      </c>
      <c r="U321" t="str">
        <f t="shared" si="19"/>
        <v>No Return</v>
      </c>
    </row>
    <row r="322" spans="1:22" hidden="1" x14ac:dyDescent="0.3">
      <c r="A322" t="s">
        <v>375</v>
      </c>
      <c r="B322" t="s">
        <v>38</v>
      </c>
      <c r="C322" t="s">
        <v>43</v>
      </c>
      <c r="D322" t="s">
        <v>34</v>
      </c>
      <c r="E322" t="str">
        <f t="shared" ref="E322:E385" si="20">IF(ISBLANK(F325),"OS",F325)</f>
        <v>XL</v>
      </c>
      <c r="F322" t="s">
        <v>39</v>
      </c>
      <c r="G322" t="s">
        <v>56</v>
      </c>
      <c r="H322" s="8">
        <v>26.16</v>
      </c>
      <c r="I322" s="3">
        <f t="shared" ref="I322:I385" si="21">J322/100</f>
        <v>0.16200000000000001</v>
      </c>
      <c r="J322" s="4">
        <v>16.2</v>
      </c>
      <c r="K322" s="11">
        <f>Table1[[#This Row],[original_price]]* (Table1[[#This Row],[Markdown percentage updated]])</f>
        <v>4.2379199999999999</v>
      </c>
      <c r="L3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22" s="6">
        <v>21.92</v>
      </c>
      <c r="N3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22" s="7">
        <v>45875</v>
      </c>
      <c r="P322">
        <v>13</v>
      </c>
      <c r="Q322" s="16" t="str">
        <f>IF(Table1[[#This Row],[stock_quantity]]=0,"NO STOCK",
IF(Table1[[#This Row],[stock_quantity]]&lt;=10,"LOW STOCK",
"IN STOCK"))</f>
        <v>IN STOCK</v>
      </c>
      <c r="R322" s="1">
        <f t="shared" si="18"/>
        <v>2.2999999999999998</v>
      </c>
      <c r="S322">
        <v>2.2999999999999998</v>
      </c>
      <c r="T322" t="b">
        <v>0</v>
      </c>
      <c r="U322" t="str">
        <f t="shared" si="19"/>
        <v>No Return</v>
      </c>
    </row>
    <row r="323" spans="1:22" hidden="1" x14ac:dyDescent="0.3">
      <c r="A323" t="s">
        <v>376</v>
      </c>
      <c r="B323" t="s">
        <v>42</v>
      </c>
      <c r="C323" t="s">
        <v>22</v>
      </c>
      <c r="D323" t="s">
        <v>23</v>
      </c>
      <c r="E323" t="str">
        <f t="shared" si="20"/>
        <v>M</v>
      </c>
      <c r="F323" t="s">
        <v>49</v>
      </c>
      <c r="G323" t="s">
        <v>44</v>
      </c>
      <c r="H323" s="8">
        <v>89.17</v>
      </c>
      <c r="I323" s="3">
        <f t="shared" si="21"/>
        <v>0.10800000000000001</v>
      </c>
      <c r="J323" s="4">
        <v>10.8</v>
      </c>
      <c r="K323" s="11">
        <f>Table1[[#This Row],[original_price]]* (Table1[[#This Row],[Markdown percentage updated]])</f>
        <v>9.6303600000000014</v>
      </c>
      <c r="L3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23" s="6">
        <v>79.540000000000006</v>
      </c>
      <c r="N3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23" s="7">
        <v>45875</v>
      </c>
      <c r="P323">
        <v>27</v>
      </c>
      <c r="Q323" s="16" t="str">
        <f>IF(Table1[[#This Row],[stock_quantity]]=0,"NO STOCK",
IF(Table1[[#This Row],[stock_quantity]]&lt;=10,"LOW STOCK",
"IN STOCK"))</f>
        <v>IN STOCK</v>
      </c>
      <c r="R323" s="1">
        <f t="shared" ref="R323:R386" si="22">IF(ISBLANK(S323), 0, S323)</f>
        <v>3.3</v>
      </c>
      <c r="S323">
        <v>3.3</v>
      </c>
      <c r="T323" t="b">
        <v>0</v>
      </c>
      <c r="U323" t="str">
        <f t="shared" ref="U323:U386" si="23">IF(V323="","No Return",V323)</f>
        <v>No Return</v>
      </c>
    </row>
    <row r="324" spans="1:22" hidden="1" x14ac:dyDescent="0.3">
      <c r="A324" t="s">
        <v>377</v>
      </c>
      <c r="B324" t="s">
        <v>38</v>
      </c>
      <c r="C324" t="s">
        <v>48</v>
      </c>
      <c r="D324" t="s">
        <v>17</v>
      </c>
      <c r="E324" t="str">
        <f t="shared" si="20"/>
        <v>M</v>
      </c>
      <c r="G324" t="s">
        <v>35</v>
      </c>
      <c r="H324" s="8">
        <v>106.37</v>
      </c>
      <c r="I324" s="3">
        <f t="shared" si="21"/>
        <v>0</v>
      </c>
      <c r="J324" s="4">
        <v>0</v>
      </c>
      <c r="K324" s="11">
        <f>Table1[[#This Row],[original_price]]* (Table1[[#This Row],[Markdown percentage updated]])</f>
        <v>0</v>
      </c>
      <c r="L3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24" s="6">
        <v>106.37</v>
      </c>
      <c r="N3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24" s="7">
        <v>45753</v>
      </c>
      <c r="P324">
        <v>37</v>
      </c>
      <c r="Q324" s="16" t="str">
        <f>IF(Table1[[#This Row],[stock_quantity]]=0,"NO STOCK",
IF(Table1[[#This Row],[stock_quantity]]&lt;=10,"LOW STOCK",
"IN STOCK"))</f>
        <v>IN STOCK</v>
      </c>
      <c r="R324" s="1">
        <f t="shared" si="22"/>
        <v>4.9000000000000004</v>
      </c>
      <c r="S324">
        <v>4.9000000000000004</v>
      </c>
      <c r="T324" t="b">
        <v>0</v>
      </c>
      <c r="U324" t="str">
        <f t="shared" si="23"/>
        <v>No Return</v>
      </c>
    </row>
    <row r="325" spans="1:22" hidden="1" x14ac:dyDescent="0.3">
      <c r="A325" t="s">
        <v>378</v>
      </c>
      <c r="B325" t="s">
        <v>42</v>
      </c>
      <c r="C325" t="s">
        <v>43</v>
      </c>
      <c r="D325" t="s">
        <v>34</v>
      </c>
      <c r="E325" t="str">
        <f t="shared" si="20"/>
        <v>S</v>
      </c>
      <c r="F325" t="s">
        <v>18</v>
      </c>
      <c r="G325" t="s">
        <v>35</v>
      </c>
      <c r="H325" s="8">
        <v>80.95</v>
      </c>
      <c r="I325" s="3">
        <f t="shared" si="21"/>
        <v>0.36799999999999999</v>
      </c>
      <c r="J325" s="4">
        <v>36.799999999999997</v>
      </c>
      <c r="K325" s="11">
        <f>Table1[[#This Row],[original_price]]* (Table1[[#This Row],[Markdown percentage updated]])</f>
        <v>29.7896</v>
      </c>
      <c r="L3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25" s="6">
        <v>51.16</v>
      </c>
      <c r="N3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25" s="7">
        <v>45875</v>
      </c>
      <c r="P325">
        <v>16</v>
      </c>
      <c r="Q325" s="16" t="str">
        <f>IF(Table1[[#This Row],[stock_quantity]]=0,"NO STOCK",
IF(Table1[[#This Row],[stock_quantity]]&lt;=10,"LOW STOCK",
"IN STOCK"))</f>
        <v>IN STOCK</v>
      </c>
      <c r="R325" s="1">
        <f t="shared" si="22"/>
        <v>2.5</v>
      </c>
      <c r="S325">
        <v>2.5</v>
      </c>
      <c r="T325" t="b">
        <v>0</v>
      </c>
      <c r="U325" t="str">
        <f t="shared" si="23"/>
        <v>No Return</v>
      </c>
    </row>
    <row r="326" spans="1:22" hidden="1" x14ac:dyDescent="0.3">
      <c r="A326" t="s">
        <v>379</v>
      </c>
      <c r="B326" t="s">
        <v>15</v>
      </c>
      <c r="C326" t="s">
        <v>32</v>
      </c>
      <c r="D326" t="s">
        <v>62</v>
      </c>
      <c r="E326" t="str">
        <f t="shared" si="20"/>
        <v>OS</v>
      </c>
      <c r="F326" t="s">
        <v>58</v>
      </c>
      <c r="G326" t="s">
        <v>64</v>
      </c>
      <c r="H326" s="8">
        <v>169.84</v>
      </c>
      <c r="I326" s="3">
        <f t="shared" si="21"/>
        <v>0.502</v>
      </c>
      <c r="J326" s="4">
        <v>50.2</v>
      </c>
      <c r="K326" s="11">
        <f>Table1[[#This Row],[original_price]]* (Table1[[#This Row],[Markdown percentage updated]])</f>
        <v>85.259680000000003</v>
      </c>
      <c r="L3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26" s="6">
        <v>84.58</v>
      </c>
      <c r="N3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26" s="7">
        <v>45875</v>
      </c>
      <c r="P326">
        <v>21</v>
      </c>
      <c r="Q326" s="16" t="str">
        <f>IF(Table1[[#This Row],[stock_quantity]]=0,"NO STOCK",
IF(Table1[[#This Row],[stock_quantity]]&lt;=10,"LOW STOCK",
"IN STOCK"))</f>
        <v>IN STOCK</v>
      </c>
      <c r="R326" s="1">
        <f t="shared" si="22"/>
        <v>3</v>
      </c>
      <c r="S326">
        <v>3</v>
      </c>
      <c r="T326" t="b">
        <v>1</v>
      </c>
      <c r="U326" s="13" t="str">
        <f t="shared" si="23"/>
        <v>Quality Issue</v>
      </c>
      <c r="V326" t="s">
        <v>83</v>
      </c>
    </row>
    <row r="327" spans="1:22" hidden="1" x14ac:dyDescent="0.3">
      <c r="A327" t="s">
        <v>380</v>
      </c>
      <c r="B327" t="s">
        <v>42</v>
      </c>
      <c r="C327" t="s">
        <v>75</v>
      </c>
      <c r="D327" t="s">
        <v>34</v>
      </c>
      <c r="E327" t="str">
        <f t="shared" si="20"/>
        <v>XS</v>
      </c>
      <c r="F327" t="s">
        <v>58</v>
      </c>
      <c r="G327" t="s">
        <v>46</v>
      </c>
      <c r="H327" s="8">
        <v>159.4</v>
      </c>
      <c r="I327" s="3">
        <f t="shared" si="21"/>
        <v>8.8000000000000009E-2</v>
      </c>
      <c r="J327" s="4">
        <v>8.8000000000000007</v>
      </c>
      <c r="K327" s="11">
        <f>Table1[[#This Row],[original_price]]* (Table1[[#This Row],[Markdown percentage updated]])</f>
        <v>14.027200000000002</v>
      </c>
      <c r="L3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27" s="6">
        <v>145.37</v>
      </c>
      <c r="N3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327" s="7">
        <v>45875</v>
      </c>
      <c r="P327">
        <v>43</v>
      </c>
      <c r="Q327" s="16" t="str">
        <f>IF(Table1[[#This Row],[stock_quantity]]=0,"NO STOCK",
IF(Table1[[#This Row],[stock_quantity]]&lt;=10,"LOW STOCK",
"IN STOCK"))</f>
        <v>IN STOCK</v>
      </c>
      <c r="R327" s="1">
        <f t="shared" si="22"/>
        <v>4.5</v>
      </c>
      <c r="S327">
        <v>4.5</v>
      </c>
      <c r="T327" t="b">
        <v>0</v>
      </c>
      <c r="U327" t="str">
        <f t="shared" si="23"/>
        <v>No Return</v>
      </c>
    </row>
    <row r="328" spans="1:22" hidden="1" x14ac:dyDescent="0.3">
      <c r="A328" t="s">
        <v>381</v>
      </c>
      <c r="B328" t="s">
        <v>38</v>
      </c>
      <c r="C328" t="s">
        <v>75</v>
      </c>
      <c r="D328" t="s">
        <v>23</v>
      </c>
      <c r="E328" t="str">
        <f t="shared" si="20"/>
        <v>OS</v>
      </c>
      <c r="F328" t="s">
        <v>39</v>
      </c>
      <c r="G328" t="s">
        <v>28</v>
      </c>
      <c r="H328" s="8">
        <v>106.53</v>
      </c>
      <c r="I328" s="3">
        <f t="shared" si="21"/>
        <v>0.46500000000000002</v>
      </c>
      <c r="J328" s="4">
        <v>46.5</v>
      </c>
      <c r="K328" s="11">
        <f>Table1[[#This Row],[original_price]]* (Table1[[#This Row],[Markdown percentage updated]])</f>
        <v>49.536450000000002</v>
      </c>
      <c r="L3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28" s="6">
        <v>56.99</v>
      </c>
      <c r="N3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28" s="7">
        <v>45875</v>
      </c>
      <c r="P328">
        <v>17</v>
      </c>
      <c r="Q328" s="16" t="str">
        <f>IF(Table1[[#This Row],[stock_quantity]]=0,"NO STOCK",
IF(Table1[[#This Row],[stock_quantity]]&lt;=10,"LOW STOCK",
"IN STOCK"))</f>
        <v>IN STOCK</v>
      </c>
      <c r="R328" s="1">
        <f t="shared" si="22"/>
        <v>0</v>
      </c>
      <c r="T328" t="b">
        <v>0</v>
      </c>
      <c r="U328" t="str">
        <f t="shared" si="23"/>
        <v>No Return</v>
      </c>
    </row>
    <row r="329" spans="1:22" hidden="1" x14ac:dyDescent="0.3">
      <c r="A329" t="s">
        <v>382</v>
      </c>
      <c r="B329" t="s">
        <v>27</v>
      </c>
      <c r="C329" t="s">
        <v>61</v>
      </c>
      <c r="D329" t="s">
        <v>17</v>
      </c>
      <c r="E329" t="str">
        <f t="shared" si="20"/>
        <v>L</v>
      </c>
      <c r="G329" t="s">
        <v>28</v>
      </c>
      <c r="H329" s="8">
        <v>78.81</v>
      </c>
      <c r="I329" s="3">
        <f t="shared" si="21"/>
        <v>0.44700000000000001</v>
      </c>
      <c r="J329" s="4">
        <v>44.7</v>
      </c>
      <c r="K329" s="11">
        <f>Table1[[#This Row],[original_price]]* (Table1[[#This Row],[Markdown percentage updated]])</f>
        <v>35.228070000000002</v>
      </c>
      <c r="L3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29" s="6">
        <v>43.58</v>
      </c>
      <c r="N3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29" s="7">
        <v>45548</v>
      </c>
      <c r="P329">
        <v>34</v>
      </c>
      <c r="Q329" s="16" t="str">
        <f>IF(Table1[[#This Row],[stock_quantity]]=0,"NO STOCK",
IF(Table1[[#This Row],[stock_quantity]]&lt;=10,"LOW STOCK",
"IN STOCK"))</f>
        <v>IN STOCK</v>
      </c>
      <c r="R329" s="1">
        <f t="shared" si="22"/>
        <v>1.4</v>
      </c>
      <c r="S329">
        <v>1.4</v>
      </c>
      <c r="T329" t="b">
        <v>0</v>
      </c>
      <c r="U329" t="str">
        <f t="shared" si="23"/>
        <v>No Return</v>
      </c>
    </row>
    <row r="330" spans="1:22" hidden="1" x14ac:dyDescent="0.3">
      <c r="A330" t="s">
        <v>383</v>
      </c>
      <c r="B330" t="s">
        <v>15</v>
      </c>
      <c r="C330" t="s">
        <v>22</v>
      </c>
      <c r="D330" t="s">
        <v>62</v>
      </c>
      <c r="E330" t="str">
        <f t="shared" si="20"/>
        <v>XS</v>
      </c>
      <c r="F330" t="s">
        <v>55</v>
      </c>
      <c r="G330" t="s">
        <v>40</v>
      </c>
      <c r="H330" s="8">
        <v>117.45</v>
      </c>
      <c r="I330" s="3">
        <f t="shared" si="21"/>
        <v>0.29499999999999998</v>
      </c>
      <c r="J330" s="4">
        <v>29.5</v>
      </c>
      <c r="K330" s="11">
        <f>Table1[[#This Row],[original_price]]* (Table1[[#This Row],[Markdown percentage updated]])</f>
        <v>34.647750000000002</v>
      </c>
      <c r="L3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330" s="6">
        <v>82.8</v>
      </c>
      <c r="N3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30" s="7">
        <v>45875</v>
      </c>
      <c r="P330">
        <v>43</v>
      </c>
      <c r="Q330" s="16" t="str">
        <f>IF(Table1[[#This Row],[stock_quantity]]=0,"NO STOCK",
IF(Table1[[#This Row],[stock_quantity]]&lt;=10,"LOW STOCK",
"IN STOCK"))</f>
        <v>IN STOCK</v>
      </c>
      <c r="R330" s="1">
        <f t="shared" si="22"/>
        <v>1.2</v>
      </c>
      <c r="S330">
        <v>1.2</v>
      </c>
      <c r="T330" t="b">
        <v>0</v>
      </c>
      <c r="U330" t="str">
        <f t="shared" si="23"/>
        <v>No Return</v>
      </c>
    </row>
    <row r="331" spans="1:22" hidden="1" x14ac:dyDescent="0.3">
      <c r="A331" t="s">
        <v>384</v>
      </c>
      <c r="B331" t="s">
        <v>27</v>
      </c>
      <c r="C331" t="s">
        <v>61</v>
      </c>
      <c r="D331" t="s">
        <v>17</v>
      </c>
      <c r="E331" t="str">
        <f t="shared" si="20"/>
        <v>XL</v>
      </c>
      <c r="G331" t="s">
        <v>56</v>
      </c>
      <c r="H331" s="8">
        <v>76.94</v>
      </c>
      <c r="I331" s="3">
        <f t="shared" si="21"/>
        <v>0</v>
      </c>
      <c r="J331" s="4">
        <v>0</v>
      </c>
      <c r="K331" s="11">
        <f>Table1[[#This Row],[original_price]]* (Table1[[#This Row],[Markdown percentage updated]])</f>
        <v>0</v>
      </c>
      <c r="L3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31" s="6">
        <v>76.94</v>
      </c>
      <c r="N3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31" s="7">
        <v>45821</v>
      </c>
      <c r="P331">
        <v>21</v>
      </c>
      <c r="Q331" s="16" t="str">
        <f>IF(Table1[[#This Row],[stock_quantity]]=0,"NO STOCK",
IF(Table1[[#This Row],[stock_quantity]]&lt;=10,"LOW STOCK",
"IN STOCK"))</f>
        <v>IN STOCK</v>
      </c>
      <c r="R331" s="1">
        <f t="shared" si="22"/>
        <v>4.3</v>
      </c>
      <c r="S331">
        <v>4.3</v>
      </c>
      <c r="T331" t="b">
        <v>0</v>
      </c>
      <c r="U331" t="str">
        <f t="shared" si="23"/>
        <v>No Return</v>
      </c>
    </row>
    <row r="332" spans="1:22" x14ac:dyDescent="0.3">
      <c r="A332" t="s">
        <v>385</v>
      </c>
      <c r="B332" t="s">
        <v>15</v>
      </c>
      <c r="C332" t="s">
        <v>61</v>
      </c>
      <c r="D332" t="s">
        <v>62</v>
      </c>
      <c r="E332" t="str">
        <f t="shared" si="20"/>
        <v>OS</v>
      </c>
      <c r="F332" t="s">
        <v>24</v>
      </c>
      <c r="G332" t="s">
        <v>35</v>
      </c>
      <c r="H332" s="8">
        <v>232.19</v>
      </c>
      <c r="I332" s="3">
        <f t="shared" si="21"/>
        <v>0</v>
      </c>
      <c r="J332" s="4">
        <v>0</v>
      </c>
      <c r="K332" s="11">
        <f>Table1[[#This Row],[original_price]]* (Table1[[#This Row],[Markdown percentage updated]])</f>
        <v>0</v>
      </c>
      <c r="L3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32" s="6">
        <v>232.19</v>
      </c>
      <c r="N3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32" s="7">
        <v>45875</v>
      </c>
      <c r="P332">
        <v>31</v>
      </c>
      <c r="Q332" s="16" t="str">
        <f>IF(Table1[[#This Row],[stock_quantity]]=0,"NO STOCK",
IF(Table1[[#This Row],[stock_quantity]]&lt;=10,"LOW STOCK",
"IN STOCK"))</f>
        <v>IN STOCK</v>
      </c>
      <c r="R332" s="1">
        <f t="shared" si="22"/>
        <v>1.3</v>
      </c>
      <c r="S332">
        <v>1.3</v>
      </c>
      <c r="T332" t="b">
        <v>1</v>
      </c>
      <c r="U332" s="13" t="str">
        <f t="shared" si="23"/>
        <v>Changed Mind</v>
      </c>
      <c r="V332" t="s">
        <v>115</v>
      </c>
    </row>
    <row r="333" spans="1:22" hidden="1" x14ac:dyDescent="0.3">
      <c r="A333" t="s">
        <v>386</v>
      </c>
      <c r="B333" t="s">
        <v>42</v>
      </c>
      <c r="C333" t="s">
        <v>75</v>
      </c>
      <c r="D333" t="s">
        <v>34</v>
      </c>
      <c r="E333" t="str">
        <f t="shared" si="20"/>
        <v>OS</v>
      </c>
      <c r="F333" t="s">
        <v>55</v>
      </c>
      <c r="G333" t="s">
        <v>64</v>
      </c>
      <c r="H333" s="8">
        <v>80.400000000000006</v>
      </c>
      <c r="I333" s="3">
        <f t="shared" si="21"/>
        <v>0.52100000000000002</v>
      </c>
      <c r="J333" s="4">
        <v>52.1</v>
      </c>
      <c r="K333" s="11">
        <f>Table1[[#This Row],[original_price]]* (Table1[[#This Row],[Markdown percentage updated]])</f>
        <v>41.888400000000004</v>
      </c>
      <c r="L3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33" s="6">
        <v>38.51</v>
      </c>
      <c r="N3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33" s="7">
        <v>45875</v>
      </c>
      <c r="P333">
        <v>7</v>
      </c>
      <c r="Q333" s="17" t="str">
        <f>IF(Table1[[#This Row],[stock_quantity]]=0,"NO STOCK",
IF(Table1[[#This Row],[stock_quantity]]&lt;=10,"LOW STOCK",
"IN STOCK"))</f>
        <v>LOW STOCK</v>
      </c>
      <c r="R333" s="1">
        <f t="shared" si="22"/>
        <v>1.2</v>
      </c>
      <c r="S333">
        <v>1.2</v>
      </c>
      <c r="T333" t="b">
        <v>0</v>
      </c>
      <c r="U333" t="str">
        <f t="shared" si="23"/>
        <v>No Return</v>
      </c>
    </row>
    <row r="334" spans="1:22" hidden="1" x14ac:dyDescent="0.3">
      <c r="A334" t="s">
        <v>387</v>
      </c>
      <c r="B334" t="s">
        <v>38</v>
      </c>
      <c r="C334" t="s">
        <v>43</v>
      </c>
      <c r="D334" t="s">
        <v>62</v>
      </c>
      <c r="E334" t="str">
        <f t="shared" si="20"/>
        <v>S</v>
      </c>
      <c r="F334" t="s">
        <v>18</v>
      </c>
      <c r="G334" t="s">
        <v>28</v>
      </c>
      <c r="H334" s="8">
        <v>102.82</v>
      </c>
      <c r="I334" s="3">
        <f t="shared" si="21"/>
        <v>0</v>
      </c>
      <c r="J334" s="4">
        <v>0</v>
      </c>
      <c r="K334" s="11">
        <f>Table1[[#This Row],[original_price]]* (Table1[[#This Row],[Markdown percentage updated]])</f>
        <v>0</v>
      </c>
      <c r="L3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34" s="6">
        <v>102.82</v>
      </c>
      <c r="N3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34" s="7">
        <v>45875</v>
      </c>
      <c r="P334">
        <v>50</v>
      </c>
      <c r="Q334" s="16" t="str">
        <f>IF(Table1[[#This Row],[stock_quantity]]=0,"NO STOCK",
IF(Table1[[#This Row],[stock_quantity]]&lt;=10,"LOW STOCK",
"IN STOCK"))</f>
        <v>IN STOCK</v>
      </c>
      <c r="R334" s="1">
        <f t="shared" si="22"/>
        <v>3.6</v>
      </c>
      <c r="S334">
        <v>3.6</v>
      </c>
      <c r="T334" t="b">
        <v>0</v>
      </c>
      <c r="U334" t="str">
        <f t="shared" si="23"/>
        <v>No Return</v>
      </c>
    </row>
    <row r="335" spans="1:22" hidden="1" x14ac:dyDescent="0.3">
      <c r="A335" t="s">
        <v>388</v>
      </c>
      <c r="B335" t="s">
        <v>27</v>
      </c>
      <c r="C335" t="s">
        <v>16</v>
      </c>
      <c r="D335" t="s">
        <v>17</v>
      </c>
      <c r="E335" t="str">
        <f t="shared" si="20"/>
        <v>XXL</v>
      </c>
      <c r="G335" t="s">
        <v>64</v>
      </c>
      <c r="H335" s="8">
        <v>48.5</v>
      </c>
      <c r="I335" s="3">
        <f t="shared" si="21"/>
        <v>0</v>
      </c>
      <c r="J335" s="4">
        <v>0</v>
      </c>
      <c r="K335" s="11">
        <f>Table1[[#This Row],[original_price]]* (Table1[[#This Row],[Markdown percentage updated]])</f>
        <v>0</v>
      </c>
      <c r="L3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35" s="6">
        <v>48.5</v>
      </c>
      <c r="N3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35" s="7">
        <v>45786</v>
      </c>
      <c r="P335">
        <v>46</v>
      </c>
      <c r="Q335" s="16" t="str">
        <f>IF(Table1[[#This Row],[stock_quantity]]=0,"NO STOCK",
IF(Table1[[#This Row],[stock_quantity]]&lt;=10,"LOW STOCK",
"IN STOCK"))</f>
        <v>IN STOCK</v>
      </c>
      <c r="R335" s="1">
        <f t="shared" si="22"/>
        <v>0</v>
      </c>
      <c r="T335" t="b">
        <v>0</v>
      </c>
      <c r="U335" t="str">
        <f t="shared" si="23"/>
        <v>No Return</v>
      </c>
    </row>
    <row r="336" spans="1:22" hidden="1" x14ac:dyDescent="0.3">
      <c r="A336" t="s">
        <v>389</v>
      </c>
      <c r="B336" t="s">
        <v>38</v>
      </c>
      <c r="C336" t="s">
        <v>43</v>
      </c>
      <c r="D336" t="s">
        <v>34</v>
      </c>
      <c r="E336" t="str">
        <f t="shared" si="20"/>
        <v>M</v>
      </c>
      <c r="G336" t="s">
        <v>25</v>
      </c>
      <c r="H336" s="8">
        <v>88.4</v>
      </c>
      <c r="I336" s="3">
        <f t="shared" si="21"/>
        <v>0</v>
      </c>
      <c r="J336" s="4">
        <v>0</v>
      </c>
      <c r="K336" s="11">
        <f>Table1[[#This Row],[original_price]]* (Table1[[#This Row],[Markdown percentage updated]])</f>
        <v>0</v>
      </c>
      <c r="L3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36" s="6">
        <v>88.4</v>
      </c>
      <c r="N3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36" s="7">
        <v>45875</v>
      </c>
      <c r="P336">
        <v>1</v>
      </c>
      <c r="Q336" s="17" t="str">
        <f>IF(Table1[[#This Row],[stock_quantity]]=0,"NO STOCK",
IF(Table1[[#This Row],[stock_quantity]]&lt;=10,"LOW STOCK",
"IN STOCK"))</f>
        <v>LOW STOCK</v>
      </c>
      <c r="R336" s="1">
        <f t="shared" si="22"/>
        <v>1.4</v>
      </c>
      <c r="S336">
        <v>1.4</v>
      </c>
      <c r="T336" t="b">
        <v>0</v>
      </c>
      <c r="U336" t="str">
        <f t="shared" si="23"/>
        <v>No Return</v>
      </c>
    </row>
    <row r="337" spans="1:22" hidden="1" x14ac:dyDescent="0.3">
      <c r="A337" t="s">
        <v>390</v>
      </c>
      <c r="B337" t="s">
        <v>30</v>
      </c>
      <c r="C337" t="s">
        <v>43</v>
      </c>
      <c r="D337" t="s">
        <v>23</v>
      </c>
      <c r="E337" t="str">
        <f t="shared" si="20"/>
        <v>XS</v>
      </c>
      <c r="F337" t="s">
        <v>39</v>
      </c>
      <c r="G337" t="s">
        <v>28</v>
      </c>
      <c r="H337" s="8">
        <v>112.5</v>
      </c>
      <c r="I337" s="3">
        <f t="shared" si="21"/>
        <v>0</v>
      </c>
      <c r="J337" s="4">
        <v>0</v>
      </c>
      <c r="K337" s="11">
        <f>Table1[[#This Row],[original_price]]* (Table1[[#This Row],[Markdown percentage updated]])</f>
        <v>0</v>
      </c>
      <c r="L3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37" s="6">
        <v>112.5</v>
      </c>
      <c r="N3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37" s="7">
        <v>45875</v>
      </c>
      <c r="P337">
        <v>11</v>
      </c>
      <c r="Q337" s="16" t="str">
        <f>IF(Table1[[#This Row],[stock_quantity]]=0,"NO STOCK",
IF(Table1[[#This Row],[stock_quantity]]&lt;=10,"LOW STOCK",
"IN STOCK"))</f>
        <v>IN STOCK</v>
      </c>
      <c r="R337" s="1">
        <f t="shared" si="22"/>
        <v>4.3</v>
      </c>
      <c r="S337">
        <v>4.3</v>
      </c>
      <c r="T337" t="b">
        <v>0</v>
      </c>
      <c r="U337" t="str">
        <f t="shared" si="23"/>
        <v>No Return</v>
      </c>
    </row>
    <row r="338" spans="1:22" hidden="1" x14ac:dyDescent="0.3">
      <c r="A338" t="s">
        <v>391</v>
      </c>
      <c r="B338" t="s">
        <v>38</v>
      </c>
      <c r="C338" t="s">
        <v>16</v>
      </c>
      <c r="D338" t="s">
        <v>34</v>
      </c>
      <c r="E338" t="str">
        <f t="shared" si="20"/>
        <v>XL</v>
      </c>
      <c r="F338" t="s">
        <v>49</v>
      </c>
      <c r="G338" t="s">
        <v>40</v>
      </c>
      <c r="H338" s="8">
        <v>97.95</v>
      </c>
      <c r="I338" s="3">
        <f t="shared" si="21"/>
        <v>0.111</v>
      </c>
      <c r="J338" s="4">
        <v>11.1</v>
      </c>
      <c r="K338" s="11">
        <f>Table1[[#This Row],[original_price]]* (Table1[[#This Row],[Markdown percentage updated]])</f>
        <v>10.872450000000001</v>
      </c>
      <c r="L3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38" s="6">
        <v>87.08</v>
      </c>
      <c r="N3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338" s="7">
        <v>45875</v>
      </c>
      <c r="P338">
        <v>25</v>
      </c>
      <c r="Q338" s="16" t="str">
        <f>IF(Table1[[#This Row],[stock_quantity]]=0,"NO STOCK",
IF(Table1[[#This Row],[stock_quantity]]&lt;=10,"LOW STOCK",
"IN STOCK"))</f>
        <v>IN STOCK</v>
      </c>
      <c r="R338" s="1">
        <f t="shared" si="22"/>
        <v>2.4</v>
      </c>
      <c r="S338">
        <v>2.4</v>
      </c>
      <c r="T338" t="b">
        <v>0</v>
      </c>
      <c r="U338" t="str">
        <f t="shared" si="23"/>
        <v>No Return</v>
      </c>
    </row>
    <row r="339" spans="1:22" hidden="1" x14ac:dyDescent="0.3">
      <c r="A339" t="s">
        <v>392</v>
      </c>
      <c r="B339" t="s">
        <v>15</v>
      </c>
      <c r="C339" t="s">
        <v>48</v>
      </c>
      <c r="D339" t="s">
        <v>62</v>
      </c>
      <c r="E339" t="str">
        <f t="shared" si="20"/>
        <v>S</v>
      </c>
      <c r="F339" t="s">
        <v>58</v>
      </c>
      <c r="G339" t="s">
        <v>25</v>
      </c>
      <c r="H339" s="8">
        <v>114.51</v>
      </c>
      <c r="I339" s="3">
        <f t="shared" si="21"/>
        <v>0.36899999999999999</v>
      </c>
      <c r="J339" s="4">
        <v>36.9</v>
      </c>
      <c r="K339" s="11">
        <f>Table1[[#This Row],[original_price]]* (Table1[[#This Row],[Markdown percentage updated]])</f>
        <v>42.254190000000001</v>
      </c>
      <c r="L3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39" s="6">
        <v>72.260000000000005</v>
      </c>
      <c r="N3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39" s="7">
        <v>45875</v>
      </c>
      <c r="P339">
        <v>33</v>
      </c>
      <c r="Q339" s="16" t="str">
        <f>IF(Table1[[#This Row],[stock_quantity]]=0,"NO STOCK",
IF(Table1[[#This Row],[stock_quantity]]&lt;=10,"LOW STOCK",
"IN STOCK"))</f>
        <v>IN STOCK</v>
      </c>
      <c r="R339" s="1">
        <f t="shared" si="22"/>
        <v>1.5</v>
      </c>
      <c r="S339">
        <v>1.5</v>
      </c>
      <c r="T339" t="b">
        <v>0</v>
      </c>
      <c r="U339" t="str">
        <f t="shared" si="23"/>
        <v>No Return</v>
      </c>
    </row>
    <row r="340" spans="1:22" hidden="1" x14ac:dyDescent="0.3">
      <c r="A340" t="s">
        <v>393</v>
      </c>
      <c r="B340" t="s">
        <v>38</v>
      </c>
      <c r="C340" t="s">
        <v>16</v>
      </c>
      <c r="D340" t="s">
        <v>23</v>
      </c>
      <c r="E340" t="str">
        <f t="shared" si="20"/>
        <v>M</v>
      </c>
      <c r="F340" t="s">
        <v>55</v>
      </c>
      <c r="G340" t="s">
        <v>70</v>
      </c>
      <c r="H340" s="8">
        <v>27.85</v>
      </c>
      <c r="I340" s="3">
        <f t="shared" si="21"/>
        <v>0</v>
      </c>
      <c r="J340" s="4">
        <v>0</v>
      </c>
      <c r="K340" s="11">
        <f>Table1[[#This Row],[original_price]]* (Table1[[#This Row],[Markdown percentage updated]])</f>
        <v>0</v>
      </c>
      <c r="L3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40" s="6">
        <v>27.85</v>
      </c>
      <c r="N3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40" s="7">
        <v>45875</v>
      </c>
      <c r="P340">
        <v>0</v>
      </c>
      <c r="Q340" s="13" t="str">
        <f>IF(Table1[[#This Row],[stock_quantity]]=0,"NO STOCK",
IF(Table1[[#This Row],[stock_quantity]]&lt;=10,"LOW STOCK",
"IN STOCK"))</f>
        <v>NO STOCK</v>
      </c>
      <c r="R340" s="1">
        <f t="shared" si="22"/>
        <v>1.5</v>
      </c>
      <c r="S340">
        <v>1.5</v>
      </c>
      <c r="T340" t="b">
        <v>0</v>
      </c>
      <c r="U340" t="str">
        <f t="shared" si="23"/>
        <v>No Return</v>
      </c>
    </row>
    <row r="341" spans="1:22" hidden="1" x14ac:dyDescent="0.3">
      <c r="A341" t="s">
        <v>394</v>
      </c>
      <c r="B341" t="s">
        <v>30</v>
      </c>
      <c r="C341" t="s">
        <v>53</v>
      </c>
      <c r="D341" t="s">
        <v>17</v>
      </c>
      <c r="E341" t="str">
        <f t="shared" si="20"/>
        <v>M</v>
      </c>
      <c r="F341" t="s">
        <v>18</v>
      </c>
      <c r="G341" t="s">
        <v>44</v>
      </c>
      <c r="H341" s="8">
        <v>82.08</v>
      </c>
      <c r="I341" s="3">
        <f t="shared" si="21"/>
        <v>0.40600000000000003</v>
      </c>
      <c r="J341" s="4">
        <v>40.6</v>
      </c>
      <c r="K341" s="11">
        <f>Table1[[#This Row],[original_price]]* (Table1[[#This Row],[Markdown percentage updated]])</f>
        <v>33.324480000000001</v>
      </c>
      <c r="L3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41" s="6">
        <v>48.76</v>
      </c>
      <c r="N3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41" s="7">
        <v>45800</v>
      </c>
      <c r="P341">
        <v>43</v>
      </c>
      <c r="Q341" s="16" t="str">
        <f>IF(Table1[[#This Row],[stock_quantity]]=0,"NO STOCK",
IF(Table1[[#This Row],[stock_quantity]]&lt;=10,"LOW STOCK",
"IN STOCK"))</f>
        <v>IN STOCK</v>
      </c>
      <c r="R341" s="1">
        <f t="shared" si="22"/>
        <v>2.5</v>
      </c>
      <c r="S341">
        <v>2.5</v>
      </c>
      <c r="T341" t="b">
        <v>1</v>
      </c>
      <c r="U341" s="13" t="str">
        <f t="shared" si="23"/>
        <v>Quality Issue</v>
      </c>
      <c r="V341" t="s">
        <v>83</v>
      </c>
    </row>
    <row r="342" spans="1:22" hidden="1" x14ac:dyDescent="0.3">
      <c r="A342" t="s">
        <v>395</v>
      </c>
      <c r="B342" t="s">
        <v>38</v>
      </c>
      <c r="C342" t="s">
        <v>43</v>
      </c>
      <c r="D342" t="s">
        <v>62</v>
      </c>
      <c r="E342" t="str">
        <f t="shared" si="20"/>
        <v>S</v>
      </c>
      <c r="F342" t="s">
        <v>39</v>
      </c>
      <c r="G342" t="s">
        <v>28</v>
      </c>
      <c r="H342" s="8">
        <v>116.41</v>
      </c>
      <c r="I342" s="3">
        <f t="shared" si="21"/>
        <v>0.40700000000000003</v>
      </c>
      <c r="J342" s="4">
        <v>40.700000000000003</v>
      </c>
      <c r="K342" s="11">
        <f>Table1[[#This Row],[original_price]]* (Table1[[#This Row],[Markdown percentage updated]])</f>
        <v>47.378869999999999</v>
      </c>
      <c r="L3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42" s="6">
        <v>69.03</v>
      </c>
      <c r="N3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42" s="7">
        <v>45875</v>
      </c>
      <c r="P342">
        <v>23</v>
      </c>
      <c r="Q342" s="16" t="str">
        <f>IF(Table1[[#This Row],[stock_quantity]]=0,"NO STOCK",
IF(Table1[[#This Row],[stock_quantity]]&lt;=10,"LOW STOCK",
"IN STOCK"))</f>
        <v>IN STOCK</v>
      </c>
      <c r="R342" s="1">
        <f t="shared" si="22"/>
        <v>1.2</v>
      </c>
      <c r="S342">
        <v>1.2</v>
      </c>
      <c r="T342" t="b">
        <v>0</v>
      </c>
      <c r="U342" t="str">
        <f t="shared" si="23"/>
        <v>No Return</v>
      </c>
    </row>
    <row r="343" spans="1:22" hidden="1" x14ac:dyDescent="0.3">
      <c r="A343" t="s">
        <v>396</v>
      </c>
      <c r="B343" t="s">
        <v>38</v>
      </c>
      <c r="C343" t="s">
        <v>53</v>
      </c>
      <c r="D343" t="s">
        <v>17</v>
      </c>
      <c r="E343" t="str">
        <f t="shared" si="20"/>
        <v>OS</v>
      </c>
      <c r="F343" t="s">
        <v>58</v>
      </c>
      <c r="G343" t="s">
        <v>35</v>
      </c>
      <c r="H343" s="8">
        <v>95.61</v>
      </c>
      <c r="I343" s="3">
        <f t="shared" si="21"/>
        <v>0</v>
      </c>
      <c r="J343" s="4">
        <v>0</v>
      </c>
      <c r="K343" s="11">
        <f>Table1[[#This Row],[original_price]]* (Table1[[#This Row],[Markdown percentage updated]])</f>
        <v>0</v>
      </c>
      <c r="L3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43" s="6">
        <v>95.61</v>
      </c>
      <c r="N3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43" s="7">
        <v>45818</v>
      </c>
      <c r="P343">
        <v>47</v>
      </c>
      <c r="Q343" s="16" t="str">
        <f>IF(Table1[[#This Row],[stock_quantity]]=0,"NO STOCK",
IF(Table1[[#This Row],[stock_quantity]]&lt;=10,"LOW STOCK",
"IN STOCK"))</f>
        <v>IN STOCK</v>
      </c>
      <c r="R343" s="1">
        <f t="shared" si="22"/>
        <v>4.7</v>
      </c>
      <c r="S343">
        <v>4.7</v>
      </c>
      <c r="T343" t="b">
        <v>1</v>
      </c>
      <c r="U343" s="13" t="str">
        <f t="shared" si="23"/>
        <v>Quality Issue</v>
      </c>
      <c r="V343" t="s">
        <v>83</v>
      </c>
    </row>
    <row r="344" spans="1:22" hidden="1" x14ac:dyDescent="0.3">
      <c r="A344" t="s">
        <v>397</v>
      </c>
      <c r="B344" t="s">
        <v>30</v>
      </c>
      <c r="C344" t="s">
        <v>43</v>
      </c>
      <c r="D344" t="s">
        <v>34</v>
      </c>
      <c r="E344" t="str">
        <f t="shared" si="20"/>
        <v>L</v>
      </c>
      <c r="F344" t="s">
        <v>58</v>
      </c>
      <c r="G344" t="s">
        <v>35</v>
      </c>
      <c r="H344" s="8">
        <v>70.040000000000006</v>
      </c>
      <c r="I344" s="3">
        <f t="shared" si="21"/>
        <v>0</v>
      </c>
      <c r="J344" s="4">
        <v>0</v>
      </c>
      <c r="K344" s="11">
        <f>Table1[[#This Row],[original_price]]* (Table1[[#This Row],[Markdown percentage updated]])</f>
        <v>0</v>
      </c>
      <c r="L3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44" s="6">
        <v>70.040000000000006</v>
      </c>
      <c r="N3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44" s="7">
        <v>45875</v>
      </c>
      <c r="P344">
        <v>12</v>
      </c>
      <c r="Q344" s="16" t="str">
        <f>IF(Table1[[#This Row],[stock_quantity]]=0,"NO STOCK",
IF(Table1[[#This Row],[stock_quantity]]&lt;=10,"LOW STOCK",
"IN STOCK"))</f>
        <v>IN STOCK</v>
      </c>
      <c r="R344" s="1">
        <f t="shared" si="22"/>
        <v>2.4</v>
      </c>
      <c r="S344">
        <v>2.4</v>
      </c>
      <c r="T344" t="b">
        <v>0</v>
      </c>
      <c r="U344" t="str">
        <f t="shared" si="23"/>
        <v>No Return</v>
      </c>
    </row>
    <row r="345" spans="1:22" hidden="1" x14ac:dyDescent="0.3">
      <c r="A345" t="s">
        <v>398</v>
      </c>
      <c r="B345" t="s">
        <v>30</v>
      </c>
      <c r="C345" t="s">
        <v>32</v>
      </c>
      <c r="D345" t="s">
        <v>23</v>
      </c>
      <c r="E345" t="str">
        <f t="shared" si="20"/>
        <v>XS</v>
      </c>
      <c r="F345" t="s">
        <v>39</v>
      </c>
      <c r="G345" t="s">
        <v>40</v>
      </c>
      <c r="H345" s="8">
        <v>112.59</v>
      </c>
      <c r="I345" s="3">
        <f t="shared" si="21"/>
        <v>0.54</v>
      </c>
      <c r="J345" s="4">
        <v>54</v>
      </c>
      <c r="K345" s="11">
        <f>Table1[[#This Row],[original_price]]* (Table1[[#This Row],[Markdown percentage updated]])</f>
        <v>60.798600000000008</v>
      </c>
      <c r="L3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45" s="6">
        <v>51.79</v>
      </c>
      <c r="N3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45" s="7">
        <v>45875</v>
      </c>
      <c r="P345">
        <v>17</v>
      </c>
      <c r="Q345" s="16" t="str">
        <f>IF(Table1[[#This Row],[stock_quantity]]=0,"NO STOCK",
IF(Table1[[#This Row],[stock_quantity]]&lt;=10,"LOW STOCK",
"IN STOCK"))</f>
        <v>IN STOCK</v>
      </c>
      <c r="R345" s="1">
        <f t="shared" si="22"/>
        <v>4</v>
      </c>
      <c r="S345">
        <v>4</v>
      </c>
      <c r="T345" t="b">
        <v>0</v>
      </c>
      <c r="U345" t="str">
        <f t="shared" si="23"/>
        <v>No Return</v>
      </c>
    </row>
    <row r="346" spans="1:22" hidden="1" x14ac:dyDescent="0.3">
      <c r="A346" t="s">
        <v>399</v>
      </c>
      <c r="B346" t="s">
        <v>27</v>
      </c>
      <c r="C346" t="s">
        <v>16</v>
      </c>
      <c r="D346" t="s">
        <v>62</v>
      </c>
      <c r="E346" t="str">
        <f t="shared" si="20"/>
        <v>XXL</v>
      </c>
      <c r="G346" t="s">
        <v>66</v>
      </c>
      <c r="H346" s="8">
        <v>26.8</v>
      </c>
      <c r="I346" s="3">
        <f t="shared" si="21"/>
        <v>9.0000000000000011E-3</v>
      </c>
      <c r="J346" s="4">
        <v>0.9</v>
      </c>
      <c r="K346" s="11">
        <f>Table1[[#This Row],[original_price]]* (Table1[[#This Row],[Markdown percentage updated]])</f>
        <v>0.24120000000000003</v>
      </c>
      <c r="L3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46" s="6">
        <v>26.56</v>
      </c>
      <c r="N3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46" s="7">
        <v>45875</v>
      </c>
      <c r="P346">
        <v>25</v>
      </c>
      <c r="Q346" s="16" t="str">
        <f>IF(Table1[[#This Row],[stock_quantity]]=0,"NO STOCK",
IF(Table1[[#This Row],[stock_quantity]]&lt;=10,"LOW STOCK",
"IN STOCK"))</f>
        <v>IN STOCK</v>
      </c>
      <c r="R346" s="1">
        <f t="shared" si="22"/>
        <v>1.2</v>
      </c>
      <c r="S346">
        <v>1.2</v>
      </c>
      <c r="T346" t="b">
        <v>1</v>
      </c>
      <c r="U346" s="13" t="str">
        <f t="shared" si="23"/>
        <v>Color Mismatch</v>
      </c>
      <c r="V346" t="s">
        <v>36</v>
      </c>
    </row>
    <row r="347" spans="1:22" hidden="1" x14ac:dyDescent="0.3">
      <c r="A347" t="s">
        <v>400</v>
      </c>
      <c r="B347" t="s">
        <v>21</v>
      </c>
      <c r="C347" t="s">
        <v>48</v>
      </c>
      <c r="D347" t="s">
        <v>62</v>
      </c>
      <c r="E347" t="str">
        <f t="shared" si="20"/>
        <v>OS</v>
      </c>
      <c r="F347" t="s">
        <v>24</v>
      </c>
      <c r="G347" t="s">
        <v>44</v>
      </c>
      <c r="H347" s="8">
        <v>50.09</v>
      </c>
      <c r="I347" s="3">
        <f t="shared" si="21"/>
        <v>0</v>
      </c>
      <c r="J347" s="4">
        <v>0</v>
      </c>
      <c r="K347" s="11">
        <f>Table1[[#This Row],[original_price]]* (Table1[[#This Row],[Markdown percentage updated]])</f>
        <v>0</v>
      </c>
      <c r="L3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47" s="6">
        <v>50.09</v>
      </c>
      <c r="N3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47" s="7">
        <v>45875</v>
      </c>
      <c r="P347">
        <v>47</v>
      </c>
      <c r="Q347" s="16" t="str">
        <f>IF(Table1[[#This Row],[stock_quantity]]=0,"NO STOCK",
IF(Table1[[#This Row],[stock_quantity]]&lt;=10,"LOW STOCK",
"IN STOCK"))</f>
        <v>IN STOCK</v>
      </c>
      <c r="R347" s="1">
        <f t="shared" si="22"/>
        <v>4</v>
      </c>
      <c r="S347">
        <v>4</v>
      </c>
      <c r="T347" t="b">
        <v>0</v>
      </c>
      <c r="U347" t="str">
        <f t="shared" si="23"/>
        <v>No Return</v>
      </c>
    </row>
    <row r="348" spans="1:22" hidden="1" x14ac:dyDescent="0.3">
      <c r="A348" t="s">
        <v>401</v>
      </c>
      <c r="B348" t="s">
        <v>38</v>
      </c>
      <c r="C348" t="s">
        <v>43</v>
      </c>
      <c r="D348" t="s">
        <v>17</v>
      </c>
      <c r="E348" t="str">
        <f t="shared" si="20"/>
        <v>XS</v>
      </c>
      <c r="F348" t="s">
        <v>55</v>
      </c>
      <c r="G348" t="s">
        <v>46</v>
      </c>
      <c r="H348" s="8">
        <v>92.84</v>
      </c>
      <c r="I348" s="3">
        <f t="shared" si="21"/>
        <v>4.2000000000000003E-2</v>
      </c>
      <c r="J348" s="4">
        <v>4.2</v>
      </c>
      <c r="K348" s="11">
        <f>Table1[[#This Row],[original_price]]* (Table1[[#This Row],[Markdown percentage updated]])</f>
        <v>3.8992800000000005</v>
      </c>
      <c r="L3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48" s="6">
        <v>88.94</v>
      </c>
      <c r="N3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48" s="7">
        <v>45670</v>
      </c>
      <c r="P348">
        <v>0</v>
      </c>
      <c r="Q348" s="13" t="str">
        <f>IF(Table1[[#This Row],[stock_quantity]]=0,"NO STOCK",
IF(Table1[[#This Row],[stock_quantity]]&lt;=10,"LOW STOCK",
"IN STOCK"))</f>
        <v>NO STOCK</v>
      </c>
      <c r="R348" s="1">
        <f t="shared" si="22"/>
        <v>0</v>
      </c>
      <c r="T348" t="b">
        <v>1</v>
      </c>
      <c r="U348" s="13" t="str">
        <f t="shared" si="23"/>
        <v>Size Issue</v>
      </c>
      <c r="V348" t="s">
        <v>73</v>
      </c>
    </row>
    <row r="349" spans="1:22" x14ac:dyDescent="0.3">
      <c r="A349" t="s">
        <v>402</v>
      </c>
      <c r="B349" t="s">
        <v>21</v>
      </c>
      <c r="C349" t="s">
        <v>22</v>
      </c>
      <c r="D349" t="s">
        <v>62</v>
      </c>
      <c r="E349" t="str">
        <f t="shared" si="20"/>
        <v>OS</v>
      </c>
      <c r="F349" t="s">
        <v>49</v>
      </c>
      <c r="G349" t="s">
        <v>40</v>
      </c>
      <c r="H349" s="8">
        <v>114.63</v>
      </c>
      <c r="I349" s="3">
        <f t="shared" si="21"/>
        <v>0</v>
      </c>
      <c r="J349" s="4">
        <v>0</v>
      </c>
      <c r="K349" s="11">
        <f>Table1[[#This Row],[original_price]]* (Table1[[#This Row],[Markdown percentage updated]])</f>
        <v>0</v>
      </c>
      <c r="L3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49" s="6">
        <v>114.63</v>
      </c>
      <c r="N3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49" s="7">
        <v>45875</v>
      </c>
      <c r="P349">
        <v>47</v>
      </c>
      <c r="Q349" s="16" t="str">
        <f>IF(Table1[[#This Row],[stock_quantity]]=0,"NO STOCK",
IF(Table1[[#This Row],[stock_quantity]]&lt;=10,"LOW STOCK",
"IN STOCK"))</f>
        <v>IN STOCK</v>
      </c>
      <c r="R349" s="1">
        <f t="shared" si="22"/>
        <v>3.8</v>
      </c>
      <c r="S349">
        <v>3.8</v>
      </c>
      <c r="T349" t="b">
        <v>1</v>
      </c>
      <c r="U349" s="13" t="str">
        <f t="shared" si="23"/>
        <v>Changed Mind</v>
      </c>
      <c r="V349" t="s">
        <v>115</v>
      </c>
    </row>
    <row r="350" spans="1:22" hidden="1" x14ac:dyDescent="0.3">
      <c r="A350" t="s">
        <v>403</v>
      </c>
      <c r="B350" t="s">
        <v>27</v>
      </c>
      <c r="C350" t="s">
        <v>61</v>
      </c>
      <c r="D350" t="s">
        <v>62</v>
      </c>
      <c r="E350" t="str">
        <f t="shared" si="20"/>
        <v>XL</v>
      </c>
      <c r="G350" t="s">
        <v>66</v>
      </c>
      <c r="H350" s="8">
        <v>21.9</v>
      </c>
      <c r="I350" s="3">
        <f t="shared" si="21"/>
        <v>0.29199999999999998</v>
      </c>
      <c r="J350" s="4">
        <v>29.2</v>
      </c>
      <c r="K350" s="11">
        <f>Table1[[#This Row],[original_price]]* (Table1[[#This Row],[Markdown percentage updated]])</f>
        <v>6.3947999999999992</v>
      </c>
      <c r="L3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350" s="6">
        <v>15.51</v>
      </c>
      <c r="N3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50" s="7">
        <v>45875</v>
      </c>
      <c r="P350">
        <v>35</v>
      </c>
      <c r="Q350" s="16" t="str">
        <f>IF(Table1[[#This Row],[stock_quantity]]=0,"NO STOCK",
IF(Table1[[#This Row],[stock_quantity]]&lt;=10,"LOW STOCK",
"IN STOCK"))</f>
        <v>IN STOCK</v>
      </c>
      <c r="R350" s="1">
        <f t="shared" si="22"/>
        <v>2</v>
      </c>
      <c r="S350">
        <v>2</v>
      </c>
      <c r="T350" t="b">
        <v>0</v>
      </c>
      <c r="U350" t="str">
        <f t="shared" si="23"/>
        <v>No Return</v>
      </c>
    </row>
    <row r="351" spans="1:22" hidden="1" x14ac:dyDescent="0.3">
      <c r="A351" t="s">
        <v>404</v>
      </c>
      <c r="B351" t="s">
        <v>42</v>
      </c>
      <c r="C351" t="s">
        <v>16</v>
      </c>
      <c r="D351" t="s">
        <v>17</v>
      </c>
      <c r="E351" t="str">
        <f t="shared" si="20"/>
        <v>XS</v>
      </c>
      <c r="F351" t="s">
        <v>55</v>
      </c>
      <c r="G351" t="s">
        <v>64</v>
      </c>
      <c r="H351" s="8">
        <v>100.55</v>
      </c>
      <c r="I351" s="3">
        <f t="shared" si="21"/>
        <v>0.46700000000000003</v>
      </c>
      <c r="J351" s="4">
        <v>46.7</v>
      </c>
      <c r="K351" s="11">
        <f>Table1[[#This Row],[original_price]]* (Table1[[#This Row],[Markdown percentage updated]])</f>
        <v>46.956850000000003</v>
      </c>
      <c r="L3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51" s="6">
        <v>53.59</v>
      </c>
      <c r="N3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51" s="7">
        <v>45689</v>
      </c>
      <c r="P351">
        <v>30</v>
      </c>
      <c r="Q351" s="16" t="str">
        <f>IF(Table1[[#This Row],[stock_quantity]]=0,"NO STOCK",
IF(Table1[[#This Row],[stock_quantity]]&lt;=10,"LOW STOCK",
"IN STOCK"))</f>
        <v>IN STOCK</v>
      </c>
      <c r="R351" s="1">
        <f t="shared" si="22"/>
        <v>0</v>
      </c>
      <c r="T351" t="b">
        <v>0</v>
      </c>
      <c r="U351" t="str">
        <f t="shared" si="23"/>
        <v>No Return</v>
      </c>
    </row>
    <row r="352" spans="1:22" hidden="1" x14ac:dyDescent="0.3">
      <c r="A352" t="s">
        <v>405</v>
      </c>
      <c r="B352" t="s">
        <v>27</v>
      </c>
      <c r="C352" t="s">
        <v>75</v>
      </c>
      <c r="D352" t="s">
        <v>62</v>
      </c>
      <c r="E352" t="str">
        <f t="shared" si="20"/>
        <v>OS</v>
      </c>
      <c r="G352" t="s">
        <v>70</v>
      </c>
      <c r="H352" s="8">
        <v>47.45</v>
      </c>
      <c r="I352" s="3">
        <f t="shared" si="21"/>
        <v>0.16399999999999998</v>
      </c>
      <c r="J352" s="4">
        <v>16.399999999999999</v>
      </c>
      <c r="K352" s="11">
        <f>Table1[[#This Row],[original_price]]* (Table1[[#This Row],[Markdown percentage updated]])</f>
        <v>7.7817999999999996</v>
      </c>
      <c r="L3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52" s="6">
        <v>39.67</v>
      </c>
      <c r="N3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52" s="7">
        <v>45875</v>
      </c>
      <c r="P352">
        <v>33</v>
      </c>
      <c r="Q352" s="16" t="str">
        <f>IF(Table1[[#This Row],[stock_quantity]]=0,"NO STOCK",
IF(Table1[[#This Row],[stock_quantity]]&lt;=10,"LOW STOCK",
"IN STOCK"))</f>
        <v>IN STOCK</v>
      </c>
      <c r="R352" s="1">
        <f t="shared" si="22"/>
        <v>1.7</v>
      </c>
      <c r="S352">
        <v>1.7</v>
      </c>
      <c r="T352" t="b">
        <v>0</v>
      </c>
      <c r="U352" t="str">
        <f t="shared" si="23"/>
        <v>No Return</v>
      </c>
    </row>
    <row r="353" spans="1:22" hidden="1" x14ac:dyDescent="0.3">
      <c r="A353" t="s">
        <v>406</v>
      </c>
      <c r="B353" t="s">
        <v>38</v>
      </c>
      <c r="C353" t="s">
        <v>48</v>
      </c>
      <c r="D353" t="s">
        <v>62</v>
      </c>
      <c r="E353" t="str">
        <f t="shared" si="20"/>
        <v>L</v>
      </c>
      <c r="F353" t="s">
        <v>18</v>
      </c>
      <c r="G353" t="s">
        <v>70</v>
      </c>
      <c r="H353" s="8">
        <v>113.21</v>
      </c>
      <c r="I353" s="3">
        <f t="shared" si="21"/>
        <v>0</v>
      </c>
      <c r="J353" s="4">
        <v>0</v>
      </c>
      <c r="K353" s="11">
        <f>Table1[[#This Row],[original_price]]* (Table1[[#This Row],[Markdown percentage updated]])</f>
        <v>0</v>
      </c>
      <c r="L3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53" s="6">
        <v>113.21</v>
      </c>
      <c r="N3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53" s="7">
        <v>45875</v>
      </c>
      <c r="P353">
        <v>8</v>
      </c>
      <c r="Q353" s="17" t="str">
        <f>IF(Table1[[#This Row],[stock_quantity]]=0,"NO STOCK",
IF(Table1[[#This Row],[stock_quantity]]&lt;=10,"LOW STOCK",
"IN STOCK"))</f>
        <v>LOW STOCK</v>
      </c>
      <c r="R353" s="1">
        <f t="shared" si="22"/>
        <v>2.7</v>
      </c>
      <c r="S353">
        <v>2.7</v>
      </c>
      <c r="T353" t="b">
        <v>0</v>
      </c>
      <c r="U353" t="str">
        <f t="shared" si="23"/>
        <v>No Return</v>
      </c>
    </row>
    <row r="354" spans="1:22" hidden="1" x14ac:dyDescent="0.3">
      <c r="A354" t="s">
        <v>407</v>
      </c>
      <c r="B354" t="s">
        <v>42</v>
      </c>
      <c r="C354" t="s">
        <v>32</v>
      </c>
      <c r="D354" t="s">
        <v>17</v>
      </c>
      <c r="E354" t="str">
        <f t="shared" si="20"/>
        <v>XL</v>
      </c>
      <c r="F354" t="s">
        <v>55</v>
      </c>
      <c r="G354" t="s">
        <v>28</v>
      </c>
      <c r="H354" s="8">
        <v>163.27000000000001</v>
      </c>
      <c r="I354" s="3">
        <f t="shared" si="21"/>
        <v>0</v>
      </c>
      <c r="J354" s="4">
        <v>0</v>
      </c>
      <c r="K354" s="11">
        <f>Table1[[#This Row],[original_price]]* (Table1[[#This Row],[Markdown percentage updated]])</f>
        <v>0</v>
      </c>
      <c r="L3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54" s="6">
        <v>163.27000000000001</v>
      </c>
      <c r="N3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54" s="7">
        <v>45770</v>
      </c>
      <c r="P354">
        <v>24</v>
      </c>
      <c r="Q354" s="16" t="str">
        <f>IF(Table1[[#This Row],[stock_quantity]]=0,"NO STOCK",
IF(Table1[[#This Row],[stock_quantity]]&lt;=10,"LOW STOCK",
"IN STOCK"))</f>
        <v>IN STOCK</v>
      </c>
      <c r="R354" s="1">
        <f t="shared" si="22"/>
        <v>2.5</v>
      </c>
      <c r="S354">
        <v>2.5</v>
      </c>
      <c r="T354" t="b">
        <v>0</v>
      </c>
      <c r="U354" t="str">
        <f t="shared" si="23"/>
        <v>No Return</v>
      </c>
    </row>
    <row r="355" spans="1:22" hidden="1" x14ac:dyDescent="0.3">
      <c r="A355" t="s">
        <v>408</v>
      </c>
      <c r="B355" t="s">
        <v>27</v>
      </c>
      <c r="C355" t="s">
        <v>22</v>
      </c>
      <c r="D355" t="s">
        <v>34</v>
      </c>
      <c r="E355" t="str">
        <f t="shared" si="20"/>
        <v>OS</v>
      </c>
      <c r="G355" t="s">
        <v>28</v>
      </c>
      <c r="H355" s="8">
        <v>44.58</v>
      </c>
      <c r="I355" s="3">
        <f t="shared" si="21"/>
        <v>0</v>
      </c>
      <c r="J355" s="4">
        <v>0</v>
      </c>
      <c r="K355" s="11">
        <f>Table1[[#This Row],[original_price]]* (Table1[[#This Row],[Markdown percentage updated]])</f>
        <v>0</v>
      </c>
      <c r="L3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55" s="6">
        <v>44.58</v>
      </c>
      <c r="N3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55" s="7">
        <v>45875</v>
      </c>
      <c r="P355">
        <v>21</v>
      </c>
      <c r="Q355" s="16" t="str">
        <f>IF(Table1[[#This Row],[stock_quantity]]=0,"NO STOCK",
IF(Table1[[#This Row],[stock_quantity]]&lt;=10,"LOW STOCK",
"IN STOCK"))</f>
        <v>IN STOCK</v>
      </c>
      <c r="R355" s="1">
        <f t="shared" si="22"/>
        <v>0</v>
      </c>
      <c r="T355" t="b">
        <v>0</v>
      </c>
      <c r="U355" t="str">
        <f t="shared" si="23"/>
        <v>No Return</v>
      </c>
    </row>
    <row r="356" spans="1:22" hidden="1" x14ac:dyDescent="0.3">
      <c r="A356" t="s">
        <v>409</v>
      </c>
      <c r="B356" t="s">
        <v>42</v>
      </c>
      <c r="C356" t="s">
        <v>75</v>
      </c>
      <c r="D356" t="s">
        <v>62</v>
      </c>
      <c r="E356" t="str">
        <f t="shared" si="20"/>
        <v>OS</v>
      </c>
      <c r="F356" t="s">
        <v>24</v>
      </c>
      <c r="G356" t="s">
        <v>19</v>
      </c>
      <c r="H356" s="8">
        <v>166.53</v>
      </c>
      <c r="I356" s="3">
        <f t="shared" si="21"/>
        <v>0</v>
      </c>
      <c r="J356" s="4">
        <v>0</v>
      </c>
      <c r="K356" s="11">
        <f>Table1[[#This Row],[original_price]]* (Table1[[#This Row],[Markdown percentage updated]])</f>
        <v>0</v>
      </c>
      <c r="L3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56" s="6">
        <v>166.53</v>
      </c>
      <c r="N3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56" s="7">
        <v>45875</v>
      </c>
      <c r="P356">
        <v>28</v>
      </c>
      <c r="Q356" s="16" t="str">
        <f>IF(Table1[[#This Row],[stock_quantity]]=0,"NO STOCK",
IF(Table1[[#This Row],[stock_quantity]]&lt;=10,"LOW STOCK",
"IN STOCK"))</f>
        <v>IN STOCK</v>
      </c>
      <c r="R356" s="1">
        <f t="shared" si="22"/>
        <v>1.7</v>
      </c>
      <c r="S356">
        <v>1.7</v>
      </c>
      <c r="T356" t="b">
        <v>0</v>
      </c>
      <c r="U356" t="str">
        <f t="shared" si="23"/>
        <v>No Return</v>
      </c>
    </row>
    <row r="357" spans="1:22" hidden="1" x14ac:dyDescent="0.3">
      <c r="A357" t="s">
        <v>410</v>
      </c>
      <c r="B357" t="s">
        <v>30</v>
      </c>
      <c r="C357" t="s">
        <v>32</v>
      </c>
      <c r="D357" t="s">
        <v>62</v>
      </c>
      <c r="E357" t="str">
        <f t="shared" si="20"/>
        <v>L</v>
      </c>
      <c r="F357" t="s">
        <v>18</v>
      </c>
      <c r="G357" t="s">
        <v>25</v>
      </c>
      <c r="H357" s="8">
        <v>144.61000000000001</v>
      </c>
      <c r="I357" s="3">
        <f t="shared" si="21"/>
        <v>0</v>
      </c>
      <c r="J357" s="4">
        <v>0</v>
      </c>
      <c r="K357" s="11">
        <f>Table1[[#This Row],[original_price]]* (Table1[[#This Row],[Markdown percentage updated]])</f>
        <v>0</v>
      </c>
      <c r="L3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57" s="6">
        <v>144.61000000000001</v>
      </c>
      <c r="N3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57" s="7">
        <v>45875</v>
      </c>
      <c r="P357">
        <v>21</v>
      </c>
      <c r="Q357" s="16" t="str">
        <f>IF(Table1[[#This Row],[stock_quantity]]=0,"NO STOCK",
IF(Table1[[#This Row],[stock_quantity]]&lt;=10,"LOW STOCK",
"IN STOCK"))</f>
        <v>IN STOCK</v>
      </c>
      <c r="R357" s="1">
        <f t="shared" si="22"/>
        <v>2.5</v>
      </c>
      <c r="S357">
        <v>2.5</v>
      </c>
      <c r="T357" t="b">
        <v>0</v>
      </c>
      <c r="U357" t="str">
        <f t="shared" si="23"/>
        <v>No Return</v>
      </c>
    </row>
    <row r="358" spans="1:22" hidden="1" x14ac:dyDescent="0.3">
      <c r="A358" t="s">
        <v>411</v>
      </c>
      <c r="B358" t="s">
        <v>27</v>
      </c>
      <c r="C358" t="s">
        <v>43</v>
      </c>
      <c r="D358" t="s">
        <v>34</v>
      </c>
      <c r="E358" t="str">
        <f t="shared" si="20"/>
        <v>L</v>
      </c>
      <c r="G358" t="s">
        <v>64</v>
      </c>
      <c r="H358" s="8">
        <v>31</v>
      </c>
      <c r="I358" s="3">
        <f t="shared" si="21"/>
        <v>0</v>
      </c>
      <c r="J358" s="4">
        <v>0</v>
      </c>
      <c r="K358" s="11">
        <f>Table1[[#This Row],[original_price]]* (Table1[[#This Row],[Markdown percentage updated]])</f>
        <v>0</v>
      </c>
      <c r="L3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58" s="6">
        <v>31</v>
      </c>
      <c r="N3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58" s="7">
        <v>45875</v>
      </c>
      <c r="P358">
        <v>29</v>
      </c>
      <c r="Q358" s="16" t="str">
        <f>IF(Table1[[#This Row],[stock_quantity]]=0,"NO STOCK",
IF(Table1[[#This Row],[stock_quantity]]&lt;=10,"LOW STOCK",
"IN STOCK"))</f>
        <v>IN STOCK</v>
      </c>
      <c r="R358" s="1">
        <f t="shared" si="22"/>
        <v>1.9</v>
      </c>
      <c r="S358">
        <v>1.9</v>
      </c>
      <c r="T358" t="b">
        <v>0</v>
      </c>
      <c r="U358" t="str">
        <f t="shared" si="23"/>
        <v>No Return</v>
      </c>
    </row>
    <row r="359" spans="1:22" hidden="1" x14ac:dyDescent="0.3">
      <c r="A359" t="s">
        <v>412</v>
      </c>
      <c r="B359" t="s">
        <v>27</v>
      </c>
      <c r="C359" t="s">
        <v>75</v>
      </c>
      <c r="D359" t="s">
        <v>23</v>
      </c>
      <c r="E359" t="str">
        <f t="shared" si="20"/>
        <v>XS</v>
      </c>
      <c r="G359" t="s">
        <v>25</v>
      </c>
      <c r="H359" s="8">
        <v>68.569999999999993</v>
      </c>
      <c r="I359" s="3">
        <f t="shared" si="21"/>
        <v>0.29399999999999998</v>
      </c>
      <c r="J359" s="4">
        <v>29.4</v>
      </c>
      <c r="K359" s="11">
        <f>Table1[[#This Row],[original_price]]* (Table1[[#This Row],[Markdown percentage updated]])</f>
        <v>20.159579999999998</v>
      </c>
      <c r="L3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359" s="6">
        <v>48.41</v>
      </c>
      <c r="N3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59" s="7">
        <v>45875</v>
      </c>
      <c r="P359">
        <v>4</v>
      </c>
      <c r="Q359" s="17" t="str">
        <f>IF(Table1[[#This Row],[stock_quantity]]=0,"NO STOCK",
IF(Table1[[#This Row],[stock_quantity]]&lt;=10,"LOW STOCK",
"IN STOCK"))</f>
        <v>LOW STOCK</v>
      </c>
      <c r="R359" s="1">
        <f t="shared" si="22"/>
        <v>3.5</v>
      </c>
      <c r="S359">
        <v>3.5</v>
      </c>
      <c r="T359" t="b">
        <v>0</v>
      </c>
      <c r="U359" t="str">
        <f t="shared" si="23"/>
        <v>No Return</v>
      </c>
    </row>
    <row r="360" spans="1:22" x14ac:dyDescent="0.3">
      <c r="A360" t="s">
        <v>413</v>
      </c>
      <c r="B360" t="s">
        <v>42</v>
      </c>
      <c r="C360" t="s">
        <v>75</v>
      </c>
      <c r="D360" t="s">
        <v>62</v>
      </c>
      <c r="E360" t="str">
        <f t="shared" si="20"/>
        <v>XXL</v>
      </c>
      <c r="F360" t="s">
        <v>24</v>
      </c>
      <c r="G360" t="s">
        <v>19</v>
      </c>
      <c r="H360" s="8">
        <v>73.040000000000006</v>
      </c>
      <c r="I360" s="3">
        <f t="shared" si="21"/>
        <v>0.56499999999999995</v>
      </c>
      <c r="J360" s="4">
        <v>56.5</v>
      </c>
      <c r="K360" s="11">
        <f>Table1[[#This Row],[original_price]]* (Table1[[#This Row],[Markdown percentage updated]])</f>
        <v>41.267600000000002</v>
      </c>
      <c r="L3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60" s="6">
        <v>31.77</v>
      </c>
      <c r="N3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60" s="7">
        <v>45875</v>
      </c>
      <c r="P360">
        <v>15</v>
      </c>
      <c r="Q360" s="16" t="str">
        <f>IF(Table1[[#This Row],[stock_quantity]]=0,"NO STOCK",
IF(Table1[[#This Row],[stock_quantity]]&lt;=10,"LOW STOCK",
"IN STOCK"))</f>
        <v>IN STOCK</v>
      </c>
      <c r="R360" s="1">
        <f t="shared" si="22"/>
        <v>3</v>
      </c>
      <c r="S360">
        <v>3</v>
      </c>
      <c r="T360" t="b">
        <v>1</v>
      </c>
      <c r="U360" s="13" t="str">
        <f t="shared" si="23"/>
        <v>Changed Mind</v>
      </c>
      <c r="V360" t="s">
        <v>115</v>
      </c>
    </row>
    <row r="361" spans="1:22" hidden="1" x14ac:dyDescent="0.3">
      <c r="A361" t="s">
        <v>414</v>
      </c>
      <c r="B361" t="s">
        <v>21</v>
      </c>
      <c r="C361" t="s">
        <v>48</v>
      </c>
      <c r="D361" t="s">
        <v>17</v>
      </c>
      <c r="E361" t="str">
        <f t="shared" si="20"/>
        <v>L</v>
      </c>
      <c r="F361" t="s">
        <v>24</v>
      </c>
      <c r="G361" t="s">
        <v>66</v>
      </c>
      <c r="H361" s="8">
        <v>95.19</v>
      </c>
      <c r="I361" s="3">
        <f t="shared" si="21"/>
        <v>0</v>
      </c>
      <c r="J361" s="4">
        <v>0</v>
      </c>
      <c r="K361" s="11">
        <f>Table1[[#This Row],[original_price]]* (Table1[[#This Row],[Markdown percentage updated]])</f>
        <v>0</v>
      </c>
      <c r="L3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61" s="6">
        <v>95.19</v>
      </c>
      <c r="N3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61" s="7">
        <v>45697</v>
      </c>
      <c r="P361">
        <v>13</v>
      </c>
      <c r="Q361" s="16" t="str">
        <f>IF(Table1[[#This Row],[stock_quantity]]=0,"NO STOCK",
IF(Table1[[#This Row],[stock_quantity]]&lt;=10,"LOW STOCK",
"IN STOCK"))</f>
        <v>IN STOCK</v>
      </c>
      <c r="R361" s="1">
        <f t="shared" si="22"/>
        <v>4.0999999999999996</v>
      </c>
      <c r="S361">
        <v>4.0999999999999996</v>
      </c>
      <c r="T361" t="b">
        <v>0</v>
      </c>
      <c r="U361" t="str">
        <f t="shared" si="23"/>
        <v>No Return</v>
      </c>
    </row>
    <row r="362" spans="1:22" hidden="1" x14ac:dyDescent="0.3">
      <c r="A362" t="s">
        <v>415</v>
      </c>
      <c r="B362" t="s">
        <v>21</v>
      </c>
      <c r="C362" t="s">
        <v>61</v>
      </c>
      <c r="D362" t="s">
        <v>23</v>
      </c>
      <c r="E362" t="str">
        <f t="shared" si="20"/>
        <v>S</v>
      </c>
      <c r="F362" t="s">
        <v>55</v>
      </c>
      <c r="G362" t="s">
        <v>66</v>
      </c>
      <c r="H362" s="8">
        <v>104.94</v>
      </c>
      <c r="I362" s="3">
        <f t="shared" si="21"/>
        <v>0</v>
      </c>
      <c r="J362" s="4">
        <v>0</v>
      </c>
      <c r="K362" s="11">
        <f>Table1[[#This Row],[original_price]]* (Table1[[#This Row],[Markdown percentage updated]])</f>
        <v>0</v>
      </c>
      <c r="L3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62" s="6">
        <v>104.94</v>
      </c>
      <c r="N3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62" s="7">
        <v>45875</v>
      </c>
      <c r="P362">
        <v>42</v>
      </c>
      <c r="Q362" s="16" t="str">
        <f>IF(Table1[[#This Row],[stock_quantity]]=0,"NO STOCK",
IF(Table1[[#This Row],[stock_quantity]]&lt;=10,"LOW STOCK",
"IN STOCK"))</f>
        <v>IN STOCK</v>
      </c>
      <c r="R362" s="1">
        <f t="shared" si="22"/>
        <v>2</v>
      </c>
      <c r="S362">
        <v>2</v>
      </c>
      <c r="T362" t="b">
        <v>0</v>
      </c>
      <c r="U362" t="str">
        <f t="shared" si="23"/>
        <v>No Return</v>
      </c>
    </row>
    <row r="363" spans="1:22" hidden="1" x14ac:dyDescent="0.3">
      <c r="A363" t="s">
        <v>416</v>
      </c>
      <c r="B363" t="s">
        <v>38</v>
      </c>
      <c r="C363" t="s">
        <v>61</v>
      </c>
      <c r="D363" t="s">
        <v>17</v>
      </c>
      <c r="E363" t="str">
        <f t="shared" si="20"/>
        <v>S</v>
      </c>
      <c r="F363" t="s">
        <v>49</v>
      </c>
      <c r="G363" t="s">
        <v>56</v>
      </c>
      <c r="H363" s="8">
        <v>97.29</v>
      </c>
      <c r="I363" s="3">
        <f t="shared" si="21"/>
        <v>0</v>
      </c>
      <c r="J363" s="4">
        <v>0</v>
      </c>
      <c r="K363" s="11">
        <f>Table1[[#This Row],[original_price]]* (Table1[[#This Row],[Markdown percentage updated]])</f>
        <v>0</v>
      </c>
      <c r="L3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63" s="6">
        <v>97.29</v>
      </c>
      <c r="N3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63" s="7">
        <v>45867</v>
      </c>
      <c r="P363">
        <v>42</v>
      </c>
      <c r="Q363" s="16" t="str">
        <f>IF(Table1[[#This Row],[stock_quantity]]=0,"NO STOCK",
IF(Table1[[#This Row],[stock_quantity]]&lt;=10,"LOW STOCK",
"IN STOCK"))</f>
        <v>IN STOCK</v>
      </c>
      <c r="R363" s="1">
        <f t="shared" si="22"/>
        <v>4.5</v>
      </c>
      <c r="S363">
        <v>4.5</v>
      </c>
      <c r="T363" t="b">
        <v>0</v>
      </c>
      <c r="U363" t="str">
        <f t="shared" si="23"/>
        <v>No Return</v>
      </c>
    </row>
    <row r="364" spans="1:22" hidden="1" x14ac:dyDescent="0.3">
      <c r="A364" t="s">
        <v>417</v>
      </c>
      <c r="B364" t="s">
        <v>30</v>
      </c>
      <c r="C364" t="s">
        <v>43</v>
      </c>
      <c r="D364" t="s">
        <v>23</v>
      </c>
      <c r="E364" t="str">
        <f t="shared" si="20"/>
        <v>OS</v>
      </c>
      <c r="F364" t="s">
        <v>24</v>
      </c>
      <c r="G364" t="s">
        <v>35</v>
      </c>
      <c r="H364" s="8">
        <v>83.05</v>
      </c>
      <c r="I364" s="3">
        <f t="shared" si="21"/>
        <v>0.39799999999999996</v>
      </c>
      <c r="J364" s="4">
        <v>39.799999999999997</v>
      </c>
      <c r="K364" s="11">
        <f>Table1[[#This Row],[original_price]]* (Table1[[#This Row],[Markdown percentage updated]])</f>
        <v>33.053899999999999</v>
      </c>
      <c r="L3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64" s="6">
        <v>50</v>
      </c>
      <c r="N3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64" s="7">
        <v>45875</v>
      </c>
      <c r="P364">
        <v>5</v>
      </c>
      <c r="Q364" s="17" t="str">
        <f>IF(Table1[[#This Row],[stock_quantity]]=0,"NO STOCK",
IF(Table1[[#This Row],[stock_quantity]]&lt;=10,"LOW STOCK",
"IN STOCK"))</f>
        <v>LOW STOCK</v>
      </c>
      <c r="R364" s="1">
        <f t="shared" si="22"/>
        <v>3.4</v>
      </c>
      <c r="S364">
        <v>3.4</v>
      </c>
      <c r="T364" t="b">
        <v>0</v>
      </c>
      <c r="U364" t="str">
        <f t="shared" si="23"/>
        <v>No Return</v>
      </c>
    </row>
    <row r="365" spans="1:22" hidden="1" x14ac:dyDescent="0.3">
      <c r="A365" t="s">
        <v>418</v>
      </c>
      <c r="B365" t="s">
        <v>15</v>
      </c>
      <c r="C365" t="s">
        <v>22</v>
      </c>
      <c r="D365" t="s">
        <v>34</v>
      </c>
      <c r="E365" t="str">
        <f t="shared" si="20"/>
        <v>L</v>
      </c>
      <c r="F365" t="s">
        <v>39</v>
      </c>
      <c r="G365" t="s">
        <v>56</v>
      </c>
      <c r="H365" s="8">
        <v>86.13</v>
      </c>
      <c r="I365" s="3">
        <f t="shared" si="21"/>
        <v>0</v>
      </c>
      <c r="J365" s="4">
        <v>0</v>
      </c>
      <c r="K365" s="11">
        <f>Table1[[#This Row],[original_price]]* (Table1[[#This Row],[Markdown percentage updated]])</f>
        <v>0</v>
      </c>
      <c r="L3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65" s="6">
        <v>86.13</v>
      </c>
      <c r="N3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65" s="7">
        <v>45875</v>
      </c>
      <c r="P365">
        <v>28</v>
      </c>
      <c r="Q365" s="16" t="str">
        <f>IF(Table1[[#This Row],[stock_quantity]]=0,"NO STOCK",
IF(Table1[[#This Row],[stock_quantity]]&lt;=10,"LOW STOCK",
"IN STOCK"))</f>
        <v>IN STOCK</v>
      </c>
      <c r="R365" s="1">
        <f t="shared" si="22"/>
        <v>2.7</v>
      </c>
      <c r="S365">
        <v>2.7</v>
      </c>
      <c r="T365" t="b">
        <v>0</v>
      </c>
      <c r="U365" t="str">
        <f t="shared" si="23"/>
        <v>No Return</v>
      </c>
    </row>
    <row r="366" spans="1:22" hidden="1" x14ac:dyDescent="0.3">
      <c r="A366" t="s">
        <v>419</v>
      </c>
      <c r="B366" t="s">
        <v>38</v>
      </c>
      <c r="C366" t="s">
        <v>32</v>
      </c>
      <c r="D366" t="s">
        <v>62</v>
      </c>
      <c r="E366" t="str">
        <f t="shared" si="20"/>
        <v>L</v>
      </c>
      <c r="F366" t="s">
        <v>39</v>
      </c>
      <c r="G366" t="s">
        <v>35</v>
      </c>
      <c r="H366" s="8">
        <v>104.13</v>
      </c>
      <c r="I366" s="3">
        <f t="shared" si="21"/>
        <v>0.28699999999999998</v>
      </c>
      <c r="J366" s="4">
        <v>28.7</v>
      </c>
      <c r="K366" s="11">
        <f>Table1[[#This Row],[original_price]]* (Table1[[#This Row],[Markdown percentage updated]])</f>
        <v>29.885309999999997</v>
      </c>
      <c r="L3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366" s="6">
        <v>74.239999999999995</v>
      </c>
      <c r="N3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66" s="7">
        <v>45875</v>
      </c>
      <c r="P366">
        <v>23</v>
      </c>
      <c r="Q366" s="16" t="str">
        <f>IF(Table1[[#This Row],[stock_quantity]]=0,"NO STOCK",
IF(Table1[[#This Row],[stock_quantity]]&lt;=10,"LOW STOCK",
"IN STOCK"))</f>
        <v>IN STOCK</v>
      </c>
      <c r="R366" s="1">
        <f t="shared" si="22"/>
        <v>3.1</v>
      </c>
      <c r="S366">
        <v>3.1</v>
      </c>
      <c r="T366" t="b">
        <v>0</v>
      </c>
      <c r="U366" t="str">
        <f t="shared" si="23"/>
        <v>No Return</v>
      </c>
    </row>
    <row r="367" spans="1:22" hidden="1" x14ac:dyDescent="0.3">
      <c r="A367" t="s">
        <v>420</v>
      </c>
      <c r="B367" t="s">
        <v>27</v>
      </c>
      <c r="C367" t="s">
        <v>22</v>
      </c>
      <c r="D367" t="s">
        <v>34</v>
      </c>
      <c r="E367" t="str">
        <f t="shared" si="20"/>
        <v>XL</v>
      </c>
      <c r="G367" t="s">
        <v>46</v>
      </c>
      <c r="H367" s="8">
        <v>41.7</v>
      </c>
      <c r="I367" s="3">
        <f t="shared" si="21"/>
        <v>0</v>
      </c>
      <c r="J367" s="4">
        <v>0</v>
      </c>
      <c r="K367" s="11">
        <f>Table1[[#This Row],[original_price]]* (Table1[[#This Row],[Markdown percentage updated]])</f>
        <v>0</v>
      </c>
      <c r="L3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67" s="6">
        <v>41.7</v>
      </c>
      <c r="N3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67" s="7">
        <v>45875</v>
      </c>
      <c r="P367">
        <v>18</v>
      </c>
      <c r="Q367" s="16" t="str">
        <f>IF(Table1[[#This Row],[stock_quantity]]=0,"NO STOCK",
IF(Table1[[#This Row],[stock_quantity]]&lt;=10,"LOW STOCK",
"IN STOCK"))</f>
        <v>IN STOCK</v>
      </c>
      <c r="R367" s="1">
        <f t="shared" si="22"/>
        <v>3.2</v>
      </c>
      <c r="S367">
        <v>3.2</v>
      </c>
      <c r="T367" t="b">
        <v>0</v>
      </c>
      <c r="U367" t="str">
        <f t="shared" si="23"/>
        <v>No Return</v>
      </c>
    </row>
    <row r="368" spans="1:22" hidden="1" x14ac:dyDescent="0.3">
      <c r="A368" t="s">
        <v>421</v>
      </c>
      <c r="B368" t="s">
        <v>15</v>
      </c>
      <c r="C368" t="s">
        <v>32</v>
      </c>
      <c r="D368" t="s">
        <v>17</v>
      </c>
      <c r="E368" t="str">
        <f t="shared" si="20"/>
        <v>OS</v>
      </c>
      <c r="F368" t="s">
        <v>24</v>
      </c>
      <c r="G368" t="s">
        <v>35</v>
      </c>
      <c r="H368" s="8">
        <v>80.11</v>
      </c>
      <c r="I368" s="3">
        <f t="shared" si="21"/>
        <v>0</v>
      </c>
      <c r="J368" s="4">
        <v>0</v>
      </c>
      <c r="K368" s="11">
        <f>Table1[[#This Row],[original_price]]* (Table1[[#This Row],[Markdown percentage updated]])</f>
        <v>0</v>
      </c>
      <c r="L3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68" s="6">
        <v>80.11</v>
      </c>
      <c r="N3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68" s="7">
        <v>45763</v>
      </c>
      <c r="P368">
        <v>34</v>
      </c>
      <c r="Q368" s="16" t="str">
        <f>IF(Table1[[#This Row],[stock_quantity]]=0,"NO STOCK",
IF(Table1[[#This Row],[stock_quantity]]&lt;=10,"LOW STOCK",
"IN STOCK"))</f>
        <v>IN STOCK</v>
      </c>
      <c r="R368" s="1">
        <f t="shared" si="22"/>
        <v>1.8</v>
      </c>
      <c r="S368">
        <v>1.8</v>
      </c>
      <c r="T368" t="b">
        <v>0</v>
      </c>
      <c r="U368" t="str">
        <f t="shared" si="23"/>
        <v>No Return</v>
      </c>
    </row>
    <row r="369" spans="1:22" hidden="1" x14ac:dyDescent="0.3">
      <c r="A369" t="s">
        <v>422</v>
      </c>
      <c r="B369" t="s">
        <v>21</v>
      </c>
      <c r="C369" t="s">
        <v>53</v>
      </c>
      <c r="D369" t="s">
        <v>34</v>
      </c>
      <c r="E369" t="str">
        <f t="shared" si="20"/>
        <v>XXL</v>
      </c>
      <c r="F369" t="s">
        <v>24</v>
      </c>
      <c r="G369" t="s">
        <v>35</v>
      </c>
      <c r="H369" s="8">
        <v>97.84</v>
      </c>
      <c r="I369" s="3">
        <f t="shared" si="21"/>
        <v>0</v>
      </c>
      <c r="J369" s="4">
        <v>0</v>
      </c>
      <c r="K369" s="11">
        <f>Table1[[#This Row],[original_price]]* (Table1[[#This Row],[Markdown percentage updated]])</f>
        <v>0</v>
      </c>
      <c r="L3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69" s="6">
        <v>97.84</v>
      </c>
      <c r="N3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69" s="7">
        <v>45875</v>
      </c>
      <c r="P369">
        <v>16</v>
      </c>
      <c r="Q369" s="16" t="str">
        <f>IF(Table1[[#This Row],[stock_quantity]]=0,"NO STOCK",
IF(Table1[[#This Row],[stock_quantity]]&lt;=10,"LOW STOCK",
"IN STOCK"))</f>
        <v>IN STOCK</v>
      </c>
      <c r="R369" s="1">
        <f t="shared" si="22"/>
        <v>0</v>
      </c>
      <c r="T369" t="b">
        <v>0</v>
      </c>
      <c r="U369" t="str">
        <f t="shared" si="23"/>
        <v>No Return</v>
      </c>
    </row>
    <row r="370" spans="1:22" hidden="1" x14ac:dyDescent="0.3">
      <c r="A370" t="s">
        <v>423</v>
      </c>
      <c r="B370" t="s">
        <v>38</v>
      </c>
      <c r="C370" t="s">
        <v>61</v>
      </c>
      <c r="D370" t="s">
        <v>34</v>
      </c>
      <c r="E370" t="str">
        <f t="shared" si="20"/>
        <v>XL</v>
      </c>
      <c r="F370" t="s">
        <v>18</v>
      </c>
      <c r="G370" t="s">
        <v>56</v>
      </c>
      <c r="H370" s="8">
        <v>77.37</v>
      </c>
      <c r="I370" s="3">
        <f t="shared" si="21"/>
        <v>0.35200000000000004</v>
      </c>
      <c r="J370" s="4">
        <v>35.200000000000003</v>
      </c>
      <c r="K370" s="11">
        <f>Table1[[#This Row],[original_price]]* (Table1[[#This Row],[Markdown percentage updated]])</f>
        <v>27.234240000000003</v>
      </c>
      <c r="L3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70" s="6">
        <v>50.14</v>
      </c>
      <c r="N3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70" s="7">
        <v>45875</v>
      </c>
      <c r="P370">
        <v>14</v>
      </c>
      <c r="Q370" s="16" t="str">
        <f>IF(Table1[[#This Row],[stock_quantity]]=0,"NO STOCK",
IF(Table1[[#This Row],[stock_quantity]]&lt;=10,"LOW STOCK",
"IN STOCK"))</f>
        <v>IN STOCK</v>
      </c>
      <c r="R370" s="1">
        <f t="shared" si="22"/>
        <v>2.2999999999999998</v>
      </c>
      <c r="S370">
        <v>2.2999999999999998</v>
      </c>
      <c r="T370" t="b">
        <v>0</v>
      </c>
      <c r="U370" t="str">
        <f t="shared" si="23"/>
        <v>No Return</v>
      </c>
    </row>
    <row r="371" spans="1:22" x14ac:dyDescent="0.3">
      <c r="A371" t="s">
        <v>424</v>
      </c>
      <c r="B371" t="s">
        <v>27</v>
      </c>
      <c r="C371" t="s">
        <v>48</v>
      </c>
      <c r="D371" t="s">
        <v>34</v>
      </c>
      <c r="E371" t="str">
        <f t="shared" si="20"/>
        <v>XXL</v>
      </c>
      <c r="G371" t="s">
        <v>19</v>
      </c>
      <c r="H371" s="8">
        <v>36.35</v>
      </c>
      <c r="I371" s="3">
        <f t="shared" si="21"/>
        <v>0.376</v>
      </c>
      <c r="J371" s="4">
        <v>37.6</v>
      </c>
      <c r="K371" s="11">
        <f>Table1[[#This Row],[original_price]]* (Table1[[#This Row],[Markdown percentage updated]])</f>
        <v>13.6676</v>
      </c>
      <c r="L3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71" s="6">
        <v>22.68</v>
      </c>
      <c r="N3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371" s="7">
        <v>45875</v>
      </c>
      <c r="P371">
        <v>49</v>
      </c>
      <c r="Q371" s="16" t="str">
        <f>IF(Table1[[#This Row],[stock_quantity]]=0,"NO STOCK",
IF(Table1[[#This Row],[stock_quantity]]&lt;=10,"LOW STOCK",
"IN STOCK"))</f>
        <v>IN STOCK</v>
      </c>
      <c r="R371" s="1">
        <f t="shared" si="22"/>
        <v>4</v>
      </c>
      <c r="S371">
        <v>4</v>
      </c>
      <c r="T371" t="b">
        <v>1</v>
      </c>
      <c r="U371" s="13" t="str">
        <f t="shared" si="23"/>
        <v>Changed Mind</v>
      </c>
      <c r="V371" t="s">
        <v>115</v>
      </c>
    </row>
    <row r="372" spans="1:22" hidden="1" x14ac:dyDescent="0.3">
      <c r="A372" t="s">
        <v>425</v>
      </c>
      <c r="B372" t="s">
        <v>15</v>
      </c>
      <c r="C372" t="s">
        <v>32</v>
      </c>
      <c r="D372" t="s">
        <v>23</v>
      </c>
      <c r="E372" t="str">
        <f t="shared" si="20"/>
        <v>S</v>
      </c>
      <c r="F372" t="s">
        <v>49</v>
      </c>
      <c r="G372" t="s">
        <v>46</v>
      </c>
      <c r="H372" s="8">
        <v>181.04</v>
      </c>
      <c r="I372" s="3">
        <f t="shared" si="21"/>
        <v>0.20199999999999999</v>
      </c>
      <c r="J372" s="4">
        <v>20.2</v>
      </c>
      <c r="K372" s="11">
        <f>Table1[[#This Row],[original_price]]* (Table1[[#This Row],[Markdown percentage updated]])</f>
        <v>36.570079999999997</v>
      </c>
      <c r="L3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372" s="6">
        <v>144.47</v>
      </c>
      <c r="N3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72" s="7">
        <v>45875</v>
      </c>
      <c r="P372">
        <v>17</v>
      </c>
      <c r="Q372" s="16" t="str">
        <f>IF(Table1[[#This Row],[stock_quantity]]=0,"NO STOCK",
IF(Table1[[#This Row],[stock_quantity]]&lt;=10,"LOW STOCK",
"IN STOCK"))</f>
        <v>IN STOCK</v>
      </c>
      <c r="R372" s="1">
        <f t="shared" si="22"/>
        <v>0</v>
      </c>
      <c r="T372" t="b">
        <v>1</v>
      </c>
      <c r="U372" s="13" t="str">
        <f t="shared" si="23"/>
        <v>Size Issue</v>
      </c>
      <c r="V372" t="s">
        <v>73</v>
      </c>
    </row>
    <row r="373" spans="1:22" hidden="1" x14ac:dyDescent="0.3">
      <c r="A373" t="s">
        <v>426</v>
      </c>
      <c r="B373" t="s">
        <v>15</v>
      </c>
      <c r="C373" t="s">
        <v>16</v>
      </c>
      <c r="D373" t="s">
        <v>17</v>
      </c>
      <c r="E373" t="str">
        <f t="shared" si="20"/>
        <v>XL</v>
      </c>
      <c r="F373" t="s">
        <v>18</v>
      </c>
      <c r="G373" t="s">
        <v>28</v>
      </c>
      <c r="H373" s="8">
        <v>158.37</v>
      </c>
      <c r="I373" s="3">
        <f t="shared" si="21"/>
        <v>0</v>
      </c>
      <c r="J373" s="4">
        <v>0</v>
      </c>
      <c r="K373" s="11">
        <f>Table1[[#This Row],[original_price]]* (Table1[[#This Row],[Markdown percentage updated]])</f>
        <v>0</v>
      </c>
      <c r="L3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73" s="6">
        <v>158.37</v>
      </c>
      <c r="N3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73" s="7">
        <v>45703</v>
      </c>
      <c r="P373">
        <v>33</v>
      </c>
      <c r="Q373" s="16" t="str">
        <f>IF(Table1[[#This Row],[stock_quantity]]=0,"NO STOCK",
IF(Table1[[#This Row],[stock_quantity]]&lt;=10,"LOW STOCK",
"IN STOCK"))</f>
        <v>IN STOCK</v>
      </c>
      <c r="R373" s="1">
        <f t="shared" si="22"/>
        <v>0</v>
      </c>
      <c r="T373" t="b">
        <v>0</v>
      </c>
      <c r="U373" t="str">
        <f t="shared" si="23"/>
        <v>No Return</v>
      </c>
    </row>
    <row r="374" spans="1:22" hidden="1" x14ac:dyDescent="0.3">
      <c r="A374" t="s">
        <v>427</v>
      </c>
      <c r="B374" t="s">
        <v>30</v>
      </c>
      <c r="C374" t="s">
        <v>75</v>
      </c>
      <c r="D374" t="s">
        <v>62</v>
      </c>
      <c r="E374" t="str">
        <f t="shared" si="20"/>
        <v>XL</v>
      </c>
      <c r="F374" t="s">
        <v>49</v>
      </c>
      <c r="G374" t="s">
        <v>66</v>
      </c>
      <c r="H374" s="8">
        <v>91.98</v>
      </c>
      <c r="I374" s="3">
        <f t="shared" si="21"/>
        <v>0</v>
      </c>
      <c r="J374" s="4">
        <v>0</v>
      </c>
      <c r="K374" s="11">
        <f>Table1[[#This Row],[original_price]]* (Table1[[#This Row],[Markdown percentage updated]])</f>
        <v>0</v>
      </c>
      <c r="L3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74" s="6">
        <v>91.98</v>
      </c>
      <c r="N3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74" s="7">
        <v>45875</v>
      </c>
      <c r="P374">
        <v>48</v>
      </c>
      <c r="Q374" s="16" t="str">
        <f>IF(Table1[[#This Row],[stock_quantity]]=0,"NO STOCK",
IF(Table1[[#This Row],[stock_quantity]]&lt;=10,"LOW STOCK",
"IN STOCK"))</f>
        <v>IN STOCK</v>
      </c>
      <c r="R374" s="1">
        <f t="shared" si="22"/>
        <v>3.9</v>
      </c>
      <c r="S374">
        <v>3.9</v>
      </c>
      <c r="T374" t="b">
        <v>0</v>
      </c>
      <c r="U374" t="str">
        <f t="shared" si="23"/>
        <v>No Return</v>
      </c>
    </row>
    <row r="375" spans="1:22" hidden="1" x14ac:dyDescent="0.3">
      <c r="A375" t="s">
        <v>428</v>
      </c>
      <c r="B375" t="s">
        <v>30</v>
      </c>
      <c r="C375" t="s">
        <v>16</v>
      </c>
      <c r="D375" t="s">
        <v>23</v>
      </c>
      <c r="E375" t="str">
        <f t="shared" si="20"/>
        <v>XS</v>
      </c>
      <c r="F375" t="s">
        <v>39</v>
      </c>
      <c r="G375" t="s">
        <v>70</v>
      </c>
      <c r="H375" s="8">
        <v>140.29</v>
      </c>
      <c r="I375" s="3">
        <f t="shared" si="21"/>
        <v>0.55299999999999994</v>
      </c>
      <c r="J375" s="4">
        <v>55.3</v>
      </c>
      <c r="K375" s="11">
        <f>Table1[[#This Row],[original_price]]* (Table1[[#This Row],[Markdown percentage updated]])</f>
        <v>77.580369999999988</v>
      </c>
      <c r="L3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75" s="6">
        <v>62.71</v>
      </c>
      <c r="N3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75" s="7">
        <v>45875</v>
      </c>
      <c r="P375">
        <v>5</v>
      </c>
      <c r="Q375" s="17" t="str">
        <f>IF(Table1[[#This Row],[stock_quantity]]=0,"NO STOCK",
IF(Table1[[#This Row],[stock_quantity]]&lt;=10,"LOW STOCK",
"IN STOCK"))</f>
        <v>LOW STOCK</v>
      </c>
      <c r="R375" s="1">
        <f t="shared" si="22"/>
        <v>4.4000000000000004</v>
      </c>
      <c r="S375">
        <v>4.4000000000000004</v>
      </c>
      <c r="T375" t="b">
        <v>0</v>
      </c>
      <c r="U375" t="str">
        <f t="shared" si="23"/>
        <v>No Return</v>
      </c>
    </row>
    <row r="376" spans="1:22" hidden="1" x14ac:dyDescent="0.3">
      <c r="A376" t="s">
        <v>429</v>
      </c>
      <c r="B376" t="s">
        <v>21</v>
      </c>
      <c r="C376" t="s">
        <v>22</v>
      </c>
      <c r="D376" t="s">
        <v>17</v>
      </c>
      <c r="E376" t="str">
        <f t="shared" si="20"/>
        <v>OS</v>
      </c>
      <c r="F376" t="s">
        <v>18</v>
      </c>
      <c r="G376" t="s">
        <v>19</v>
      </c>
      <c r="H376" s="8">
        <v>26.01</v>
      </c>
      <c r="I376" s="3">
        <f t="shared" si="21"/>
        <v>0</v>
      </c>
      <c r="J376" s="4">
        <v>0</v>
      </c>
      <c r="K376" s="11">
        <f>Table1[[#This Row],[original_price]]* (Table1[[#This Row],[Markdown percentage updated]])</f>
        <v>0</v>
      </c>
      <c r="L3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76" s="6">
        <v>26.01</v>
      </c>
      <c r="N3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76" s="7">
        <v>45711</v>
      </c>
      <c r="P376">
        <v>9</v>
      </c>
      <c r="Q376" s="17" t="str">
        <f>IF(Table1[[#This Row],[stock_quantity]]=0,"NO STOCK",
IF(Table1[[#This Row],[stock_quantity]]&lt;=10,"LOW STOCK",
"IN STOCK"))</f>
        <v>LOW STOCK</v>
      </c>
      <c r="R376" s="1">
        <f t="shared" si="22"/>
        <v>4</v>
      </c>
      <c r="S376">
        <v>4</v>
      </c>
      <c r="T376" t="b">
        <v>0</v>
      </c>
      <c r="U376" t="str">
        <f t="shared" si="23"/>
        <v>No Return</v>
      </c>
    </row>
    <row r="377" spans="1:22" hidden="1" x14ac:dyDescent="0.3">
      <c r="A377" t="s">
        <v>430</v>
      </c>
      <c r="B377" t="s">
        <v>21</v>
      </c>
      <c r="C377" t="s">
        <v>75</v>
      </c>
      <c r="D377" t="s">
        <v>23</v>
      </c>
      <c r="E377" t="str">
        <f t="shared" si="20"/>
        <v>XS</v>
      </c>
      <c r="F377" t="s">
        <v>18</v>
      </c>
      <c r="G377" t="s">
        <v>44</v>
      </c>
      <c r="H377" s="8">
        <v>51.06</v>
      </c>
      <c r="I377" s="3">
        <f t="shared" si="21"/>
        <v>9.5000000000000001E-2</v>
      </c>
      <c r="J377" s="4">
        <v>9.5</v>
      </c>
      <c r="K377" s="11">
        <f>Table1[[#This Row],[original_price]]* (Table1[[#This Row],[Markdown percentage updated]])</f>
        <v>4.8507000000000007</v>
      </c>
      <c r="L3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77" s="6">
        <v>46.21</v>
      </c>
      <c r="N3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77" s="7">
        <v>45875</v>
      </c>
      <c r="P377">
        <v>34</v>
      </c>
      <c r="Q377" s="16" t="str">
        <f>IF(Table1[[#This Row],[stock_quantity]]=0,"NO STOCK",
IF(Table1[[#This Row],[stock_quantity]]&lt;=10,"LOW STOCK",
"IN STOCK"))</f>
        <v>IN STOCK</v>
      </c>
      <c r="R377" s="1">
        <f t="shared" si="22"/>
        <v>1.1000000000000001</v>
      </c>
      <c r="S377">
        <v>1.1000000000000001</v>
      </c>
      <c r="T377" t="b">
        <v>0</v>
      </c>
      <c r="U377" t="str">
        <f t="shared" si="23"/>
        <v>No Return</v>
      </c>
    </row>
    <row r="378" spans="1:22" hidden="1" x14ac:dyDescent="0.3">
      <c r="A378" t="s">
        <v>431</v>
      </c>
      <c r="B378" t="s">
        <v>15</v>
      </c>
      <c r="C378" t="s">
        <v>61</v>
      </c>
      <c r="D378" t="s">
        <v>34</v>
      </c>
      <c r="E378" t="str">
        <f t="shared" si="20"/>
        <v>OS</v>
      </c>
      <c r="F378" t="s">
        <v>55</v>
      </c>
      <c r="G378" t="s">
        <v>19</v>
      </c>
      <c r="H378" s="8">
        <v>132.91999999999999</v>
      </c>
      <c r="I378" s="3">
        <f t="shared" si="21"/>
        <v>0</v>
      </c>
      <c r="J378" s="4">
        <v>0</v>
      </c>
      <c r="K378" s="11">
        <f>Table1[[#This Row],[original_price]]* (Table1[[#This Row],[Markdown percentage updated]])</f>
        <v>0</v>
      </c>
      <c r="L3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78" s="6">
        <v>132.91999999999999</v>
      </c>
      <c r="N3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78" s="7">
        <v>45875</v>
      </c>
      <c r="P378">
        <v>36</v>
      </c>
      <c r="Q378" s="16" t="str">
        <f>IF(Table1[[#This Row],[stock_quantity]]=0,"NO STOCK",
IF(Table1[[#This Row],[stock_quantity]]&lt;=10,"LOW STOCK",
"IN STOCK"))</f>
        <v>IN STOCK</v>
      </c>
      <c r="R378" s="1">
        <f t="shared" si="22"/>
        <v>1.2</v>
      </c>
      <c r="S378">
        <v>1.2</v>
      </c>
      <c r="T378" t="b">
        <v>0</v>
      </c>
      <c r="U378" t="str">
        <f t="shared" si="23"/>
        <v>No Return</v>
      </c>
    </row>
    <row r="379" spans="1:22" hidden="1" x14ac:dyDescent="0.3">
      <c r="A379" t="s">
        <v>432</v>
      </c>
      <c r="B379" t="s">
        <v>27</v>
      </c>
      <c r="C379" t="s">
        <v>61</v>
      </c>
      <c r="D379" t="s">
        <v>34</v>
      </c>
      <c r="E379" t="str">
        <f t="shared" si="20"/>
        <v>OS</v>
      </c>
      <c r="G379" t="s">
        <v>66</v>
      </c>
      <c r="H379" s="8">
        <v>16.57</v>
      </c>
      <c r="I379" s="3">
        <f t="shared" si="21"/>
        <v>0</v>
      </c>
      <c r="J379" s="4">
        <v>0</v>
      </c>
      <c r="K379" s="11">
        <f>Table1[[#This Row],[original_price]]* (Table1[[#This Row],[Markdown percentage updated]])</f>
        <v>0</v>
      </c>
      <c r="L3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79" s="6">
        <v>16.57</v>
      </c>
      <c r="N3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79" s="7">
        <v>45875</v>
      </c>
      <c r="P379">
        <v>17</v>
      </c>
      <c r="Q379" s="16" t="str">
        <f>IF(Table1[[#This Row],[stock_quantity]]=0,"NO STOCK",
IF(Table1[[#This Row],[stock_quantity]]&lt;=10,"LOW STOCK",
"IN STOCK"))</f>
        <v>IN STOCK</v>
      </c>
      <c r="R379" s="1">
        <f t="shared" si="22"/>
        <v>0</v>
      </c>
      <c r="T379" t="b">
        <v>0</v>
      </c>
      <c r="U379" t="str">
        <f t="shared" si="23"/>
        <v>No Return</v>
      </c>
    </row>
    <row r="380" spans="1:22" hidden="1" x14ac:dyDescent="0.3">
      <c r="A380" t="s">
        <v>433</v>
      </c>
      <c r="B380" t="s">
        <v>38</v>
      </c>
      <c r="C380" t="s">
        <v>75</v>
      </c>
      <c r="D380" t="s">
        <v>23</v>
      </c>
      <c r="E380" t="str">
        <f t="shared" si="20"/>
        <v>XS</v>
      </c>
      <c r="F380" t="s">
        <v>55</v>
      </c>
      <c r="G380" t="s">
        <v>28</v>
      </c>
      <c r="H380" s="8">
        <v>78.599999999999994</v>
      </c>
      <c r="I380" s="3">
        <f t="shared" si="21"/>
        <v>0.45799999999999996</v>
      </c>
      <c r="J380" s="4">
        <v>45.8</v>
      </c>
      <c r="K380" s="11">
        <f>Table1[[#This Row],[original_price]]* (Table1[[#This Row],[Markdown percentage updated]])</f>
        <v>35.998799999999996</v>
      </c>
      <c r="L3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80" s="6">
        <v>42.6</v>
      </c>
      <c r="N3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80" s="7">
        <v>45875</v>
      </c>
      <c r="P380">
        <v>6</v>
      </c>
      <c r="Q380" s="17" t="str">
        <f>IF(Table1[[#This Row],[stock_quantity]]=0,"NO STOCK",
IF(Table1[[#This Row],[stock_quantity]]&lt;=10,"LOW STOCK",
"IN STOCK"))</f>
        <v>LOW STOCK</v>
      </c>
      <c r="R380" s="1">
        <f t="shared" si="22"/>
        <v>2.7</v>
      </c>
      <c r="S380">
        <v>2.7</v>
      </c>
      <c r="T380" t="b">
        <v>0</v>
      </c>
      <c r="U380" t="str">
        <f t="shared" si="23"/>
        <v>No Return</v>
      </c>
    </row>
    <row r="381" spans="1:22" hidden="1" x14ac:dyDescent="0.3">
      <c r="A381" t="s">
        <v>434</v>
      </c>
      <c r="B381" t="s">
        <v>27</v>
      </c>
      <c r="C381" t="s">
        <v>43</v>
      </c>
      <c r="D381" t="s">
        <v>62</v>
      </c>
      <c r="E381" t="str">
        <f t="shared" si="20"/>
        <v>M</v>
      </c>
      <c r="G381" t="s">
        <v>70</v>
      </c>
      <c r="H381" s="8">
        <v>69.38</v>
      </c>
      <c r="I381" s="3">
        <f t="shared" si="21"/>
        <v>0</v>
      </c>
      <c r="J381" s="4">
        <v>0</v>
      </c>
      <c r="K381" s="11">
        <f>Table1[[#This Row],[original_price]]* (Table1[[#This Row],[Markdown percentage updated]])</f>
        <v>0</v>
      </c>
      <c r="L3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81" s="6">
        <v>69.38</v>
      </c>
      <c r="N3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81" s="7">
        <v>45875</v>
      </c>
      <c r="P381">
        <v>43</v>
      </c>
      <c r="Q381" s="16" t="str">
        <f>IF(Table1[[#This Row],[stock_quantity]]=0,"NO STOCK",
IF(Table1[[#This Row],[stock_quantity]]&lt;=10,"LOW STOCK",
"IN STOCK"))</f>
        <v>IN STOCK</v>
      </c>
      <c r="R381" s="1">
        <f t="shared" si="22"/>
        <v>2.4</v>
      </c>
      <c r="S381">
        <v>2.4</v>
      </c>
      <c r="T381" t="b">
        <v>0</v>
      </c>
      <c r="U381" t="str">
        <f t="shared" si="23"/>
        <v>No Return</v>
      </c>
    </row>
    <row r="382" spans="1:22" hidden="1" x14ac:dyDescent="0.3">
      <c r="A382" t="s">
        <v>435</v>
      </c>
      <c r="B382" t="s">
        <v>27</v>
      </c>
      <c r="C382" t="s">
        <v>43</v>
      </c>
      <c r="D382" t="s">
        <v>34</v>
      </c>
      <c r="E382" t="str">
        <f t="shared" si="20"/>
        <v>OS</v>
      </c>
      <c r="G382" t="s">
        <v>25</v>
      </c>
      <c r="H382" s="8">
        <v>23.58</v>
      </c>
      <c r="I382" s="3">
        <f t="shared" si="21"/>
        <v>0</v>
      </c>
      <c r="J382" s="4">
        <v>0</v>
      </c>
      <c r="K382" s="11">
        <f>Table1[[#This Row],[original_price]]* (Table1[[#This Row],[Markdown percentage updated]])</f>
        <v>0</v>
      </c>
      <c r="L3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82" s="6">
        <v>23.58</v>
      </c>
      <c r="N3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82" s="7">
        <v>45875</v>
      </c>
      <c r="P382">
        <v>16</v>
      </c>
      <c r="Q382" s="16" t="str">
        <f>IF(Table1[[#This Row],[stock_quantity]]=0,"NO STOCK",
IF(Table1[[#This Row],[stock_quantity]]&lt;=10,"LOW STOCK",
"IN STOCK"))</f>
        <v>IN STOCK</v>
      </c>
      <c r="R382" s="1">
        <f t="shared" si="22"/>
        <v>1.3</v>
      </c>
      <c r="S382">
        <v>1.3</v>
      </c>
      <c r="T382" t="b">
        <v>0</v>
      </c>
      <c r="U382" t="str">
        <f t="shared" si="23"/>
        <v>No Return</v>
      </c>
    </row>
    <row r="383" spans="1:22" hidden="1" x14ac:dyDescent="0.3">
      <c r="A383" t="s">
        <v>436</v>
      </c>
      <c r="B383" t="s">
        <v>21</v>
      </c>
      <c r="C383" t="s">
        <v>48</v>
      </c>
      <c r="D383" t="s">
        <v>17</v>
      </c>
      <c r="E383" t="str">
        <f t="shared" si="20"/>
        <v>M</v>
      </c>
      <c r="F383" t="s">
        <v>55</v>
      </c>
      <c r="G383" t="s">
        <v>64</v>
      </c>
      <c r="H383" s="8">
        <v>119.91</v>
      </c>
      <c r="I383" s="3">
        <f t="shared" si="21"/>
        <v>0.27800000000000002</v>
      </c>
      <c r="J383" s="4">
        <v>27.8</v>
      </c>
      <c r="K383" s="11">
        <f>Table1[[#This Row],[original_price]]* (Table1[[#This Row],[Markdown percentage updated]])</f>
        <v>33.334980000000002</v>
      </c>
      <c r="L3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383" s="6">
        <v>86.58</v>
      </c>
      <c r="N3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83" s="7">
        <v>45563</v>
      </c>
      <c r="P383">
        <v>12</v>
      </c>
      <c r="Q383" s="16" t="str">
        <f>IF(Table1[[#This Row],[stock_quantity]]=0,"NO STOCK",
IF(Table1[[#This Row],[stock_quantity]]&lt;=10,"LOW STOCK",
"IN STOCK"))</f>
        <v>IN STOCK</v>
      </c>
      <c r="R383" s="1">
        <f t="shared" si="22"/>
        <v>1.7</v>
      </c>
      <c r="S383">
        <v>1.7</v>
      </c>
      <c r="T383" t="b">
        <v>0</v>
      </c>
      <c r="U383" t="str">
        <f t="shared" si="23"/>
        <v>No Return</v>
      </c>
    </row>
    <row r="384" spans="1:22" hidden="1" x14ac:dyDescent="0.3">
      <c r="A384" t="s">
        <v>437</v>
      </c>
      <c r="B384" t="s">
        <v>15</v>
      </c>
      <c r="C384" t="s">
        <v>48</v>
      </c>
      <c r="D384" t="s">
        <v>62</v>
      </c>
      <c r="E384" t="str">
        <f t="shared" si="20"/>
        <v>XL</v>
      </c>
      <c r="F384" t="s">
        <v>58</v>
      </c>
      <c r="G384" t="s">
        <v>28</v>
      </c>
      <c r="H384" s="8">
        <v>111.05</v>
      </c>
      <c r="I384" s="3">
        <f t="shared" si="21"/>
        <v>1.3999999999999999E-2</v>
      </c>
      <c r="J384" s="4">
        <v>1.4</v>
      </c>
      <c r="K384" s="11">
        <f>Table1[[#This Row],[original_price]]* (Table1[[#This Row],[Markdown percentage updated]])</f>
        <v>1.5546999999999997</v>
      </c>
      <c r="L3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384" s="6">
        <v>109.5</v>
      </c>
      <c r="N3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384" s="7">
        <v>45875</v>
      </c>
      <c r="P384">
        <v>7</v>
      </c>
      <c r="Q384" s="17" t="str">
        <f>IF(Table1[[#This Row],[stock_quantity]]=0,"NO STOCK",
IF(Table1[[#This Row],[stock_quantity]]&lt;=10,"LOW STOCK",
"IN STOCK"))</f>
        <v>LOW STOCK</v>
      </c>
      <c r="R384" s="1">
        <f t="shared" si="22"/>
        <v>2.8</v>
      </c>
      <c r="S384">
        <v>2.8</v>
      </c>
      <c r="T384" t="b">
        <v>0</v>
      </c>
      <c r="U384" t="str">
        <f t="shared" si="23"/>
        <v>No Return</v>
      </c>
    </row>
    <row r="385" spans="1:22" hidden="1" x14ac:dyDescent="0.3">
      <c r="A385" t="s">
        <v>438</v>
      </c>
      <c r="B385" t="s">
        <v>27</v>
      </c>
      <c r="C385" t="s">
        <v>32</v>
      </c>
      <c r="D385" t="s">
        <v>62</v>
      </c>
      <c r="E385" t="str">
        <f t="shared" si="20"/>
        <v>L</v>
      </c>
      <c r="G385" t="s">
        <v>40</v>
      </c>
      <c r="H385" s="8">
        <v>60.22</v>
      </c>
      <c r="I385" s="3">
        <f t="shared" si="21"/>
        <v>0</v>
      </c>
      <c r="J385" s="4">
        <v>0</v>
      </c>
      <c r="K385" s="11">
        <f>Table1[[#This Row],[original_price]]* (Table1[[#This Row],[Markdown percentage updated]])</f>
        <v>0</v>
      </c>
      <c r="L3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85" s="6">
        <v>60.22</v>
      </c>
      <c r="N3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85" s="7">
        <v>45875</v>
      </c>
      <c r="P385">
        <v>6</v>
      </c>
      <c r="Q385" s="17" t="str">
        <f>IF(Table1[[#This Row],[stock_quantity]]=0,"NO STOCK",
IF(Table1[[#This Row],[stock_quantity]]&lt;=10,"LOW STOCK",
"IN STOCK"))</f>
        <v>LOW STOCK</v>
      </c>
      <c r="R385" s="1">
        <f t="shared" si="22"/>
        <v>2.1</v>
      </c>
      <c r="S385">
        <v>2.1</v>
      </c>
      <c r="T385" t="b">
        <v>0</v>
      </c>
      <c r="U385" t="str">
        <f t="shared" si="23"/>
        <v>No Return</v>
      </c>
    </row>
    <row r="386" spans="1:22" hidden="1" x14ac:dyDescent="0.3">
      <c r="A386" t="s">
        <v>439</v>
      </c>
      <c r="B386" t="s">
        <v>15</v>
      </c>
      <c r="C386" t="s">
        <v>61</v>
      </c>
      <c r="D386" t="s">
        <v>23</v>
      </c>
      <c r="E386" t="str">
        <f t="shared" ref="E386:E449" si="24">IF(ISBLANK(F389),"OS",F389)</f>
        <v>OS</v>
      </c>
      <c r="F386" t="s">
        <v>58</v>
      </c>
      <c r="G386" t="s">
        <v>64</v>
      </c>
      <c r="H386" s="8">
        <v>133.52000000000001</v>
      </c>
      <c r="I386" s="3">
        <f t="shared" ref="I386:I449" si="25">J386/100</f>
        <v>0</v>
      </c>
      <c r="J386" s="4">
        <v>0</v>
      </c>
      <c r="K386" s="11">
        <f>Table1[[#This Row],[original_price]]* (Table1[[#This Row],[Markdown percentage updated]])</f>
        <v>0</v>
      </c>
      <c r="L3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86" s="6">
        <v>133.52000000000001</v>
      </c>
      <c r="N3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86" s="7">
        <v>45875</v>
      </c>
      <c r="P386">
        <v>27</v>
      </c>
      <c r="Q386" s="16" t="str">
        <f>IF(Table1[[#This Row],[stock_quantity]]=0,"NO STOCK",
IF(Table1[[#This Row],[stock_quantity]]&lt;=10,"LOW STOCK",
"IN STOCK"))</f>
        <v>IN STOCK</v>
      </c>
      <c r="R386" s="1">
        <f t="shared" si="22"/>
        <v>3.6</v>
      </c>
      <c r="S386">
        <v>3.6</v>
      </c>
      <c r="T386" t="b">
        <v>0</v>
      </c>
      <c r="U386" t="str">
        <f t="shared" si="23"/>
        <v>No Return</v>
      </c>
    </row>
    <row r="387" spans="1:22" hidden="1" x14ac:dyDescent="0.3">
      <c r="A387" t="s">
        <v>440</v>
      </c>
      <c r="B387" t="s">
        <v>42</v>
      </c>
      <c r="C387" t="s">
        <v>32</v>
      </c>
      <c r="D387" t="s">
        <v>17</v>
      </c>
      <c r="E387" t="str">
        <f t="shared" si="24"/>
        <v>OS</v>
      </c>
      <c r="F387" t="s">
        <v>18</v>
      </c>
      <c r="G387" t="s">
        <v>70</v>
      </c>
      <c r="H387" s="8">
        <v>54.97</v>
      </c>
      <c r="I387" s="3">
        <f t="shared" si="25"/>
        <v>0.496</v>
      </c>
      <c r="J387" s="4">
        <v>49.6</v>
      </c>
      <c r="K387" s="11">
        <f>Table1[[#This Row],[original_price]]* (Table1[[#This Row],[Markdown percentage updated]])</f>
        <v>27.26512</v>
      </c>
      <c r="L3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87" s="6">
        <v>27.7</v>
      </c>
      <c r="N3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87" s="7">
        <v>45573</v>
      </c>
      <c r="P387">
        <v>48</v>
      </c>
      <c r="Q387" s="16" t="str">
        <f>IF(Table1[[#This Row],[stock_quantity]]=0,"NO STOCK",
IF(Table1[[#This Row],[stock_quantity]]&lt;=10,"LOW STOCK",
"IN STOCK"))</f>
        <v>IN STOCK</v>
      </c>
      <c r="R387" s="1">
        <f t="shared" ref="R387:R450" si="26">IF(ISBLANK(S387), 0, S387)</f>
        <v>4.5</v>
      </c>
      <c r="S387">
        <v>4.5</v>
      </c>
      <c r="T387" t="b">
        <v>0</v>
      </c>
      <c r="U387" t="str">
        <f t="shared" ref="U387:U450" si="27">IF(V387="","No Return",V387)</f>
        <v>No Return</v>
      </c>
    </row>
    <row r="388" spans="1:22" hidden="1" x14ac:dyDescent="0.3">
      <c r="A388" t="s">
        <v>441</v>
      </c>
      <c r="B388" t="s">
        <v>21</v>
      </c>
      <c r="C388" t="s">
        <v>22</v>
      </c>
      <c r="D388" t="s">
        <v>23</v>
      </c>
      <c r="E388" t="str">
        <f t="shared" si="24"/>
        <v>L</v>
      </c>
      <c r="F388" t="s">
        <v>24</v>
      </c>
      <c r="G388" t="s">
        <v>35</v>
      </c>
      <c r="H388" s="8">
        <v>85.94</v>
      </c>
      <c r="I388" s="3">
        <f t="shared" si="25"/>
        <v>0</v>
      </c>
      <c r="J388" s="4">
        <v>0</v>
      </c>
      <c r="K388" s="11">
        <f>Table1[[#This Row],[original_price]]* (Table1[[#This Row],[Markdown percentage updated]])</f>
        <v>0</v>
      </c>
      <c r="L3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88" s="6">
        <v>85.94</v>
      </c>
      <c r="N3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88" s="7">
        <v>45875</v>
      </c>
      <c r="P388">
        <v>42</v>
      </c>
      <c r="Q388" s="16" t="str">
        <f>IF(Table1[[#This Row],[stock_quantity]]=0,"NO STOCK",
IF(Table1[[#This Row],[stock_quantity]]&lt;=10,"LOW STOCK",
"IN STOCK"))</f>
        <v>IN STOCK</v>
      </c>
      <c r="R388" s="1">
        <f t="shared" si="26"/>
        <v>4.3</v>
      </c>
      <c r="S388">
        <v>4.3</v>
      </c>
      <c r="T388" t="b">
        <v>0</v>
      </c>
      <c r="U388" t="str">
        <f t="shared" si="27"/>
        <v>No Return</v>
      </c>
    </row>
    <row r="389" spans="1:22" hidden="1" x14ac:dyDescent="0.3">
      <c r="A389" t="s">
        <v>442</v>
      </c>
      <c r="B389" t="s">
        <v>27</v>
      </c>
      <c r="C389" t="s">
        <v>48</v>
      </c>
      <c r="D389" t="s">
        <v>34</v>
      </c>
      <c r="E389" t="str">
        <f t="shared" si="24"/>
        <v>XL</v>
      </c>
      <c r="G389" t="s">
        <v>28</v>
      </c>
      <c r="H389" s="8">
        <v>24.64</v>
      </c>
      <c r="I389" s="3">
        <f t="shared" si="25"/>
        <v>0</v>
      </c>
      <c r="J389" s="4">
        <v>0</v>
      </c>
      <c r="K389" s="11">
        <f>Table1[[#This Row],[original_price]]* (Table1[[#This Row],[Markdown percentage updated]])</f>
        <v>0</v>
      </c>
      <c r="L3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89" s="6">
        <v>24.64</v>
      </c>
      <c r="N3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89" s="7">
        <v>45875</v>
      </c>
      <c r="P389">
        <v>6</v>
      </c>
      <c r="Q389" s="17" t="str">
        <f>IF(Table1[[#This Row],[stock_quantity]]=0,"NO STOCK",
IF(Table1[[#This Row],[stock_quantity]]&lt;=10,"LOW STOCK",
"IN STOCK"))</f>
        <v>LOW STOCK</v>
      </c>
      <c r="R389" s="1">
        <f t="shared" si="26"/>
        <v>4.4000000000000004</v>
      </c>
      <c r="S389">
        <v>4.4000000000000004</v>
      </c>
      <c r="T389" t="b">
        <v>0</v>
      </c>
      <c r="U389" t="str">
        <f t="shared" si="27"/>
        <v>No Return</v>
      </c>
    </row>
    <row r="390" spans="1:22" hidden="1" x14ac:dyDescent="0.3">
      <c r="A390" t="s">
        <v>443</v>
      </c>
      <c r="B390" t="s">
        <v>27</v>
      </c>
      <c r="C390" t="s">
        <v>32</v>
      </c>
      <c r="D390" t="s">
        <v>17</v>
      </c>
      <c r="E390" t="str">
        <f t="shared" si="24"/>
        <v>XS</v>
      </c>
      <c r="G390" t="s">
        <v>44</v>
      </c>
      <c r="H390" s="8">
        <v>28.82</v>
      </c>
      <c r="I390" s="3">
        <f t="shared" si="25"/>
        <v>0</v>
      </c>
      <c r="J390" s="4">
        <v>0</v>
      </c>
      <c r="K390" s="11">
        <f>Table1[[#This Row],[original_price]]* (Table1[[#This Row],[Markdown percentage updated]])</f>
        <v>0</v>
      </c>
      <c r="L3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90" s="6">
        <v>28.82</v>
      </c>
      <c r="N3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90" s="7">
        <v>45588</v>
      </c>
      <c r="P390">
        <v>30</v>
      </c>
      <c r="Q390" s="16" t="str">
        <f>IF(Table1[[#This Row],[stock_quantity]]=0,"NO STOCK",
IF(Table1[[#This Row],[stock_quantity]]&lt;=10,"LOW STOCK",
"IN STOCK"))</f>
        <v>IN STOCK</v>
      </c>
      <c r="R390" s="1">
        <f t="shared" si="26"/>
        <v>2.8</v>
      </c>
      <c r="S390">
        <v>2.8</v>
      </c>
      <c r="T390" t="b">
        <v>0</v>
      </c>
      <c r="U390" t="str">
        <f t="shared" si="27"/>
        <v>No Return</v>
      </c>
    </row>
    <row r="391" spans="1:22" hidden="1" x14ac:dyDescent="0.3">
      <c r="A391" t="s">
        <v>444</v>
      </c>
      <c r="B391" t="s">
        <v>30</v>
      </c>
      <c r="C391" t="s">
        <v>75</v>
      </c>
      <c r="D391" t="s">
        <v>62</v>
      </c>
      <c r="E391" t="str">
        <f t="shared" si="24"/>
        <v>XS</v>
      </c>
      <c r="F391" t="s">
        <v>24</v>
      </c>
      <c r="G391" t="s">
        <v>25</v>
      </c>
      <c r="H391" s="8">
        <v>79.59</v>
      </c>
      <c r="I391" s="3">
        <f t="shared" si="25"/>
        <v>0.24299999999999999</v>
      </c>
      <c r="J391" s="4">
        <v>24.3</v>
      </c>
      <c r="K391" s="11">
        <f>Table1[[#This Row],[original_price]]* (Table1[[#This Row],[Markdown percentage updated]])</f>
        <v>19.34037</v>
      </c>
      <c r="L3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391" s="6">
        <v>60.25</v>
      </c>
      <c r="N3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391" s="7">
        <v>45875</v>
      </c>
      <c r="P391">
        <v>37</v>
      </c>
      <c r="Q391" s="16" t="str">
        <f>IF(Table1[[#This Row],[stock_quantity]]=0,"NO STOCK",
IF(Table1[[#This Row],[stock_quantity]]&lt;=10,"LOW STOCK",
"IN STOCK"))</f>
        <v>IN STOCK</v>
      </c>
      <c r="R391" s="1">
        <f t="shared" si="26"/>
        <v>1.7</v>
      </c>
      <c r="S391">
        <v>1.7</v>
      </c>
      <c r="T391" t="b">
        <v>0</v>
      </c>
      <c r="U391" t="str">
        <f t="shared" si="27"/>
        <v>No Return</v>
      </c>
    </row>
    <row r="392" spans="1:22" hidden="1" x14ac:dyDescent="0.3">
      <c r="A392" t="s">
        <v>445</v>
      </c>
      <c r="B392" t="s">
        <v>42</v>
      </c>
      <c r="C392" t="s">
        <v>61</v>
      </c>
      <c r="D392" t="s">
        <v>34</v>
      </c>
      <c r="E392" t="str">
        <f t="shared" si="24"/>
        <v>M</v>
      </c>
      <c r="F392" t="s">
        <v>18</v>
      </c>
      <c r="G392" t="s">
        <v>44</v>
      </c>
      <c r="H392" s="8">
        <v>49.44</v>
      </c>
      <c r="I392" s="3">
        <f t="shared" si="25"/>
        <v>0</v>
      </c>
      <c r="J392" s="4">
        <v>0</v>
      </c>
      <c r="K392" s="11">
        <f>Table1[[#This Row],[original_price]]* (Table1[[#This Row],[Markdown percentage updated]])</f>
        <v>0</v>
      </c>
      <c r="L3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92" s="6">
        <v>49.44</v>
      </c>
      <c r="N3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92" s="7">
        <v>45875</v>
      </c>
      <c r="P392">
        <v>19</v>
      </c>
      <c r="Q392" s="16" t="str">
        <f>IF(Table1[[#This Row],[stock_quantity]]=0,"NO STOCK",
IF(Table1[[#This Row],[stock_quantity]]&lt;=10,"LOW STOCK",
"IN STOCK"))</f>
        <v>IN STOCK</v>
      </c>
      <c r="R392" s="1">
        <f t="shared" si="26"/>
        <v>3.4</v>
      </c>
      <c r="S392">
        <v>3.4</v>
      </c>
      <c r="T392" t="b">
        <v>0</v>
      </c>
      <c r="U392" t="str">
        <f t="shared" si="27"/>
        <v>No Return</v>
      </c>
    </row>
    <row r="393" spans="1:22" hidden="1" x14ac:dyDescent="0.3">
      <c r="A393" t="s">
        <v>446</v>
      </c>
      <c r="B393" t="s">
        <v>21</v>
      </c>
      <c r="C393" t="s">
        <v>43</v>
      </c>
      <c r="D393" t="s">
        <v>23</v>
      </c>
      <c r="E393" t="str">
        <f t="shared" si="24"/>
        <v>OS</v>
      </c>
      <c r="F393" t="s">
        <v>55</v>
      </c>
      <c r="G393" t="s">
        <v>44</v>
      </c>
      <c r="H393" s="8">
        <v>41.46</v>
      </c>
      <c r="I393" s="3">
        <f t="shared" si="25"/>
        <v>0</v>
      </c>
      <c r="J393" s="4">
        <v>0</v>
      </c>
      <c r="K393" s="11">
        <f>Table1[[#This Row],[original_price]]* (Table1[[#This Row],[Markdown percentage updated]])</f>
        <v>0</v>
      </c>
      <c r="L3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93" s="6">
        <v>41.46</v>
      </c>
      <c r="N3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93" s="7">
        <v>45875</v>
      </c>
      <c r="P393">
        <v>36</v>
      </c>
      <c r="Q393" s="16" t="str">
        <f>IF(Table1[[#This Row],[stock_quantity]]=0,"NO STOCK",
IF(Table1[[#This Row],[stock_quantity]]&lt;=10,"LOW STOCK",
"IN STOCK"))</f>
        <v>IN STOCK</v>
      </c>
      <c r="R393" s="1">
        <f t="shared" si="26"/>
        <v>3.5</v>
      </c>
      <c r="S393">
        <v>3.5</v>
      </c>
      <c r="T393" t="b">
        <v>0</v>
      </c>
      <c r="U393" t="str">
        <f t="shared" si="27"/>
        <v>No Return</v>
      </c>
    </row>
    <row r="394" spans="1:22" hidden="1" x14ac:dyDescent="0.3">
      <c r="A394" t="s">
        <v>447</v>
      </c>
      <c r="B394" t="s">
        <v>42</v>
      </c>
      <c r="C394" t="s">
        <v>22</v>
      </c>
      <c r="D394" t="s">
        <v>34</v>
      </c>
      <c r="E394" t="str">
        <f t="shared" si="24"/>
        <v>L</v>
      </c>
      <c r="F394" t="s">
        <v>55</v>
      </c>
      <c r="G394" t="s">
        <v>56</v>
      </c>
      <c r="H394" s="8">
        <v>131.76</v>
      </c>
      <c r="I394" s="3">
        <f t="shared" si="25"/>
        <v>0.35399999999999998</v>
      </c>
      <c r="J394" s="4">
        <v>35.4</v>
      </c>
      <c r="K394" s="11">
        <f>Table1[[#This Row],[original_price]]* (Table1[[#This Row],[Markdown percentage updated]])</f>
        <v>46.643039999999992</v>
      </c>
      <c r="L3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94" s="6">
        <v>85.12</v>
      </c>
      <c r="N3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94" s="7">
        <v>45875</v>
      </c>
      <c r="P394">
        <v>21</v>
      </c>
      <c r="Q394" s="16" t="str">
        <f>IF(Table1[[#This Row],[stock_quantity]]=0,"NO STOCK",
IF(Table1[[#This Row],[stock_quantity]]&lt;=10,"LOW STOCK",
"IN STOCK"))</f>
        <v>IN STOCK</v>
      </c>
      <c r="R394" s="1">
        <f t="shared" si="26"/>
        <v>4.7</v>
      </c>
      <c r="S394">
        <v>4.7</v>
      </c>
      <c r="T394" t="b">
        <v>0</v>
      </c>
      <c r="U394" t="str">
        <f t="shared" si="27"/>
        <v>No Return</v>
      </c>
    </row>
    <row r="395" spans="1:22" hidden="1" x14ac:dyDescent="0.3">
      <c r="A395" t="s">
        <v>448</v>
      </c>
      <c r="B395" t="s">
        <v>38</v>
      </c>
      <c r="C395" t="s">
        <v>43</v>
      </c>
      <c r="D395" t="s">
        <v>34</v>
      </c>
      <c r="E395" t="str">
        <f t="shared" si="24"/>
        <v>XS</v>
      </c>
      <c r="F395" t="s">
        <v>58</v>
      </c>
      <c r="G395" t="s">
        <v>44</v>
      </c>
      <c r="H395" s="8">
        <v>56.53</v>
      </c>
      <c r="I395" s="3">
        <f t="shared" si="25"/>
        <v>0.27899999999999997</v>
      </c>
      <c r="J395" s="4">
        <v>27.9</v>
      </c>
      <c r="K395" s="11">
        <f>Table1[[#This Row],[original_price]]* (Table1[[#This Row],[Markdown percentage updated]])</f>
        <v>15.771869999999998</v>
      </c>
      <c r="L3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395" s="6">
        <v>40.76</v>
      </c>
      <c r="N3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395" s="7">
        <v>45875</v>
      </c>
      <c r="P395">
        <v>22</v>
      </c>
      <c r="Q395" s="16" t="str">
        <f>IF(Table1[[#This Row],[stock_quantity]]=0,"NO STOCK",
IF(Table1[[#This Row],[stock_quantity]]&lt;=10,"LOW STOCK",
"IN STOCK"))</f>
        <v>IN STOCK</v>
      </c>
      <c r="R395" s="1">
        <f t="shared" si="26"/>
        <v>0</v>
      </c>
      <c r="T395" t="b">
        <v>0</v>
      </c>
      <c r="U395" t="str">
        <f t="shared" si="27"/>
        <v>No Return</v>
      </c>
    </row>
    <row r="396" spans="1:22" hidden="1" x14ac:dyDescent="0.3">
      <c r="A396" t="s">
        <v>449</v>
      </c>
      <c r="B396" t="s">
        <v>21</v>
      </c>
      <c r="C396" t="s">
        <v>16</v>
      </c>
      <c r="D396" t="s">
        <v>23</v>
      </c>
      <c r="E396" t="str">
        <f t="shared" si="24"/>
        <v>L</v>
      </c>
      <c r="G396" t="s">
        <v>44</v>
      </c>
      <c r="H396" s="8">
        <v>111.72</v>
      </c>
      <c r="I396" s="3">
        <f t="shared" si="25"/>
        <v>0.33299999999999996</v>
      </c>
      <c r="J396" s="4">
        <v>33.299999999999997</v>
      </c>
      <c r="K396" s="11">
        <f>Table1[[#This Row],[original_price]]* (Table1[[#This Row],[Markdown percentage updated]])</f>
        <v>37.202759999999998</v>
      </c>
      <c r="L3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96" s="6">
        <v>74.52</v>
      </c>
      <c r="N3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96" s="7">
        <v>45875</v>
      </c>
      <c r="P396">
        <v>47</v>
      </c>
      <c r="Q396" s="16" t="str">
        <f>IF(Table1[[#This Row],[stock_quantity]]=0,"NO STOCK",
IF(Table1[[#This Row],[stock_quantity]]&lt;=10,"LOW STOCK",
"IN STOCK"))</f>
        <v>IN STOCK</v>
      </c>
      <c r="R396" s="1">
        <f t="shared" si="26"/>
        <v>2</v>
      </c>
      <c r="S396">
        <v>2</v>
      </c>
      <c r="T396" t="b">
        <v>1</v>
      </c>
      <c r="U396" s="13" t="str">
        <f t="shared" si="27"/>
        <v>Quality Issue</v>
      </c>
      <c r="V396" t="s">
        <v>83</v>
      </c>
    </row>
    <row r="397" spans="1:22" hidden="1" x14ac:dyDescent="0.3">
      <c r="A397" t="s">
        <v>450</v>
      </c>
      <c r="B397" t="s">
        <v>21</v>
      </c>
      <c r="C397" t="s">
        <v>16</v>
      </c>
      <c r="D397" t="s">
        <v>23</v>
      </c>
      <c r="E397" t="str">
        <f t="shared" si="24"/>
        <v>OS</v>
      </c>
      <c r="F397" t="s">
        <v>24</v>
      </c>
      <c r="G397" t="s">
        <v>56</v>
      </c>
      <c r="H397" s="8">
        <v>99.96</v>
      </c>
      <c r="I397" s="3">
        <f t="shared" si="25"/>
        <v>0.47600000000000003</v>
      </c>
      <c r="J397" s="4">
        <v>47.6</v>
      </c>
      <c r="K397" s="11">
        <f>Table1[[#This Row],[original_price]]* (Table1[[#This Row],[Markdown percentage updated]])</f>
        <v>47.580959999999997</v>
      </c>
      <c r="L3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97" s="6">
        <v>52.38</v>
      </c>
      <c r="N3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97" s="7">
        <v>45875</v>
      </c>
      <c r="P397">
        <v>18</v>
      </c>
      <c r="Q397" s="16" t="str">
        <f>IF(Table1[[#This Row],[stock_quantity]]=0,"NO STOCK",
IF(Table1[[#This Row],[stock_quantity]]&lt;=10,"LOW STOCK",
"IN STOCK"))</f>
        <v>IN STOCK</v>
      </c>
      <c r="R397" s="1">
        <f t="shared" si="26"/>
        <v>2</v>
      </c>
      <c r="S397">
        <v>2</v>
      </c>
      <c r="T397" t="b">
        <v>1</v>
      </c>
      <c r="U397" s="13" t="str">
        <f t="shared" si="27"/>
        <v>Quality Issue</v>
      </c>
      <c r="V397" t="s">
        <v>83</v>
      </c>
    </row>
    <row r="398" spans="1:22" hidden="1" x14ac:dyDescent="0.3">
      <c r="A398" t="s">
        <v>451</v>
      </c>
      <c r="B398" t="s">
        <v>42</v>
      </c>
      <c r="C398" t="s">
        <v>22</v>
      </c>
      <c r="D398" t="s">
        <v>34</v>
      </c>
      <c r="E398" t="str">
        <f t="shared" si="24"/>
        <v>L</v>
      </c>
      <c r="F398" t="s">
        <v>55</v>
      </c>
      <c r="G398" t="s">
        <v>19</v>
      </c>
      <c r="H398" s="8">
        <v>110.04</v>
      </c>
      <c r="I398" s="3">
        <f t="shared" si="25"/>
        <v>0.57100000000000006</v>
      </c>
      <c r="J398" s="4">
        <v>57.1</v>
      </c>
      <c r="K398" s="11">
        <f>Table1[[#This Row],[original_price]]* (Table1[[#This Row],[Markdown percentage updated]])</f>
        <v>62.832840000000012</v>
      </c>
      <c r="L3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398" s="6">
        <v>47.21</v>
      </c>
      <c r="N3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398" s="7">
        <v>45875</v>
      </c>
      <c r="P398">
        <v>0</v>
      </c>
      <c r="Q398" s="13" t="str">
        <f>IF(Table1[[#This Row],[stock_quantity]]=0,"NO STOCK",
IF(Table1[[#This Row],[stock_quantity]]&lt;=10,"LOW STOCK",
"IN STOCK"))</f>
        <v>NO STOCK</v>
      </c>
      <c r="R398" s="1">
        <f t="shared" si="26"/>
        <v>4.7</v>
      </c>
      <c r="S398">
        <v>4.7</v>
      </c>
      <c r="T398" t="b">
        <v>0</v>
      </c>
      <c r="U398" t="str">
        <f t="shared" si="27"/>
        <v>No Return</v>
      </c>
    </row>
    <row r="399" spans="1:22" hidden="1" x14ac:dyDescent="0.3">
      <c r="A399" t="s">
        <v>452</v>
      </c>
      <c r="B399" t="s">
        <v>42</v>
      </c>
      <c r="C399" t="s">
        <v>75</v>
      </c>
      <c r="D399" t="s">
        <v>23</v>
      </c>
      <c r="E399" t="str">
        <f t="shared" si="24"/>
        <v>XL</v>
      </c>
      <c r="F399" t="s">
        <v>24</v>
      </c>
      <c r="G399" t="s">
        <v>44</v>
      </c>
      <c r="H399" s="8">
        <v>141.84</v>
      </c>
      <c r="I399" s="3">
        <f t="shared" si="25"/>
        <v>0</v>
      </c>
      <c r="J399" s="4">
        <v>0</v>
      </c>
      <c r="K399" s="11">
        <f>Table1[[#This Row],[original_price]]* (Table1[[#This Row],[Markdown percentage updated]])</f>
        <v>0</v>
      </c>
      <c r="L3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399" s="6">
        <v>141.84</v>
      </c>
      <c r="N3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399" s="7">
        <v>45875</v>
      </c>
      <c r="P399">
        <v>39</v>
      </c>
      <c r="Q399" s="16" t="str">
        <f>IF(Table1[[#This Row],[stock_quantity]]=0,"NO STOCK",
IF(Table1[[#This Row],[stock_quantity]]&lt;=10,"LOW STOCK",
"IN STOCK"))</f>
        <v>IN STOCK</v>
      </c>
      <c r="R399" s="1">
        <f t="shared" si="26"/>
        <v>1.7</v>
      </c>
      <c r="S399">
        <v>1.7</v>
      </c>
      <c r="T399" t="b">
        <v>0</v>
      </c>
      <c r="U399" t="str">
        <f t="shared" si="27"/>
        <v>No Return</v>
      </c>
    </row>
    <row r="400" spans="1:22" hidden="1" x14ac:dyDescent="0.3">
      <c r="A400" t="s">
        <v>453</v>
      </c>
      <c r="B400" t="s">
        <v>27</v>
      </c>
      <c r="C400" t="s">
        <v>48</v>
      </c>
      <c r="D400" t="s">
        <v>23</v>
      </c>
      <c r="E400" t="str">
        <f t="shared" si="24"/>
        <v>OS</v>
      </c>
      <c r="G400" t="s">
        <v>70</v>
      </c>
      <c r="H400" s="8">
        <v>32.630000000000003</v>
      </c>
      <c r="I400" s="3">
        <f t="shared" si="25"/>
        <v>0.42899999999999999</v>
      </c>
      <c r="J400" s="4">
        <v>42.9</v>
      </c>
      <c r="K400" s="11">
        <f>Table1[[#This Row],[original_price]]* (Table1[[#This Row],[Markdown percentage updated]])</f>
        <v>13.998270000000002</v>
      </c>
      <c r="L4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00" s="6">
        <v>18.63</v>
      </c>
      <c r="N4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400" s="7">
        <v>45875</v>
      </c>
      <c r="P400">
        <v>5</v>
      </c>
      <c r="Q400" s="17" t="str">
        <f>IF(Table1[[#This Row],[stock_quantity]]=0,"NO STOCK",
IF(Table1[[#This Row],[stock_quantity]]&lt;=10,"LOW STOCK",
"IN STOCK"))</f>
        <v>LOW STOCK</v>
      </c>
      <c r="R400" s="1">
        <f t="shared" si="26"/>
        <v>1.1000000000000001</v>
      </c>
      <c r="S400">
        <v>1.1000000000000001</v>
      </c>
      <c r="T400" t="b">
        <v>0</v>
      </c>
      <c r="U400" t="str">
        <f t="shared" si="27"/>
        <v>No Return</v>
      </c>
    </row>
    <row r="401" spans="1:22" hidden="1" x14ac:dyDescent="0.3">
      <c r="A401" t="s">
        <v>454</v>
      </c>
      <c r="B401" t="s">
        <v>15</v>
      </c>
      <c r="C401" t="s">
        <v>16</v>
      </c>
      <c r="D401" t="s">
        <v>17</v>
      </c>
      <c r="E401" t="str">
        <f t="shared" si="24"/>
        <v>OS</v>
      </c>
      <c r="F401" t="s">
        <v>24</v>
      </c>
      <c r="G401" t="s">
        <v>28</v>
      </c>
      <c r="H401" s="8">
        <v>189.68</v>
      </c>
      <c r="I401" s="3">
        <f t="shared" si="25"/>
        <v>0.40799999999999997</v>
      </c>
      <c r="J401" s="4">
        <v>40.799999999999997</v>
      </c>
      <c r="K401" s="11">
        <f>Table1[[#This Row],[original_price]]* (Table1[[#This Row],[Markdown percentage updated]])</f>
        <v>77.389439999999993</v>
      </c>
      <c r="L4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01" s="6">
        <v>112.29</v>
      </c>
      <c r="N4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01" s="7">
        <v>45556</v>
      </c>
      <c r="P401">
        <v>27</v>
      </c>
      <c r="Q401" s="16" t="str">
        <f>IF(Table1[[#This Row],[stock_quantity]]=0,"NO STOCK",
IF(Table1[[#This Row],[stock_quantity]]&lt;=10,"LOW STOCK",
"IN STOCK"))</f>
        <v>IN STOCK</v>
      </c>
      <c r="R401" s="1">
        <f t="shared" si="26"/>
        <v>1.8</v>
      </c>
      <c r="S401">
        <v>1.8</v>
      </c>
      <c r="T401" t="b">
        <v>1</v>
      </c>
      <c r="U401" s="13" t="str">
        <f t="shared" si="27"/>
        <v>Damaged</v>
      </c>
      <c r="V401" t="s">
        <v>78</v>
      </c>
    </row>
    <row r="402" spans="1:22" hidden="1" x14ac:dyDescent="0.3">
      <c r="A402" t="s">
        <v>455</v>
      </c>
      <c r="B402" t="s">
        <v>42</v>
      </c>
      <c r="C402" t="s">
        <v>53</v>
      </c>
      <c r="D402" t="s">
        <v>34</v>
      </c>
      <c r="E402" t="str">
        <f t="shared" si="24"/>
        <v>OS</v>
      </c>
      <c r="F402" t="s">
        <v>18</v>
      </c>
      <c r="G402" t="s">
        <v>25</v>
      </c>
      <c r="H402" s="8">
        <v>150.88999999999999</v>
      </c>
      <c r="I402" s="3">
        <f t="shared" si="25"/>
        <v>0.46799999999999997</v>
      </c>
      <c r="J402" s="4">
        <v>46.8</v>
      </c>
      <c r="K402" s="11">
        <f>Table1[[#This Row],[original_price]]* (Table1[[#This Row],[Markdown percentage updated]])</f>
        <v>70.616519999999994</v>
      </c>
      <c r="L4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02" s="6">
        <v>80.27</v>
      </c>
      <c r="N4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02" s="7">
        <v>45875</v>
      </c>
      <c r="P402">
        <v>18</v>
      </c>
      <c r="Q402" s="16" t="str">
        <f>IF(Table1[[#This Row],[stock_quantity]]=0,"NO STOCK",
IF(Table1[[#This Row],[stock_quantity]]&lt;=10,"LOW STOCK",
"IN STOCK"))</f>
        <v>IN STOCK</v>
      </c>
      <c r="R402" s="1">
        <f t="shared" si="26"/>
        <v>4.9000000000000004</v>
      </c>
      <c r="S402">
        <v>4.9000000000000004</v>
      </c>
      <c r="T402" t="b">
        <v>0</v>
      </c>
      <c r="U402" t="str">
        <f t="shared" si="27"/>
        <v>No Return</v>
      </c>
    </row>
    <row r="403" spans="1:22" hidden="1" x14ac:dyDescent="0.3">
      <c r="A403" t="s">
        <v>456</v>
      </c>
      <c r="B403" t="s">
        <v>27</v>
      </c>
      <c r="C403" t="s">
        <v>61</v>
      </c>
      <c r="D403" t="s">
        <v>34</v>
      </c>
      <c r="E403" t="str">
        <f t="shared" si="24"/>
        <v>XS</v>
      </c>
      <c r="G403" t="s">
        <v>64</v>
      </c>
      <c r="H403" s="8">
        <v>42.66</v>
      </c>
      <c r="I403" s="3">
        <f t="shared" si="25"/>
        <v>0.215</v>
      </c>
      <c r="J403" s="4">
        <v>21.5</v>
      </c>
      <c r="K403" s="11">
        <f>Table1[[#This Row],[original_price]]* (Table1[[#This Row],[Markdown percentage updated]])</f>
        <v>9.1718999999999991</v>
      </c>
      <c r="L4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403" s="6">
        <v>33.49</v>
      </c>
      <c r="N4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403" s="7">
        <v>45875</v>
      </c>
      <c r="P403">
        <v>16</v>
      </c>
      <c r="Q403" s="16" t="str">
        <f>IF(Table1[[#This Row],[stock_quantity]]=0,"NO STOCK",
IF(Table1[[#This Row],[stock_quantity]]&lt;=10,"LOW STOCK",
"IN STOCK"))</f>
        <v>IN STOCK</v>
      </c>
      <c r="R403" s="1">
        <f t="shared" si="26"/>
        <v>0</v>
      </c>
      <c r="T403" t="b">
        <v>0</v>
      </c>
      <c r="U403" t="str">
        <f t="shared" si="27"/>
        <v>No Return</v>
      </c>
    </row>
    <row r="404" spans="1:22" x14ac:dyDescent="0.3">
      <c r="A404" t="s">
        <v>457</v>
      </c>
      <c r="B404" t="s">
        <v>27</v>
      </c>
      <c r="C404" t="s">
        <v>22</v>
      </c>
      <c r="D404" t="s">
        <v>34</v>
      </c>
      <c r="E404" t="str">
        <f t="shared" si="24"/>
        <v>XL</v>
      </c>
      <c r="G404" t="s">
        <v>19</v>
      </c>
      <c r="H404" s="8">
        <v>62.05</v>
      </c>
      <c r="I404" s="3">
        <f t="shared" si="25"/>
        <v>0</v>
      </c>
      <c r="J404" s="4">
        <v>0</v>
      </c>
      <c r="K404" s="11">
        <f>Table1[[#This Row],[original_price]]* (Table1[[#This Row],[Markdown percentage updated]])</f>
        <v>0</v>
      </c>
      <c r="L4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04" s="6">
        <v>62.05</v>
      </c>
      <c r="N4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04" s="7">
        <v>45875</v>
      </c>
      <c r="P404">
        <v>50</v>
      </c>
      <c r="Q404" s="16" t="str">
        <f>IF(Table1[[#This Row],[stock_quantity]]=0,"NO STOCK",
IF(Table1[[#This Row],[stock_quantity]]&lt;=10,"LOW STOCK",
"IN STOCK"))</f>
        <v>IN STOCK</v>
      </c>
      <c r="R404" s="1">
        <f t="shared" si="26"/>
        <v>1.4</v>
      </c>
      <c r="S404">
        <v>1.4</v>
      </c>
      <c r="T404" t="b">
        <v>1</v>
      </c>
      <c r="U404" s="13" t="str">
        <f t="shared" si="27"/>
        <v>Changed Mind</v>
      </c>
      <c r="V404" t="s">
        <v>115</v>
      </c>
    </row>
    <row r="405" spans="1:22" hidden="1" x14ac:dyDescent="0.3">
      <c r="A405" t="s">
        <v>458</v>
      </c>
      <c r="B405" t="s">
        <v>27</v>
      </c>
      <c r="C405" t="s">
        <v>32</v>
      </c>
      <c r="D405" t="s">
        <v>23</v>
      </c>
      <c r="E405" t="str">
        <f t="shared" si="24"/>
        <v>XL</v>
      </c>
      <c r="G405" t="s">
        <v>46</v>
      </c>
      <c r="H405" s="8">
        <v>74.319999999999993</v>
      </c>
      <c r="I405" s="3">
        <f t="shared" si="25"/>
        <v>0</v>
      </c>
      <c r="J405" s="4">
        <v>0</v>
      </c>
      <c r="K405" s="11">
        <f>Table1[[#This Row],[original_price]]* (Table1[[#This Row],[Markdown percentage updated]])</f>
        <v>0</v>
      </c>
      <c r="L4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05" s="6">
        <v>74.319999999999993</v>
      </c>
      <c r="N4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05" s="7">
        <v>45875</v>
      </c>
      <c r="P405">
        <v>4</v>
      </c>
      <c r="Q405" s="17" t="str">
        <f>IF(Table1[[#This Row],[stock_quantity]]=0,"NO STOCK",
IF(Table1[[#This Row],[stock_quantity]]&lt;=10,"LOW STOCK",
"IN STOCK"))</f>
        <v>LOW STOCK</v>
      </c>
      <c r="R405" s="1">
        <f t="shared" si="26"/>
        <v>2.2000000000000002</v>
      </c>
      <c r="S405">
        <v>2.2000000000000002</v>
      </c>
      <c r="T405" t="b">
        <v>0</v>
      </c>
      <c r="U405" t="str">
        <f t="shared" si="27"/>
        <v>No Return</v>
      </c>
    </row>
    <row r="406" spans="1:22" hidden="1" x14ac:dyDescent="0.3">
      <c r="A406" t="s">
        <v>459</v>
      </c>
      <c r="B406" t="s">
        <v>15</v>
      </c>
      <c r="C406" t="s">
        <v>22</v>
      </c>
      <c r="D406" t="s">
        <v>23</v>
      </c>
      <c r="E406" t="str">
        <f t="shared" si="24"/>
        <v>XS</v>
      </c>
      <c r="F406" t="s">
        <v>55</v>
      </c>
      <c r="G406" t="s">
        <v>64</v>
      </c>
      <c r="H406" s="8">
        <v>217.34</v>
      </c>
      <c r="I406" s="3">
        <f t="shared" si="25"/>
        <v>0</v>
      </c>
      <c r="J406" s="4">
        <v>0</v>
      </c>
      <c r="K406" s="11">
        <f>Table1[[#This Row],[original_price]]* (Table1[[#This Row],[Markdown percentage updated]])</f>
        <v>0</v>
      </c>
      <c r="L4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06" s="6">
        <v>217.34</v>
      </c>
      <c r="N4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06" s="7">
        <v>45875</v>
      </c>
      <c r="P406">
        <v>4</v>
      </c>
      <c r="Q406" s="17" t="str">
        <f>IF(Table1[[#This Row],[stock_quantity]]=0,"NO STOCK",
IF(Table1[[#This Row],[stock_quantity]]&lt;=10,"LOW STOCK",
"IN STOCK"))</f>
        <v>LOW STOCK</v>
      </c>
      <c r="R406" s="1">
        <f t="shared" si="26"/>
        <v>4.2</v>
      </c>
      <c r="S406">
        <v>4.2</v>
      </c>
      <c r="T406" t="b">
        <v>0</v>
      </c>
      <c r="U406" t="str">
        <f t="shared" si="27"/>
        <v>No Return</v>
      </c>
    </row>
    <row r="407" spans="1:22" hidden="1" x14ac:dyDescent="0.3">
      <c r="A407" t="s">
        <v>460</v>
      </c>
      <c r="B407" t="s">
        <v>21</v>
      </c>
      <c r="C407" t="s">
        <v>16</v>
      </c>
      <c r="D407" t="s">
        <v>62</v>
      </c>
      <c r="E407" t="str">
        <f t="shared" si="24"/>
        <v>XS</v>
      </c>
      <c r="F407" t="s">
        <v>18</v>
      </c>
      <c r="G407" t="s">
        <v>35</v>
      </c>
      <c r="H407" s="8">
        <v>111.14</v>
      </c>
      <c r="I407" s="3">
        <f t="shared" si="25"/>
        <v>0.56700000000000006</v>
      </c>
      <c r="J407" s="4">
        <v>56.7</v>
      </c>
      <c r="K407" s="11">
        <f>Table1[[#This Row],[original_price]]* (Table1[[#This Row],[Markdown percentage updated]])</f>
        <v>63.016380000000005</v>
      </c>
      <c r="L4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07" s="6">
        <v>48.12</v>
      </c>
      <c r="N4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07" s="7">
        <v>45875</v>
      </c>
      <c r="P407">
        <v>29</v>
      </c>
      <c r="Q407" s="16" t="str">
        <f>IF(Table1[[#This Row],[stock_quantity]]=0,"NO STOCK",
IF(Table1[[#This Row],[stock_quantity]]&lt;=10,"LOW STOCK",
"IN STOCK"))</f>
        <v>IN STOCK</v>
      </c>
      <c r="R407" s="1">
        <f t="shared" si="26"/>
        <v>1.5</v>
      </c>
      <c r="S407">
        <v>1.5</v>
      </c>
      <c r="T407" t="b">
        <v>0</v>
      </c>
      <c r="U407" t="str">
        <f t="shared" si="27"/>
        <v>No Return</v>
      </c>
    </row>
    <row r="408" spans="1:22" x14ac:dyDescent="0.3">
      <c r="A408" t="s">
        <v>461</v>
      </c>
      <c r="B408" t="s">
        <v>30</v>
      </c>
      <c r="C408" t="s">
        <v>48</v>
      </c>
      <c r="D408" t="s">
        <v>23</v>
      </c>
      <c r="E408" t="str">
        <f t="shared" si="24"/>
        <v>OS</v>
      </c>
      <c r="F408" t="s">
        <v>18</v>
      </c>
      <c r="G408" t="s">
        <v>64</v>
      </c>
      <c r="H408" s="8">
        <v>62.5</v>
      </c>
      <c r="I408" s="3">
        <f t="shared" si="25"/>
        <v>0</v>
      </c>
      <c r="J408" s="4">
        <v>0</v>
      </c>
      <c r="K408" s="11">
        <f>Table1[[#This Row],[original_price]]* (Table1[[#This Row],[Markdown percentage updated]])</f>
        <v>0</v>
      </c>
      <c r="L4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08" s="6">
        <v>62.5</v>
      </c>
      <c r="N4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08" s="7">
        <v>45875</v>
      </c>
      <c r="P408">
        <v>0</v>
      </c>
      <c r="Q408" s="13" t="str">
        <f>IF(Table1[[#This Row],[stock_quantity]]=0,"NO STOCK",
IF(Table1[[#This Row],[stock_quantity]]&lt;=10,"LOW STOCK",
"IN STOCK"))</f>
        <v>NO STOCK</v>
      </c>
      <c r="R408" s="1">
        <f t="shared" si="26"/>
        <v>1.9</v>
      </c>
      <c r="S408">
        <v>1.9</v>
      </c>
      <c r="T408" t="b">
        <v>1</v>
      </c>
      <c r="U408" s="13" t="str">
        <f t="shared" si="27"/>
        <v>Changed Mind</v>
      </c>
      <c r="V408" t="s">
        <v>115</v>
      </c>
    </row>
    <row r="409" spans="1:22" hidden="1" x14ac:dyDescent="0.3">
      <c r="A409" t="s">
        <v>462</v>
      </c>
      <c r="B409" t="s">
        <v>15</v>
      </c>
      <c r="C409" t="s">
        <v>32</v>
      </c>
      <c r="D409" t="s">
        <v>23</v>
      </c>
      <c r="E409" t="str">
        <f t="shared" si="24"/>
        <v>XS</v>
      </c>
      <c r="F409" t="s">
        <v>55</v>
      </c>
      <c r="G409" t="s">
        <v>44</v>
      </c>
      <c r="H409" s="8">
        <v>165.88</v>
      </c>
      <c r="I409" s="3">
        <f t="shared" si="25"/>
        <v>3.4000000000000002E-2</v>
      </c>
      <c r="J409" s="4">
        <v>3.4</v>
      </c>
      <c r="K409" s="11">
        <f>Table1[[#This Row],[original_price]]* (Table1[[#This Row],[Markdown percentage updated]])</f>
        <v>5.63992</v>
      </c>
      <c r="L4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09" s="6">
        <v>160.24</v>
      </c>
      <c r="N4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409" s="7">
        <v>45875</v>
      </c>
      <c r="P409">
        <v>42</v>
      </c>
      <c r="Q409" s="16" t="str">
        <f>IF(Table1[[#This Row],[stock_quantity]]=0,"NO STOCK",
IF(Table1[[#This Row],[stock_quantity]]&lt;=10,"LOW STOCK",
"IN STOCK"))</f>
        <v>IN STOCK</v>
      </c>
      <c r="R409" s="1">
        <f t="shared" si="26"/>
        <v>2.4</v>
      </c>
      <c r="S409">
        <v>2.4</v>
      </c>
      <c r="T409" t="b">
        <v>0</v>
      </c>
      <c r="U409" t="str">
        <f t="shared" si="27"/>
        <v>No Return</v>
      </c>
    </row>
    <row r="410" spans="1:22" hidden="1" x14ac:dyDescent="0.3">
      <c r="A410" t="s">
        <v>463</v>
      </c>
      <c r="B410" t="s">
        <v>15</v>
      </c>
      <c r="C410" t="s">
        <v>61</v>
      </c>
      <c r="D410" t="s">
        <v>34</v>
      </c>
      <c r="E410" t="str">
        <f t="shared" si="24"/>
        <v>XL</v>
      </c>
      <c r="F410" t="s">
        <v>55</v>
      </c>
      <c r="G410" t="s">
        <v>70</v>
      </c>
      <c r="H410" s="8">
        <v>179.8</v>
      </c>
      <c r="I410" s="3">
        <f t="shared" si="25"/>
        <v>0</v>
      </c>
      <c r="J410" s="4">
        <v>0</v>
      </c>
      <c r="K410" s="11">
        <f>Table1[[#This Row],[original_price]]* (Table1[[#This Row],[Markdown percentage updated]])</f>
        <v>0</v>
      </c>
      <c r="L4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10" s="6">
        <v>179.8</v>
      </c>
      <c r="N4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10" s="7">
        <v>45875</v>
      </c>
      <c r="P410">
        <v>25</v>
      </c>
      <c r="Q410" s="16" t="str">
        <f>IF(Table1[[#This Row],[stock_quantity]]=0,"NO STOCK",
IF(Table1[[#This Row],[stock_quantity]]&lt;=10,"LOW STOCK",
"IN STOCK"))</f>
        <v>IN STOCK</v>
      </c>
      <c r="R410" s="1">
        <f t="shared" si="26"/>
        <v>1.7</v>
      </c>
      <c r="S410">
        <v>1.7</v>
      </c>
      <c r="T410" t="b">
        <v>0</v>
      </c>
      <c r="U410" t="str">
        <f t="shared" si="27"/>
        <v>No Return</v>
      </c>
    </row>
    <row r="411" spans="1:22" hidden="1" x14ac:dyDescent="0.3">
      <c r="A411" t="s">
        <v>464</v>
      </c>
      <c r="B411" t="s">
        <v>27</v>
      </c>
      <c r="C411" t="s">
        <v>16</v>
      </c>
      <c r="D411" t="s">
        <v>62</v>
      </c>
      <c r="E411" t="str">
        <f t="shared" si="24"/>
        <v>L</v>
      </c>
      <c r="G411" t="s">
        <v>56</v>
      </c>
      <c r="H411" s="8">
        <v>34.15</v>
      </c>
      <c r="I411" s="3">
        <f t="shared" si="25"/>
        <v>0</v>
      </c>
      <c r="J411" s="4">
        <v>0</v>
      </c>
      <c r="K411" s="11">
        <f>Table1[[#This Row],[original_price]]* (Table1[[#This Row],[Markdown percentage updated]])</f>
        <v>0</v>
      </c>
      <c r="L4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11" s="6">
        <v>34.15</v>
      </c>
      <c r="N4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11" s="7">
        <v>45875</v>
      </c>
      <c r="P411">
        <v>27</v>
      </c>
      <c r="Q411" s="16" t="str">
        <f>IF(Table1[[#This Row],[stock_quantity]]=0,"NO STOCK",
IF(Table1[[#This Row],[stock_quantity]]&lt;=10,"LOW STOCK",
"IN STOCK"))</f>
        <v>IN STOCK</v>
      </c>
      <c r="R411" s="1">
        <f t="shared" si="26"/>
        <v>4.0999999999999996</v>
      </c>
      <c r="S411">
        <v>4.0999999999999996</v>
      </c>
      <c r="T411" t="b">
        <v>0</v>
      </c>
      <c r="U411" t="str">
        <f t="shared" si="27"/>
        <v>No Return</v>
      </c>
    </row>
    <row r="412" spans="1:22" hidden="1" x14ac:dyDescent="0.3">
      <c r="A412" t="s">
        <v>465</v>
      </c>
      <c r="B412" t="s">
        <v>21</v>
      </c>
      <c r="C412" t="s">
        <v>61</v>
      </c>
      <c r="D412" t="s">
        <v>17</v>
      </c>
      <c r="E412" t="str">
        <f t="shared" si="24"/>
        <v>XS</v>
      </c>
      <c r="F412" t="s">
        <v>55</v>
      </c>
      <c r="G412" t="s">
        <v>46</v>
      </c>
      <c r="H412" s="8">
        <v>101.88</v>
      </c>
      <c r="I412" s="3">
        <f t="shared" si="25"/>
        <v>0</v>
      </c>
      <c r="J412" s="4">
        <v>0</v>
      </c>
      <c r="K412" s="11">
        <f>Table1[[#This Row],[original_price]]* (Table1[[#This Row],[Markdown percentage updated]])</f>
        <v>0</v>
      </c>
      <c r="L4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12" s="6">
        <v>101.88</v>
      </c>
      <c r="N4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12" s="7">
        <v>45730</v>
      </c>
      <c r="P412">
        <v>46</v>
      </c>
      <c r="Q412" s="16" t="str">
        <f>IF(Table1[[#This Row],[stock_quantity]]=0,"NO STOCK",
IF(Table1[[#This Row],[stock_quantity]]&lt;=10,"LOW STOCK",
"IN STOCK"))</f>
        <v>IN STOCK</v>
      </c>
      <c r="R412" s="1">
        <f t="shared" si="26"/>
        <v>0</v>
      </c>
      <c r="T412" t="b">
        <v>1</v>
      </c>
      <c r="U412" s="13" t="str">
        <f t="shared" si="27"/>
        <v>Size Issue</v>
      </c>
      <c r="V412" t="s">
        <v>73</v>
      </c>
    </row>
    <row r="413" spans="1:22" hidden="1" x14ac:dyDescent="0.3">
      <c r="A413" t="s">
        <v>466</v>
      </c>
      <c r="B413" t="s">
        <v>30</v>
      </c>
      <c r="C413" t="s">
        <v>32</v>
      </c>
      <c r="D413" t="s">
        <v>62</v>
      </c>
      <c r="E413" t="str">
        <f t="shared" si="24"/>
        <v>XXL</v>
      </c>
      <c r="F413" t="s">
        <v>18</v>
      </c>
      <c r="G413" t="s">
        <v>44</v>
      </c>
      <c r="H413" s="8">
        <v>187.58</v>
      </c>
      <c r="I413" s="3">
        <f t="shared" si="25"/>
        <v>0</v>
      </c>
      <c r="J413" s="4">
        <v>0</v>
      </c>
      <c r="K413" s="11">
        <f>Table1[[#This Row],[original_price]]* (Table1[[#This Row],[Markdown percentage updated]])</f>
        <v>0</v>
      </c>
      <c r="L4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13" s="6">
        <v>187.58</v>
      </c>
      <c r="N4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13" s="7">
        <v>45875</v>
      </c>
      <c r="P413">
        <v>46</v>
      </c>
      <c r="Q413" s="16" t="str">
        <f>IF(Table1[[#This Row],[stock_quantity]]=0,"NO STOCK",
IF(Table1[[#This Row],[stock_quantity]]&lt;=10,"LOW STOCK",
"IN STOCK"))</f>
        <v>IN STOCK</v>
      </c>
      <c r="R413" s="1">
        <f t="shared" si="26"/>
        <v>2.9</v>
      </c>
      <c r="S413">
        <v>2.9</v>
      </c>
      <c r="T413" t="b">
        <v>0</v>
      </c>
      <c r="U413" t="str">
        <f t="shared" si="27"/>
        <v>No Return</v>
      </c>
    </row>
    <row r="414" spans="1:22" hidden="1" x14ac:dyDescent="0.3">
      <c r="A414" t="s">
        <v>467</v>
      </c>
      <c r="B414" t="s">
        <v>15</v>
      </c>
      <c r="C414" t="s">
        <v>53</v>
      </c>
      <c r="D414" t="s">
        <v>34</v>
      </c>
      <c r="E414" t="str">
        <f t="shared" si="24"/>
        <v>M</v>
      </c>
      <c r="F414" t="s">
        <v>24</v>
      </c>
      <c r="G414" t="s">
        <v>25</v>
      </c>
      <c r="H414" s="8">
        <v>145.02000000000001</v>
      </c>
      <c r="I414" s="3">
        <f t="shared" si="25"/>
        <v>0</v>
      </c>
      <c r="J414" s="4">
        <v>0</v>
      </c>
      <c r="K414" s="11">
        <f>Table1[[#This Row],[original_price]]* (Table1[[#This Row],[Markdown percentage updated]])</f>
        <v>0</v>
      </c>
      <c r="L4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14" s="6">
        <v>145.02000000000001</v>
      </c>
      <c r="N4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14" s="7">
        <v>45875</v>
      </c>
      <c r="P414">
        <v>36</v>
      </c>
      <c r="Q414" s="16" t="str">
        <f>IF(Table1[[#This Row],[stock_quantity]]=0,"NO STOCK",
IF(Table1[[#This Row],[stock_quantity]]&lt;=10,"LOW STOCK",
"IN STOCK"))</f>
        <v>IN STOCK</v>
      </c>
      <c r="R414" s="1">
        <f t="shared" si="26"/>
        <v>2.6</v>
      </c>
      <c r="S414">
        <v>2.6</v>
      </c>
      <c r="T414" t="b">
        <v>0</v>
      </c>
      <c r="U414" t="str">
        <f t="shared" si="27"/>
        <v>No Return</v>
      </c>
    </row>
    <row r="415" spans="1:22" hidden="1" x14ac:dyDescent="0.3">
      <c r="A415" t="s">
        <v>468</v>
      </c>
      <c r="B415" t="s">
        <v>38</v>
      </c>
      <c r="C415" t="s">
        <v>61</v>
      </c>
      <c r="D415" t="s">
        <v>62</v>
      </c>
      <c r="E415" t="str">
        <f t="shared" si="24"/>
        <v>XXL</v>
      </c>
      <c r="F415" t="s">
        <v>55</v>
      </c>
      <c r="G415" t="s">
        <v>44</v>
      </c>
      <c r="H415" s="8">
        <v>101.61</v>
      </c>
      <c r="I415" s="3">
        <f t="shared" si="25"/>
        <v>0.26899999999999996</v>
      </c>
      <c r="J415" s="4">
        <v>26.9</v>
      </c>
      <c r="K415" s="11">
        <f>Table1[[#This Row],[original_price]]* (Table1[[#This Row],[Markdown percentage updated]])</f>
        <v>27.333089999999995</v>
      </c>
      <c r="L4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415" s="6">
        <v>74.28</v>
      </c>
      <c r="N4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15" s="7">
        <v>45875</v>
      </c>
      <c r="P415">
        <v>38</v>
      </c>
      <c r="Q415" s="16" t="str">
        <f>IF(Table1[[#This Row],[stock_quantity]]=0,"NO STOCK",
IF(Table1[[#This Row],[stock_quantity]]&lt;=10,"LOW STOCK",
"IN STOCK"))</f>
        <v>IN STOCK</v>
      </c>
      <c r="R415" s="1">
        <f t="shared" si="26"/>
        <v>3.4</v>
      </c>
      <c r="S415">
        <v>3.4</v>
      </c>
      <c r="T415" t="b">
        <v>1</v>
      </c>
      <c r="U415" s="13" t="str">
        <f t="shared" si="27"/>
        <v>Damaged</v>
      </c>
      <c r="V415" t="s">
        <v>78</v>
      </c>
    </row>
    <row r="416" spans="1:22" hidden="1" x14ac:dyDescent="0.3">
      <c r="A416" t="s">
        <v>469</v>
      </c>
      <c r="B416" t="s">
        <v>42</v>
      </c>
      <c r="C416" t="s">
        <v>48</v>
      </c>
      <c r="D416" t="s">
        <v>34</v>
      </c>
      <c r="E416" t="str">
        <f t="shared" si="24"/>
        <v>M</v>
      </c>
      <c r="F416" t="s">
        <v>49</v>
      </c>
      <c r="G416" t="s">
        <v>56</v>
      </c>
      <c r="H416" s="8">
        <v>71.14</v>
      </c>
      <c r="I416" s="3">
        <f t="shared" si="25"/>
        <v>0</v>
      </c>
      <c r="J416" s="4">
        <v>0</v>
      </c>
      <c r="K416" s="11">
        <f>Table1[[#This Row],[original_price]]* (Table1[[#This Row],[Markdown percentage updated]])</f>
        <v>0</v>
      </c>
      <c r="L4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16" s="6">
        <v>71.14</v>
      </c>
      <c r="N4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16" s="7">
        <v>45875</v>
      </c>
      <c r="P416">
        <v>33</v>
      </c>
      <c r="Q416" s="16" t="str">
        <f>IF(Table1[[#This Row],[stock_quantity]]=0,"NO STOCK",
IF(Table1[[#This Row],[stock_quantity]]&lt;=10,"LOW STOCK",
"IN STOCK"))</f>
        <v>IN STOCK</v>
      </c>
      <c r="R416" s="1">
        <f t="shared" si="26"/>
        <v>3.1</v>
      </c>
      <c r="S416">
        <v>3.1</v>
      </c>
      <c r="T416" t="b">
        <v>0</v>
      </c>
      <c r="U416" t="str">
        <f t="shared" si="27"/>
        <v>No Return</v>
      </c>
    </row>
    <row r="417" spans="1:22" hidden="1" x14ac:dyDescent="0.3">
      <c r="A417" t="s">
        <v>470</v>
      </c>
      <c r="B417" t="s">
        <v>42</v>
      </c>
      <c r="C417" t="s">
        <v>53</v>
      </c>
      <c r="D417" t="s">
        <v>62</v>
      </c>
      <c r="E417" t="str">
        <f t="shared" si="24"/>
        <v>XXL</v>
      </c>
      <c r="F417" t="s">
        <v>58</v>
      </c>
      <c r="G417" t="s">
        <v>46</v>
      </c>
      <c r="H417" s="8">
        <v>55.21</v>
      </c>
      <c r="I417" s="3">
        <f t="shared" si="25"/>
        <v>0</v>
      </c>
      <c r="J417" s="4">
        <v>0</v>
      </c>
      <c r="K417" s="11">
        <f>Table1[[#This Row],[original_price]]* (Table1[[#This Row],[Markdown percentage updated]])</f>
        <v>0</v>
      </c>
      <c r="L4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17" s="6">
        <v>55.21</v>
      </c>
      <c r="N4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17" s="7">
        <v>45875</v>
      </c>
      <c r="P417">
        <v>2</v>
      </c>
      <c r="Q417" s="17" t="str">
        <f>IF(Table1[[#This Row],[stock_quantity]]=0,"NO STOCK",
IF(Table1[[#This Row],[stock_quantity]]&lt;=10,"LOW STOCK",
"IN STOCK"))</f>
        <v>LOW STOCK</v>
      </c>
      <c r="R417" s="1">
        <f t="shared" si="26"/>
        <v>3.8</v>
      </c>
      <c r="S417">
        <v>3.8</v>
      </c>
      <c r="T417" t="b">
        <v>1</v>
      </c>
      <c r="U417" s="13" t="str">
        <f t="shared" si="27"/>
        <v>Wrong Item</v>
      </c>
      <c r="V417" t="s">
        <v>125</v>
      </c>
    </row>
    <row r="418" spans="1:22" hidden="1" x14ac:dyDescent="0.3">
      <c r="A418" t="s">
        <v>471</v>
      </c>
      <c r="B418" t="s">
        <v>21</v>
      </c>
      <c r="C418" t="s">
        <v>16</v>
      </c>
      <c r="D418" t="s">
        <v>62</v>
      </c>
      <c r="E418" t="str">
        <f t="shared" si="24"/>
        <v>XS</v>
      </c>
      <c r="F418" t="s">
        <v>49</v>
      </c>
      <c r="G418" t="s">
        <v>28</v>
      </c>
      <c r="H418" s="8">
        <v>94.96</v>
      </c>
      <c r="I418" s="3">
        <f t="shared" si="25"/>
        <v>0.35399999999999998</v>
      </c>
      <c r="J418" s="4">
        <v>35.4</v>
      </c>
      <c r="K418" s="11">
        <f>Table1[[#This Row],[original_price]]* (Table1[[#This Row],[Markdown percentage updated]])</f>
        <v>33.615839999999999</v>
      </c>
      <c r="L4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18" s="6">
        <v>61.34</v>
      </c>
      <c r="N4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18" s="7">
        <v>45875</v>
      </c>
      <c r="P418">
        <v>34</v>
      </c>
      <c r="Q418" s="16" t="str">
        <f>IF(Table1[[#This Row],[stock_quantity]]=0,"NO STOCK",
IF(Table1[[#This Row],[stock_quantity]]&lt;=10,"LOW STOCK",
"IN STOCK"))</f>
        <v>IN STOCK</v>
      </c>
      <c r="R418" s="1">
        <f t="shared" si="26"/>
        <v>3.9</v>
      </c>
      <c r="S418">
        <v>3.9</v>
      </c>
      <c r="T418" t="b">
        <v>0</v>
      </c>
      <c r="U418" t="str">
        <f t="shared" si="27"/>
        <v>No Return</v>
      </c>
    </row>
    <row r="419" spans="1:22" hidden="1" x14ac:dyDescent="0.3">
      <c r="A419" t="s">
        <v>472</v>
      </c>
      <c r="B419" t="s">
        <v>30</v>
      </c>
      <c r="C419" t="s">
        <v>43</v>
      </c>
      <c r="D419" t="s">
        <v>17</v>
      </c>
      <c r="E419" t="str">
        <f t="shared" si="24"/>
        <v>M</v>
      </c>
      <c r="F419" t="s">
        <v>58</v>
      </c>
      <c r="G419" t="s">
        <v>66</v>
      </c>
      <c r="H419" s="8">
        <v>138.69</v>
      </c>
      <c r="I419" s="3">
        <f t="shared" si="25"/>
        <v>0</v>
      </c>
      <c r="J419" s="4">
        <v>0</v>
      </c>
      <c r="K419" s="11">
        <f>Table1[[#This Row],[original_price]]* (Table1[[#This Row],[Markdown percentage updated]])</f>
        <v>0</v>
      </c>
      <c r="L4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19" s="6">
        <v>138.69</v>
      </c>
      <c r="N4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19" s="7">
        <v>45628</v>
      </c>
      <c r="P419">
        <v>0</v>
      </c>
      <c r="Q419" s="13" t="str">
        <f>IF(Table1[[#This Row],[stock_quantity]]=0,"NO STOCK",
IF(Table1[[#This Row],[stock_quantity]]&lt;=10,"LOW STOCK",
"IN STOCK"))</f>
        <v>NO STOCK</v>
      </c>
      <c r="R419" s="1">
        <f t="shared" si="26"/>
        <v>2.9</v>
      </c>
      <c r="S419">
        <v>2.9</v>
      </c>
      <c r="T419" t="b">
        <v>0</v>
      </c>
      <c r="U419" t="str">
        <f t="shared" si="27"/>
        <v>No Return</v>
      </c>
    </row>
    <row r="420" spans="1:22" hidden="1" x14ac:dyDescent="0.3">
      <c r="A420" t="s">
        <v>473</v>
      </c>
      <c r="B420" t="s">
        <v>15</v>
      </c>
      <c r="C420" t="s">
        <v>61</v>
      </c>
      <c r="D420" t="s">
        <v>17</v>
      </c>
      <c r="E420" t="str">
        <f t="shared" si="24"/>
        <v>L</v>
      </c>
      <c r="F420" t="s">
        <v>49</v>
      </c>
      <c r="G420" t="s">
        <v>64</v>
      </c>
      <c r="H420" s="8">
        <v>175.7</v>
      </c>
      <c r="I420" s="3">
        <f t="shared" si="25"/>
        <v>0</v>
      </c>
      <c r="J420" s="4">
        <v>0</v>
      </c>
      <c r="K420" s="11">
        <f>Table1[[#This Row],[original_price]]* (Table1[[#This Row],[Markdown percentage updated]])</f>
        <v>0</v>
      </c>
      <c r="L4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20" s="6">
        <v>175.7</v>
      </c>
      <c r="N4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20" s="7">
        <v>45711</v>
      </c>
      <c r="P420">
        <v>20</v>
      </c>
      <c r="Q420" s="16" t="str">
        <f>IF(Table1[[#This Row],[stock_quantity]]=0,"NO STOCK",
IF(Table1[[#This Row],[stock_quantity]]&lt;=10,"LOW STOCK",
"IN STOCK"))</f>
        <v>IN STOCK</v>
      </c>
      <c r="R420" s="1">
        <f t="shared" si="26"/>
        <v>3</v>
      </c>
      <c r="S420">
        <v>3</v>
      </c>
      <c r="T420" t="b">
        <v>0</v>
      </c>
      <c r="U420" t="str">
        <f t="shared" si="27"/>
        <v>No Return</v>
      </c>
    </row>
    <row r="421" spans="1:22" hidden="1" x14ac:dyDescent="0.3">
      <c r="A421" t="s">
        <v>474</v>
      </c>
      <c r="B421" t="s">
        <v>30</v>
      </c>
      <c r="C421" t="s">
        <v>22</v>
      </c>
      <c r="D421" t="s">
        <v>62</v>
      </c>
      <c r="E421" t="str">
        <f t="shared" si="24"/>
        <v>M</v>
      </c>
      <c r="F421" t="s">
        <v>55</v>
      </c>
      <c r="G421" t="s">
        <v>28</v>
      </c>
      <c r="H421" s="8">
        <v>145.18</v>
      </c>
      <c r="I421" s="3">
        <f t="shared" si="25"/>
        <v>0.35700000000000004</v>
      </c>
      <c r="J421" s="4">
        <v>35.700000000000003</v>
      </c>
      <c r="K421" s="11">
        <f>Table1[[#This Row],[original_price]]* (Table1[[#This Row],[Markdown percentage updated]])</f>
        <v>51.829260000000005</v>
      </c>
      <c r="L4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21" s="6">
        <v>93.35</v>
      </c>
      <c r="N4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21" s="7">
        <v>45875</v>
      </c>
      <c r="P421">
        <v>25</v>
      </c>
      <c r="Q421" s="16" t="str">
        <f>IF(Table1[[#This Row],[stock_quantity]]=0,"NO STOCK",
IF(Table1[[#This Row],[stock_quantity]]&lt;=10,"LOW STOCK",
"IN STOCK"))</f>
        <v>IN STOCK</v>
      </c>
      <c r="R421" s="1">
        <f t="shared" si="26"/>
        <v>2.2000000000000002</v>
      </c>
      <c r="S421">
        <v>2.2000000000000002</v>
      </c>
      <c r="T421" t="b">
        <v>0</v>
      </c>
      <c r="U421" t="str">
        <f t="shared" si="27"/>
        <v>No Return</v>
      </c>
    </row>
    <row r="422" spans="1:22" hidden="1" x14ac:dyDescent="0.3">
      <c r="A422" t="s">
        <v>475</v>
      </c>
      <c r="B422" t="s">
        <v>42</v>
      </c>
      <c r="C422" t="s">
        <v>43</v>
      </c>
      <c r="D422" t="s">
        <v>62</v>
      </c>
      <c r="E422" t="str">
        <f t="shared" si="24"/>
        <v>M</v>
      </c>
      <c r="F422" t="s">
        <v>58</v>
      </c>
      <c r="G422" t="s">
        <v>28</v>
      </c>
      <c r="H422" s="8">
        <v>169.34</v>
      </c>
      <c r="I422" s="3">
        <f t="shared" si="25"/>
        <v>0.44600000000000001</v>
      </c>
      <c r="J422" s="4">
        <v>44.6</v>
      </c>
      <c r="K422" s="11">
        <f>Table1[[#This Row],[original_price]]* (Table1[[#This Row],[Markdown percentage updated]])</f>
        <v>75.52564000000001</v>
      </c>
      <c r="L4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22" s="6">
        <v>93.81</v>
      </c>
      <c r="N4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22" s="7">
        <v>45875</v>
      </c>
      <c r="P422">
        <v>37</v>
      </c>
      <c r="Q422" s="16" t="str">
        <f>IF(Table1[[#This Row],[stock_quantity]]=0,"NO STOCK",
IF(Table1[[#This Row],[stock_quantity]]&lt;=10,"LOW STOCK",
"IN STOCK"))</f>
        <v>IN STOCK</v>
      </c>
      <c r="R422" s="1">
        <f t="shared" si="26"/>
        <v>2.7</v>
      </c>
      <c r="S422">
        <v>2.7</v>
      </c>
      <c r="T422" t="b">
        <v>0</v>
      </c>
      <c r="U422" t="str">
        <f t="shared" si="27"/>
        <v>No Return</v>
      </c>
    </row>
    <row r="423" spans="1:22" hidden="1" x14ac:dyDescent="0.3">
      <c r="A423" t="s">
        <v>476</v>
      </c>
      <c r="B423" t="s">
        <v>21</v>
      </c>
      <c r="C423" t="s">
        <v>22</v>
      </c>
      <c r="D423" t="s">
        <v>62</v>
      </c>
      <c r="E423" t="str">
        <f t="shared" si="24"/>
        <v>XL</v>
      </c>
      <c r="F423" t="s">
        <v>24</v>
      </c>
      <c r="G423" t="s">
        <v>19</v>
      </c>
      <c r="H423" s="8">
        <v>103.14</v>
      </c>
      <c r="I423" s="3">
        <f t="shared" si="25"/>
        <v>0</v>
      </c>
      <c r="J423" s="4">
        <v>0</v>
      </c>
      <c r="K423" s="11">
        <f>Table1[[#This Row],[original_price]]* (Table1[[#This Row],[Markdown percentage updated]])</f>
        <v>0</v>
      </c>
      <c r="L4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23" s="6">
        <v>103.14</v>
      </c>
      <c r="N4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23" s="7">
        <v>45875</v>
      </c>
      <c r="P423">
        <v>13</v>
      </c>
      <c r="Q423" s="16" t="str">
        <f>IF(Table1[[#This Row],[stock_quantity]]=0,"NO STOCK",
IF(Table1[[#This Row],[stock_quantity]]&lt;=10,"LOW STOCK",
"IN STOCK"))</f>
        <v>IN STOCK</v>
      </c>
      <c r="R423" s="1">
        <f t="shared" si="26"/>
        <v>4.5</v>
      </c>
      <c r="S423">
        <v>4.5</v>
      </c>
      <c r="T423" t="b">
        <v>0</v>
      </c>
      <c r="U423" t="str">
        <f t="shared" si="27"/>
        <v>No Return</v>
      </c>
    </row>
    <row r="424" spans="1:22" hidden="1" x14ac:dyDescent="0.3">
      <c r="A424" t="s">
        <v>477</v>
      </c>
      <c r="B424" t="s">
        <v>21</v>
      </c>
      <c r="C424" t="s">
        <v>43</v>
      </c>
      <c r="D424" t="s">
        <v>34</v>
      </c>
      <c r="E424" t="str">
        <f t="shared" si="24"/>
        <v>XL</v>
      </c>
      <c r="F424" t="s">
        <v>58</v>
      </c>
      <c r="G424" t="s">
        <v>56</v>
      </c>
      <c r="H424" s="8">
        <v>97.47</v>
      </c>
      <c r="I424" s="3">
        <f t="shared" si="25"/>
        <v>0.32</v>
      </c>
      <c r="J424" s="4">
        <v>32</v>
      </c>
      <c r="K424" s="11">
        <f>Table1[[#This Row],[original_price]]* (Table1[[#This Row],[Markdown percentage updated]])</f>
        <v>31.1904</v>
      </c>
      <c r="L4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24" s="6">
        <v>66.28</v>
      </c>
      <c r="N4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24" s="7">
        <v>45875</v>
      </c>
      <c r="P424">
        <v>27</v>
      </c>
      <c r="Q424" s="16" t="str">
        <f>IF(Table1[[#This Row],[stock_quantity]]=0,"NO STOCK",
IF(Table1[[#This Row],[stock_quantity]]&lt;=10,"LOW STOCK",
"IN STOCK"))</f>
        <v>IN STOCK</v>
      </c>
      <c r="R424" s="1">
        <f t="shared" si="26"/>
        <v>3</v>
      </c>
      <c r="S424">
        <v>3</v>
      </c>
      <c r="T424" t="b">
        <v>0</v>
      </c>
      <c r="U424" t="str">
        <f t="shared" si="27"/>
        <v>No Return</v>
      </c>
    </row>
    <row r="425" spans="1:22" hidden="1" x14ac:dyDescent="0.3">
      <c r="A425" t="s">
        <v>478</v>
      </c>
      <c r="B425" t="s">
        <v>42</v>
      </c>
      <c r="C425" t="s">
        <v>53</v>
      </c>
      <c r="D425" t="s">
        <v>17</v>
      </c>
      <c r="E425" t="str">
        <f t="shared" si="24"/>
        <v>OS</v>
      </c>
      <c r="F425" t="s">
        <v>58</v>
      </c>
      <c r="G425" t="s">
        <v>64</v>
      </c>
      <c r="H425" s="8">
        <v>50.69</v>
      </c>
      <c r="I425" s="3">
        <f t="shared" si="25"/>
        <v>0.26300000000000001</v>
      </c>
      <c r="J425" s="4">
        <v>26.3</v>
      </c>
      <c r="K425" s="11">
        <f>Table1[[#This Row],[original_price]]* (Table1[[#This Row],[Markdown percentage updated]])</f>
        <v>13.331469999999999</v>
      </c>
      <c r="L4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425" s="6">
        <v>37.36</v>
      </c>
      <c r="N4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425" s="7">
        <v>45594</v>
      </c>
      <c r="P425">
        <v>37</v>
      </c>
      <c r="Q425" s="16" t="str">
        <f>IF(Table1[[#This Row],[stock_quantity]]=0,"NO STOCK",
IF(Table1[[#This Row],[stock_quantity]]&lt;=10,"LOW STOCK",
"IN STOCK"))</f>
        <v>IN STOCK</v>
      </c>
      <c r="R425" s="1">
        <f t="shared" si="26"/>
        <v>4.0999999999999996</v>
      </c>
      <c r="S425">
        <v>4.0999999999999996</v>
      </c>
      <c r="T425" t="b">
        <v>0</v>
      </c>
      <c r="U425" t="str">
        <f t="shared" si="27"/>
        <v>No Return</v>
      </c>
    </row>
    <row r="426" spans="1:22" hidden="1" x14ac:dyDescent="0.3">
      <c r="A426" t="s">
        <v>479</v>
      </c>
      <c r="B426" t="s">
        <v>15</v>
      </c>
      <c r="C426" t="s">
        <v>32</v>
      </c>
      <c r="D426" t="s">
        <v>34</v>
      </c>
      <c r="E426" t="str">
        <f t="shared" si="24"/>
        <v>XXL</v>
      </c>
      <c r="F426" t="s">
        <v>18</v>
      </c>
      <c r="G426" t="s">
        <v>28</v>
      </c>
      <c r="H426" s="8">
        <v>127.75</v>
      </c>
      <c r="I426" s="3">
        <f t="shared" si="25"/>
        <v>0</v>
      </c>
      <c r="J426" s="4">
        <v>0</v>
      </c>
      <c r="K426" s="11">
        <f>Table1[[#This Row],[original_price]]* (Table1[[#This Row],[Markdown percentage updated]])</f>
        <v>0</v>
      </c>
      <c r="L4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26" s="6">
        <v>127.75</v>
      </c>
      <c r="N4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26" s="7">
        <v>45875</v>
      </c>
      <c r="P426">
        <v>32</v>
      </c>
      <c r="Q426" s="16" t="str">
        <f>IF(Table1[[#This Row],[stock_quantity]]=0,"NO STOCK",
IF(Table1[[#This Row],[stock_quantity]]&lt;=10,"LOW STOCK",
"IN STOCK"))</f>
        <v>IN STOCK</v>
      </c>
      <c r="R426" s="1">
        <f t="shared" si="26"/>
        <v>3.6</v>
      </c>
      <c r="S426">
        <v>3.6</v>
      </c>
      <c r="T426" t="b">
        <v>0</v>
      </c>
      <c r="U426" t="str">
        <f t="shared" si="27"/>
        <v>No Return</v>
      </c>
    </row>
    <row r="427" spans="1:22" hidden="1" x14ac:dyDescent="0.3">
      <c r="A427" t="s">
        <v>480</v>
      </c>
      <c r="B427" t="s">
        <v>21</v>
      </c>
      <c r="C427" t="s">
        <v>75</v>
      </c>
      <c r="D427" t="s">
        <v>23</v>
      </c>
      <c r="E427" t="str">
        <f t="shared" si="24"/>
        <v>XL</v>
      </c>
      <c r="F427" t="s">
        <v>18</v>
      </c>
      <c r="G427" t="s">
        <v>28</v>
      </c>
      <c r="H427" s="8">
        <v>111.64</v>
      </c>
      <c r="I427" s="3">
        <f t="shared" si="25"/>
        <v>0</v>
      </c>
      <c r="J427" s="4">
        <v>0</v>
      </c>
      <c r="K427" s="11">
        <f>Table1[[#This Row],[original_price]]* (Table1[[#This Row],[Markdown percentage updated]])</f>
        <v>0</v>
      </c>
      <c r="L4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27" s="6">
        <v>111.64</v>
      </c>
      <c r="N4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27" s="7">
        <v>45875</v>
      </c>
      <c r="P427">
        <v>13</v>
      </c>
      <c r="Q427" s="16" t="str">
        <f>IF(Table1[[#This Row],[stock_quantity]]=0,"NO STOCK",
IF(Table1[[#This Row],[stock_quantity]]&lt;=10,"LOW STOCK",
"IN STOCK"))</f>
        <v>IN STOCK</v>
      </c>
      <c r="R427" s="1">
        <f t="shared" si="26"/>
        <v>4.8</v>
      </c>
      <c r="S427">
        <v>4.8</v>
      </c>
      <c r="T427" t="b">
        <v>0</v>
      </c>
      <c r="U427" t="str">
        <f t="shared" si="27"/>
        <v>No Return</v>
      </c>
    </row>
    <row r="428" spans="1:22" hidden="1" x14ac:dyDescent="0.3">
      <c r="A428" t="s">
        <v>481</v>
      </c>
      <c r="B428" t="s">
        <v>30</v>
      </c>
      <c r="C428" t="s">
        <v>22</v>
      </c>
      <c r="D428" t="s">
        <v>34</v>
      </c>
      <c r="E428" t="str">
        <f t="shared" si="24"/>
        <v>OS</v>
      </c>
      <c r="G428" t="s">
        <v>66</v>
      </c>
      <c r="H428" s="8">
        <v>134.6</v>
      </c>
      <c r="I428" s="3">
        <f t="shared" si="25"/>
        <v>0.11599999999999999</v>
      </c>
      <c r="J428" s="4">
        <v>11.6</v>
      </c>
      <c r="K428" s="11">
        <f>Table1[[#This Row],[original_price]]* (Table1[[#This Row],[Markdown percentage updated]])</f>
        <v>15.613599999999998</v>
      </c>
      <c r="L4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28" s="6">
        <v>118.99</v>
      </c>
      <c r="N4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428" s="7">
        <v>45875</v>
      </c>
      <c r="P428">
        <v>47</v>
      </c>
      <c r="Q428" s="16" t="str">
        <f>IF(Table1[[#This Row],[stock_quantity]]=0,"NO STOCK",
IF(Table1[[#This Row],[stock_quantity]]&lt;=10,"LOW STOCK",
"IN STOCK"))</f>
        <v>IN STOCK</v>
      </c>
      <c r="R428" s="1">
        <f t="shared" si="26"/>
        <v>3.9</v>
      </c>
      <c r="S428">
        <v>3.9</v>
      </c>
      <c r="T428" t="b">
        <v>0</v>
      </c>
      <c r="U428" t="str">
        <f t="shared" si="27"/>
        <v>No Return</v>
      </c>
    </row>
    <row r="429" spans="1:22" hidden="1" x14ac:dyDescent="0.3">
      <c r="A429" t="s">
        <v>482</v>
      </c>
      <c r="B429" t="s">
        <v>38</v>
      </c>
      <c r="C429" t="s">
        <v>16</v>
      </c>
      <c r="D429" t="s">
        <v>17</v>
      </c>
      <c r="E429" t="str">
        <f t="shared" si="24"/>
        <v>OS</v>
      </c>
      <c r="F429" t="s">
        <v>49</v>
      </c>
      <c r="G429" t="s">
        <v>66</v>
      </c>
      <c r="H429" s="8">
        <v>56.05</v>
      </c>
      <c r="I429" s="3">
        <f t="shared" si="25"/>
        <v>0</v>
      </c>
      <c r="J429" s="4">
        <v>0</v>
      </c>
      <c r="K429" s="11">
        <f>Table1[[#This Row],[original_price]]* (Table1[[#This Row],[Markdown percentage updated]])</f>
        <v>0</v>
      </c>
      <c r="L4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29" s="6">
        <v>56.05</v>
      </c>
      <c r="N4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29" s="7">
        <v>45854</v>
      </c>
      <c r="P429">
        <v>9</v>
      </c>
      <c r="Q429" s="17" t="str">
        <f>IF(Table1[[#This Row],[stock_quantity]]=0,"NO STOCK",
IF(Table1[[#This Row],[stock_quantity]]&lt;=10,"LOW STOCK",
"IN STOCK"))</f>
        <v>LOW STOCK</v>
      </c>
      <c r="R429" s="1">
        <f t="shared" si="26"/>
        <v>0</v>
      </c>
      <c r="T429" t="b">
        <v>0</v>
      </c>
      <c r="U429" t="str">
        <f t="shared" si="27"/>
        <v>No Return</v>
      </c>
    </row>
    <row r="430" spans="1:22" hidden="1" x14ac:dyDescent="0.3">
      <c r="A430" t="s">
        <v>483</v>
      </c>
      <c r="B430" t="s">
        <v>42</v>
      </c>
      <c r="C430" t="s">
        <v>32</v>
      </c>
      <c r="D430" t="s">
        <v>34</v>
      </c>
      <c r="E430" t="str">
        <f t="shared" si="24"/>
        <v>L</v>
      </c>
      <c r="F430" t="s">
        <v>18</v>
      </c>
      <c r="G430" t="s">
        <v>66</v>
      </c>
      <c r="H430" s="8">
        <v>106.2</v>
      </c>
      <c r="I430" s="3">
        <f t="shared" si="25"/>
        <v>0</v>
      </c>
      <c r="J430" s="4">
        <v>0</v>
      </c>
      <c r="K430" s="11">
        <f>Table1[[#This Row],[original_price]]* (Table1[[#This Row],[Markdown percentage updated]])</f>
        <v>0</v>
      </c>
      <c r="L4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30" s="6">
        <v>106.2</v>
      </c>
      <c r="N4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30" s="7">
        <v>45875</v>
      </c>
      <c r="P430">
        <v>35</v>
      </c>
      <c r="Q430" s="16" t="str">
        <f>IF(Table1[[#This Row],[stock_quantity]]=0,"NO STOCK",
IF(Table1[[#This Row],[stock_quantity]]&lt;=10,"LOW STOCK",
"IN STOCK"))</f>
        <v>IN STOCK</v>
      </c>
      <c r="R430" s="1">
        <f t="shared" si="26"/>
        <v>4.5</v>
      </c>
      <c r="S430">
        <v>4.5</v>
      </c>
      <c r="T430" t="b">
        <v>0</v>
      </c>
      <c r="U430" t="str">
        <f t="shared" si="27"/>
        <v>No Return</v>
      </c>
    </row>
    <row r="431" spans="1:22" hidden="1" x14ac:dyDescent="0.3">
      <c r="A431" t="s">
        <v>484</v>
      </c>
      <c r="B431" t="s">
        <v>30</v>
      </c>
      <c r="C431" t="s">
        <v>43</v>
      </c>
      <c r="D431" t="s">
        <v>34</v>
      </c>
      <c r="E431" t="str">
        <f t="shared" si="24"/>
        <v>M</v>
      </c>
      <c r="G431" t="s">
        <v>46</v>
      </c>
      <c r="H431" s="8">
        <v>104.26</v>
      </c>
      <c r="I431" s="3">
        <f t="shared" si="25"/>
        <v>0.20600000000000002</v>
      </c>
      <c r="J431" s="4">
        <v>20.6</v>
      </c>
      <c r="K431" s="11">
        <f>Table1[[#This Row],[original_price]]* (Table1[[#This Row],[Markdown percentage updated]])</f>
        <v>21.477560000000004</v>
      </c>
      <c r="L4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431" s="6">
        <v>82.78</v>
      </c>
      <c r="N4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31" s="7">
        <v>45875</v>
      </c>
      <c r="P431">
        <v>31</v>
      </c>
      <c r="Q431" s="16" t="str">
        <f>IF(Table1[[#This Row],[stock_quantity]]=0,"NO STOCK",
IF(Table1[[#This Row],[stock_quantity]]&lt;=10,"LOW STOCK",
"IN STOCK"))</f>
        <v>IN STOCK</v>
      </c>
      <c r="R431" s="1">
        <f t="shared" si="26"/>
        <v>3</v>
      </c>
      <c r="S431">
        <v>3</v>
      </c>
      <c r="T431" t="b">
        <v>0</v>
      </c>
      <c r="U431" t="str">
        <f t="shared" si="27"/>
        <v>No Return</v>
      </c>
    </row>
    <row r="432" spans="1:22" hidden="1" x14ac:dyDescent="0.3">
      <c r="A432" t="s">
        <v>485</v>
      </c>
      <c r="B432" t="s">
        <v>27</v>
      </c>
      <c r="C432" t="s">
        <v>22</v>
      </c>
      <c r="D432" t="s">
        <v>17</v>
      </c>
      <c r="E432" t="str">
        <f t="shared" si="24"/>
        <v>XS</v>
      </c>
      <c r="G432" t="s">
        <v>66</v>
      </c>
      <c r="H432" s="8">
        <v>24.53</v>
      </c>
      <c r="I432" s="3">
        <f t="shared" si="25"/>
        <v>0</v>
      </c>
      <c r="J432" s="4">
        <v>0</v>
      </c>
      <c r="K432" s="11">
        <f>Table1[[#This Row],[original_price]]* (Table1[[#This Row],[Markdown percentage updated]])</f>
        <v>0</v>
      </c>
      <c r="L4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32" s="6">
        <v>24.53</v>
      </c>
      <c r="N4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32" s="7">
        <v>45524</v>
      </c>
      <c r="P432">
        <v>44</v>
      </c>
      <c r="Q432" s="16" t="str">
        <f>IF(Table1[[#This Row],[stock_quantity]]=0,"NO STOCK",
IF(Table1[[#This Row],[stock_quantity]]&lt;=10,"LOW STOCK",
"IN STOCK"))</f>
        <v>IN STOCK</v>
      </c>
      <c r="R432" s="1">
        <f t="shared" si="26"/>
        <v>4.2</v>
      </c>
      <c r="S432">
        <v>4.2</v>
      </c>
      <c r="T432" t="b">
        <v>0</v>
      </c>
      <c r="U432" t="str">
        <f t="shared" si="27"/>
        <v>No Return</v>
      </c>
    </row>
    <row r="433" spans="1:22" hidden="1" x14ac:dyDescent="0.3">
      <c r="A433" t="s">
        <v>486</v>
      </c>
      <c r="B433" t="s">
        <v>30</v>
      </c>
      <c r="C433" t="s">
        <v>43</v>
      </c>
      <c r="D433" t="s">
        <v>17</v>
      </c>
      <c r="E433" t="str">
        <f t="shared" si="24"/>
        <v>XL</v>
      </c>
      <c r="F433" t="s">
        <v>24</v>
      </c>
      <c r="G433" t="s">
        <v>46</v>
      </c>
      <c r="H433" s="8">
        <v>131.25</v>
      </c>
      <c r="I433" s="3">
        <f t="shared" si="25"/>
        <v>0</v>
      </c>
      <c r="J433" s="4">
        <v>0</v>
      </c>
      <c r="K433" s="11">
        <f>Table1[[#This Row],[original_price]]* (Table1[[#This Row],[Markdown percentage updated]])</f>
        <v>0</v>
      </c>
      <c r="L4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33" s="6">
        <v>131.25</v>
      </c>
      <c r="N4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33" s="7">
        <v>45826</v>
      </c>
      <c r="P433">
        <v>12</v>
      </c>
      <c r="Q433" s="16" t="str">
        <f>IF(Table1[[#This Row],[stock_quantity]]=0,"NO STOCK",
IF(Table1[[#This Row],[stock_quantity]]&lt;=10,"LOW STOCK",
"IN STOCK"))</f>
        <v>IN STOCK</v>
      </c>
      <c r="R433" s="1">
        <f t="shared" si="26"/>
        <v>1.6</v>
      </c>
      <c r="S433">
        <v>1.6</v>
      </c>
      <c r="T433" t="b">
        <v>0</v>
      </c>
      <c r="U433" t="str">
        <f t="shared" si="27"/>
        <v>No Return</v>
      </c>
    </row>
    <row r="434" spans="1:22" hidden="1" x14ac:dyDescent="0.3">
      <c r="A434" t="s">
        <v>487</v>
      </c>
      <c r="B434" t="s">
        <v>38</v>
      </c>
      <c r="C434" t="s">
        <v>75</v>
      </c>
      <c r="D434" t="s">
        <v>34</v>
      </c>
      <c r="E434" t="str">
        <f t="shared" si="24"/>
        <v>XL</v>
      </c>
      <c r="F434" t="s">
        <v>58</v>
      </c>
      <c r="G434" t="s">
        <v>19</v>
      </c>
      <c r="H434" s="8">
        <v>72.849999999999994</v>
      </c>
      <c r="I434" s="3">
        <f t="shared" si="25"/>
        <v>0</v>
      </c>
      <c r="J434" s="4">
        <v>0</v>
      </c>
      <c r="K434" s="11">
        <f>Table1[[#This Row],[original_price]]* (Table1[[#This Row],[Markdown percentage updated]])</f>
        <v>0</v>
      </c>
      <c r="L4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34" s="6">
        <v>72.849999999999994</v>
      </c>
      <c r="N4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34" s="7">
        <v>45875</v>
      </c>
      <c r="P434">
        <v>25</v>
      </c>
      <c r="Q434" s="16" t="str">
        <f>IF(Table1[[#This Row],[stock_quantity]]=0,"NO STOCK",
IF(Table1[[#This Row],[stock_quantity]]&lt;=10,"LOW STOCK",
"IN STOCK"))</f>
        <v>IN STOCK</v>
      </c>
      <c r="R434" s="1">
        <f t="shared" si="26"/>
        <v>3.8</v>
      </c>
      <c r="S434">
        <v>3.8</v>
      </c>
      <c r="T434" t="b">
        <v>0</v>
      </c>
      <c r="U434" t="str">
        <f t="shared" si="27"/>
        <v>No Return</v>
      </c>
    </row>
    <row r="435" spans="1:22" hidden="1" x14ac:dyDescent="0.3">
      <c r="A435" t="s">
        <v>488</v>
      </c>
      <c r="B435" t="s">
        <v>30</v>
      </c>
      <c r="C435" t="s">
        <v>16</v>
      </c>
      <c r="D435" t="s">
        <v>23</v>
      </c>
      <c r="E435" t="str">
        <f t="shared" si="24"/>
        <v>L</v>
      </c>
      <c r="F435" t="s">
        <v>55</v>
      </c>
      <c r="G435" t="s">
        <v>46</v>
      </c>
      <c r="H435" s="8">
        <v>135.38999999999999</v>
      </c>
      <c r="I435" s="3">
        <f t="shared" si="25"/>
        <v>0</v>
      </c>
      <c r="J435" s="4">
        <v>0</v>
      </c>
      <c r="K435" s="11">
        <f>Table1[[#This Row],[original_price]]* (Table1[[#This Row],[Markdown percentage updated]])</f>
        <v>0</v>
      </c>
      <c r="L4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35" s="6">
        <v>135.38999999999999</v>
      </c>
      <c r="N4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35" s="7">
        <v>45875</v>
      </c>
      <c r="P435">
        <v>26</v>
      </c>
      <c r="Q435" s="16" t="str">
        <f>IF(Table1[[#This Row],[stock_quantity]]=0,"NO STOCK",
IF(Table1[[#This Row],[stock_quantity]]&lt;=10,"LOW STOCK",
"IN STOCK"))</f>
        <v>IN STOCK</v>
      </c>
      <c r="R435" s="1">
        <f t="shared" si="26"/>
        <v>3.9</v>
      </c>
      <c r="S435">
        <v>3.9</v>
      </c>
      <c r="T435" t="b">
        <v>0</v>
      </c>
      <c r="U435" t="str">
        <f t="shared" si="27"/>
        <v>No Return</v>
      </c>
    </row>
    <row r="436" spans="1:22" hidden="1" x14ac:dyDescent="0.3">
      <c r="A436" t="s">
        <v>489</v>
      </c>
      <c r="B436" t="s">
        <v>30</v>
      </c>
      <c r="C436" t="s">
        <v>16</v>
      </c>
      <c r="D436" t="s">
        <v>23</v>
      </c>
      <c r="E436" t="str">
        <f t="shared" si="24"/>
        <v>L</v>
      </c>
      <c r="F436" t="s">
        <v>18</v>
      </c>
      <c r="G436" t="s">
        <v>64</v>
      </c>
      <c r="H436" s="8">
        <v>166.94</v>
      </c>
      <c r="I436" s="3">
        <f t="shared" si="25"/>
        <v>4.2000000000000003E-2</v>
      </c>
      <c r="J436" s="4">
        <v>4.2</v>
      </c>
      <c r="K436" s="11">
        <f>Table1[[#This Row],[original_price]]* (Table1[[#This Row],[Markdown percentage updated]])</f>
        <v>7.0114800000000006</v>
      </c>
      <c r="L4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36" s="6">
        <v>159.93</v>
      </c>
      <c r="N4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436" s="7">
        <v>45875</v>
      </c>
      <c r="P436">
        <v>17</v>
      </c>
      <c r="Q436" s="16" t="str">
        <f>IF(Table1[[#This Row],[stock_quantity]]=0,"NO STOCK",
IF(Table1[[#This Row],[stock_quantity]]&lt;=10,"LOW STOCK",
"IN STOCK"))</f>
        <v>IN STOCK</v>
      </c>
      <c r="R436" s="1">
        <f t="shared" si="26"/>
        <v>2.6</v>
      </c>
      <c r="S436">
        <v>2.6</v>
      </c>
      <c r="T436" t="b">
        <v>1</v>
      </c>
      <c r="U436" s="13" t="str">
        <f t="shared" si="27"/>
        <v>Color Mismatch</v>
      </c>
      <c r="V436" t="s">
        <v>36</v>
      </c>
    </row>
    <row r="437" spans="1:22" hidden="1" x14ac:dyDescent="0.3">
      <c r="A437" t="s">
        <v>490</v>
      </c>
      <c r="B437" t="s">
        <v>30</v>
      </c>
      <c r="C437" t="s">
        <v>32</v>
      </c>
      <c r="D437" t="s">
        <v>17</v>
      </c>
      <c r="E437" t="str">
        <f t="shared" si="24"/>
        <v>L</v>
      </c>
      <c r="F437" t="s">
        <v>18</v>
      </c>
      <c r="G437" t="s">
        <v>46</v>
      </c>
      <c r="H437" s="8">
        <v>135.36000000000001</v>
      </c>
      <c r="I437" s="3">
        <f t="shared" si="25"/>
        <v>0.41700000000000004</v>
      </c>
      <c r="J437" s="4">
        <v>41.7</v>
      </c>
      <c r="K437" s="11">
        <f>Table1[[#This Row],[original_price]]* (Table1[[#This Row],[Markdown percentage updated]])</f>
        <v>56.44512000000001</v>
      </c>
      <c r="L4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37" s="6">
        <v>78.91</v>
      </c>
      <c r="N4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37" s="7">
        <v>45646</v>
      </c>
      <c r="P437">
        <v>17</v>
      </c>
      <c r="Q437" s="16" t="str">
        <f>IF(Table1[[#This Row],[stock_quantity]]=0,"NO STOCK",
IF(Table1[[#This Row],[stock_quantity]]&lt;=10,"LOW STOCK",
"IN STOCK"))</f>
        <v>IN STOCK</v>
      </c>
      <c r="R437" s="1">
        <f t="shared" si="26"/>
        <v>4.3</v>
      </c>
      <c r="S437">
        <v>4.3</v>
      </c>
      <c r="T437" t="b">
        <v>0</v>
      </c>
      <c r="U437" t="str">
        <f t="shared" si="27"/>
        <v>No Return</v>
      </c>
    </row>
    <row r="438" spans="1:22" hidden="1" x14ac:dyDescent="0.3">
      <c r="A438" t="s">
        <v>491</v>
      </c>
      <c r="B438" t="s">
        <v>38</v>
      </c>
      <c r="C438" t="s">
        <v>53</v>
      </c>
      <c r="D438" t="s">
        <v>17</v>
      </c>
      <c r="E438" t="str">
        <f t="shared" si="24"/>
        <v>XS</v>
      </c>
      <c r="F438" t="s">
        <v>24</v>
      </c>
      <c r="G438" t="s">
        <v>44</v>
      </c>
      <c r="H438" s="8">
        <v>96.05</v>
      </c>
      <c r="I438" s="3">
        <f t="shared" si="25"/>
        <v>0</v>
      </c>
      <c r="J438" s="4">
        <v>0</v>
      </c>
      <c r="K438" s="11">
        <f>Table1[[#This Row],[original_price]]* (Table1[[#This Row],[Markdown percentage updated]])</f>
        <v>0</v>
      </c>
      <c r="L4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38" s="6">
        <v>96.05</v>
      </c>
      <c r="N4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38" s="7">
        <v>45544</v>
      </c>
      <c r="P438">
        <v>15</v>
      </c>
      <c r="Q438" s="16" t="str">
        <f>IF(Table1[[#This Row],[stock_quantity]]=0,"NO STOCK",
IF(Table1[[#This Row],[stock_quantity]]&lt;=10,"LOW STOCK",
"IN STOCK"))</f>
        <v>IN STOCK</v>
      </c>
      <c r="R438" s="1">
        <f t="shared" si="26"/>
        <v>4</v>
      </c>
      <c r="S438">
        <v>4</v>
      </c>
      <c r="T438" t="b">
        <v>0</v>
      </c>
      <c r="U438" t="str">
        <f t="shared" si="27"/>
        <v>No Return</v>
      </c>
    </row>
    <row r="439" spans="1:22" x14ac:dyDescent="0.3">
      <c r="A439" t="s">
        <v>492</v>
      </c>
      <c r="B439" t="s">
        <v>15</v>
      </c>
      <c r="C439" t="s">
        <v>48</v>
      </c>
      <c r="D439" t="s">
        <v>62</v>
      </c>
      <c r="E439" t="str">
        <f t="shared" si="24"/>
        <v>L</v>
      </c>
      <c r="F439" t="s">
        <v>24</v>
      </c>
      <c r="G439" t="s">
        <v>19</v>
      </c>
      <c r="H439" s="8">
        <v>116.1</v>
      </c>
      <c r="I439" s="3">
        <f t="shared" si="25"/>
        <v>0</v>
      </c>
      <c r="J439" s="4">
        <v>0</v>
      </c>
      <c r="K439" s="11">
        <f>Table1[[#This Row],[original_price]]* (Table1[[#This Row],[Markdown percentage updated]])</f>
        <v>0</v>
      </c>
      <c r="L4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39" s="6">
        <v>116.1</v>
      </c>
      <c r="N4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39" s="7">
        <v>45875</v>
      </c>
      <c r="P439">
        <v>27</v>
      </c>
      <c r="Q439" s="16" t="str">
        <f>IF(Table1[[#This Row],[stock_quantity]]=0,"NO STOCK",
IF(Table1[[#This Row],[stock_quantity]]&lt;=10,"LOW STOCK",
"IN STOCK"))</f>
        <v>IN STOCK</v>
      </c>
      <c r="R439" s="1">
        <f t="shared" si="26"/>
        <v>3.6</v>
      </c>
      <c r="S439">
        <v>3.6</v>
      </c>
      <c r="T439" t="b">
        <v>1</v>
      </c>
      <c r="U439" s="13" t="str">
        <f t="shared" si="27"/>
        <v>Changed Mind</v>
      </c>
      <c r="V439" t="s">
        <v>115</v>
      </c>
    </row>
    <row r="440" spans="1:22" hidden="1" x14ac:dyDescent="0.3">
      <c r="A440" t="s">
        <v>493</v>
      </c>
      <c r="B440" t="s">
        <v>30</v>
      </c>
      <c r="C440" t="s">
        <v>43</v>
      </c>
      <c r="D440" t="s">
        <v>34</v>
      </c>
      <c r="E440" t="str">
        <f t="shared" si="24"/>
        <v>OS</v>
      </c>
      <c r="F440" t="s">
        <v>24</v>
      </c>
      <c r="G440" t="s">
        <v>28</v>
      </c>
      <c r="H440" s="8">
        <v>91.53</v>
      </c>
      <c r="I440" s="3">
        <f t="shared" si="25"/>
        <v>0</v>
      </c>
      <c r="J440" s="4">
        <v>0</v>
      </c>
      <c r="K440" s="11">
        <f>Table1[[#This Row],[original_price]]* (Table1[[#This Row],[Markdown percentage updated]])</f>
        <v>0</v>
      </c>
      <c r="L4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40" s="6">
        <v>91.53</v>
      </c>
      <c r="N4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40" s="7">
        <v>45875</v>
      </c>
      <c r="P440">
        <v>8</v>
      </c>
      <c r="Q440" s="17" t="str">
        <f>IF(Table1[[#This Row],[stock_quantity]]=0,"NO STOCK",
IF(Table1[[#This Row],[stock_quantity]]&lt;=10,"LOW STOCK",
"IN STOCK"))</f>
        <v>LOW STOCK</v>
      </c>
      <c r="R440" s="1">
        <f t="shared" si="26"/>
        <v>1.5</v>
      </c>
      <c r="S440">
        <v>1.5</v>
      </c>
      <c r="T440" t="b">
        <v>0</v>
      </c>
      <c r="U440" t="str">
        <f t="shared" si="27"/>
        <v>No Return</v>
      </c>
    </row>
    <row r="441" spans="1:22" hidden="1" x14ac:dyDescent="0.3">
      <c r="A441" t="s">
        <v>494</v>
      </c>
      <c r="B441" t="s">
        <v>38</v>
      </c>
      <c r="C441" t="s">
        <v>16</v>
      </c>
      <c r="D441" t="s">
        <v>23</v>
      </c>
      <c r="E441" t="str">
        <f t="shared" si="24"/>
        <v>OS</v>
      </c>
      <c r="F441" t="s">
        <v>55</v>
      </c>
      <c r="G441" t="s">
        <v>40</v>
      </c>
      <c r="H441" s="8">
        <v>102.16</v>
      </c>
      <c r="I441" s="3">
        <f t="shared" si="25"/>
        <v>0</v>
      </c>
      <c r="J441" s="4">
        <v>0</v>
      </c>
      <c r="K441" s="11">
        <f>Table1[[#This Row],[original_price]]* (Table1[[#This Row],[Markdown percentage updated]])</f>
        <v>0</v>
      </c>
      <c r="L4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41" s="6">
        <v>102.16</v>
      </c>
      <c r="N4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41" s="7">
        <v>45875</v>
      </c>
      <c r="P441">
        <v>50</v>
      </c>
      <c r="Q441" s="16" t="str">
        <f>IF(Table1[[#This Row],[stock_quantity]]=0,"NO STOCK",
IF(Table1[[#This Row],[stock_quantity]]&lt;=10,"LOW STOCK",
"IN STOCK"))</f>
        <v>IN STOCK</v>
      </c>
      <c r="R441" s="1">
        <f t="shared" si="26"/>
        <v>0</v>
      </c>
      <c r="T441" t="b">
        <v>0</v>
      </c>
      <c r="U441" t="str">
        <f t="shared" si="27"/>
        <v>No Return</v>
      </c>
    </row>
    <row r="442" spans="1:22" hidden="1" x14ac:dyDescent="0.3">
      <c r="A442" t="s">
        <v>495</v>
      </c>
      <c r="B442" t="s">
        <v>30</v>
      </c>
      <c r="C442" t="s">
        <v>22</v>
      </c>
      <c r="D442" t="s">
        <v>23</v>
      </c>
      <c r="E442" t="str">
        <f t="shared" si="24"/>
        <v>L</v>
      </c>
      <c r="F442" t="s">
        <v>24</v>
      </c>
      <c r="G442" t="s">
        <v>40</v>
      </c>
      <c r="H442" s="8">
        <v>67.739999999999995</v>
      </c>
      <c r="I442" s="3">
        <f t="shared" si="25"/>
        <v>3.3000000000000002E-2</v>
      </c>
      <c r="J442" s="4">
        <v>3.3</v>
      </c>
      <c r="K442" s="11">
        <f>Table1[[#This Row],[original_price]]* (Table1[[#This Row],[Markdown percentage updated]])</f>
        <v>2.23542</v>
      </c>
      <c r="L4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42" s="6">
        <v>65.5</v>
      </c>
      <c r="N4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442" s="7">
        <v>45875</v>
      </c>
      <c r="P442">
        <v>23</v>
      </c>
      <c r="Q442" s="16" t="str">
        <f>IF(Table1[[#This Row],[stock_quantity]]=0,"NO STOCK",
IF(Table1[[#This Row],[stock_quantity]]&lt;=10,"LOW STOCK",
"IN STOCK"))</f>
        <v>IN STOCK</v>
      </c>
      <c r="R442" s="1">
        <f t="shared" si="26"/>
        <v>1.5</v>
      </c>
      <c r="S442">
        <v>1.5</v>
      </c>
      <c r="T442" t="b">
        <v>0</v>
      </c>
      <c r="U442" t="str">
        <f t="shared" si="27"/>
        <v>No Return</v>
      </c>
    </row>
    <row r="443" spans="1:22" hidden="1" x14ac:dyDescent="0.3">
      <c r="A443" t="s">
        <v>496</v>
      </c>
      <c r="B443" t="s">
        <v>27</v>
      </c>
      <c r="C443" t="s">
        <v>32</v>
      </c>
      <c r="D443" t="s">
        <v>23</v>
      </c>
      <c r="E443" t="str">
        <f t="shared" si="24"/>
        <v>OS</v>
      </c>
      <c r="G443" t="s">
        <v>46</v>
      </c>
      <c r="H443" s="8">
        <v>38.340000000000003</v>
      </c>
      <c r="I443" s="3">
        <f t="shared" si="25"/>
        <v>0</v>
      </c>
      <c r="J443" s="4">
        <v>0</v>
      </c>
      <c r="K443" s="11">
        <f>Table1[[#This Row],[original_price]]* (Table1[[#This Row],[Markdown percentage updated]])</f>
        <v>0</v>
      </c>
      <c r="L4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43" s="6">
        <v>38.340000000000003</v>
      </c>
      <c r="N4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43" s="7">
        <v>45875</v>
      </c>
      <c r="P443">
        <v>14</v>
      </c>
      <c r="Q443" s="16" t="str">
        <f>IF(Table1[[#This Row],[stock_quantity]]=0,"NO STOCK",
IF(Table1[[#This Row],[stock_quantity]]&lt;=10,"LOW STOCK",
"IN STOCK"))</f>
        <v>IN STOCK</v>
      </c>
      <c r="R443" s="1">
        <f t="shared" si="26"/>
        <v>1.4</v>
      </c>
      <c r="S443">
        <v>1.4</v>
      </c>
      <c r="T443" t="b">
        <v>0</v>
      </c>
      <c r="U443" t="str">
        <f t="shared" si="27"/>
        <v>No Return</v>
      </c>
    </row>
    <row r="444" spans="1:22" hidden="1" x14ac:dyDescent="0.3">
      <c r="A444" t="s">
        <v>497</v>
      </c>
      <c r="B444" t="s">
        <v>27</v>
      </c>
      <c r="C444" t="s">
        <v>16</v>
      </c>
      <c r="D444" t="s">
        <v>23</v>
      </c>
      <c r="E444" t="str">
        <f t="shared" si="24"/>
        <v>OS</v>
      </c>
      <c r="G444" t="s">
        <v>40</v>
      </c>
      <c r="H444" s="8">
        <v>60.49</v>
      </c>
      <c r="I444" s="3">
        <f t="shared" si="25"/>
        <v>0</v>
      </c>
      <c r="J444" s="4">
        <v>0</v>
      </c>
      <c r="K444" s="11">
        <f>Table1[[#This Row],[original_price]]* (Table1[[#This Row],[Markdown percentage updated]])</f>
        <v>0</v>
      </c>
      <c r="L4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44" s="6">
        <v>60.49</v>
      </c>
      <c r="N4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44" s="7">
        <v>45875</v>
      </c>
      <c r="P444">
        <v>30</v>
      </c>
      <c r="Q444" s="16" t="str">
        <f>IF(Table1[[#This Row],[stock_quantity]]=0,"NO STOCK",
IF(Table1[[#This Row],[stock_quantity]]&lt;=10,"LOW STOCK",
"IN STOCK"))</f>
        <v>IN STOCK</v>
      </c>
      <c r="R444" s="1">
        <f t="shared" si="26"/>
        <v>2.5</v>
      </c>
      <c r="S444">
        <v>2.5</v>
      </c>
      <c r="T444" t="b">
        <v>0</v>
      </c>
      <c r="U444" t="str">
        <f t="shared" si="27"/>
        <v>No Return</v>
      </c>
    </row>
    <row r="445" spans="1:22" hidden="1" x14ac:dyDescent="0.3">
      <c r="A445" t="s">
        <v>498</v>
      </c>
      <c r="B445" t="s">
        <v>15</v>
      </c>
      <c r="C445" t="s">
        <v>32</v>
      </c>
      <c r="D445" t="s">
        <v>17</v>
      </c>
      <c r="E445" t="str">
        <f t="shared" si="24"/>
        <v>L</v>
      </c>
      <c r="F445" t="s">
        <v>24</v>
      </c>
      <c r="G445" t="s">
        <v>64</v>
      </c>
      <c r="H445" s="8">
        <v>90.27</v>
      </c>
      <c r="I445" s="3">
        <f t="shared" si="25"/>
        <v>0</v>
      </c>
      <c r="J445" s="4">
        <v>0</v>
      </c>
      <c r="K445" s="11">
        <f>Table1[[#This Row],[original_price]]* (Table1[[#This Row],[Markdown percentage updated]])</f>
        <v>0</v>
      </c>
      <c r="L4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45" s="6">
        <v>90.27</v>
      </c>
      <c r="N4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45" s="7">
        <v>45763</v>
      </c>
      <c r="P445">
        <v>35</v>
      </c>
      <c r="Q445" s="16" t="str">
        <f>IF(Table1[[#This Row],[stock_quantity]]=0,"NO STOCK",
IF(Table1[[#This Row],[stock_quantity]]&lt;=10,"LOW STOCK",
"IN STOCK"))</f>
        <v>IN STOCK</v>
      </c>
      <c r="R445" s="1">
        <f t="shared" si="26"/>
        <v>4.2</v>
      </c>
      <c r="S445">
        <v>4.2</v>
      </c>
      <c r="T445" t="b">
        <v>0</v>
      </c>
      <c r="U445" t="str">
        <f t="shared" si="27"/>
        <v>No Return</v>
      </c>
    </row>
    <row r="446" spans="1:22" hidden="1" x14ac:dyDescent="0.3">
      <c r="A446" t="s">
        <v>499</v>
      </c>
      <c r="B446" t="s">
        <v>27</v>
      </c>
      <c r="C446" t="s">
        <v>32</v>
      </c>
      <c r="D446" t="s">
        <v>62</v>
      </c>
      <c r="E446" t="str">
        <f t="shared" si="24"/>
        <v>XXL</v>
      </c>
      <c r="G446" t="s">
        <v>19</v>
      </c>
      <c r="H446" s="8">
        <v>45.42</v>
      </c>
      <c r="I446" s="3">
        <f t="shared" si="25"/>
        <v>0</v>
      </c>
      <c r="J446" s="4">
        <v>0</v>
      </c>
      <c r="K446" s="11">
        <f>Table1[[#This Row],[original_price]]* (Table1[[#This Row],[Markdown percentage updated]])</f>
        <v>0</v>
      </c>
      <c r="L4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46" s="6">
        <v>45.42</v>
      </c>
      <c r="N4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46" s="7">
        <v>45875</v>
      </c>
      <c r="P446">
        <v>36</v>
      </c>
      <c r="Q446" s="16" t="str">
        <f>IF(Table1[[#This Row],[stock_quantity]]=0,"NO STOCK",
IF(Table1[[#This Row],[stock_quantity]]&lt;=10,"LOW STOCK",
"IN STOCK"))</f>
        <v>IN STOCK</v>
      </c>
      <c r="R446" s="1">
        <f t="shared" si="26"/>
        <v>1.3</v>
      </c>
      <c r="S446">
        <v>1.3</v>
      </c>
      <c r="T446" t="b">
        <v>0</v>
      </c>
      <c r="U446" t="str">
        <f t="shared" si="27"/>
        <v>No Return</v>
      </c>
    </row>
    <row r="447" spans="1:22" hidden="1" x14ac:dyDescent="0.3">
      <c r="A447" t="s">
        <v>500</v>
      </c>
      <c r="B447" t="s">
        <v>21</v>
      </c>
      <c r="C447" t="s">
        <v>53</v>
      </c>
      <c r="D447" t="s">
        <v>17</v>
      </c>
      <c r="E447" t="str">
        <f t="shared" si="24"/>
        <v>OS</v>
      </c>
      <c r="G447" t="s">
        <v>66</v>
      </c>
      <c r="H447" s="8">
        <v>58.56</v>
      </c>
      <c r="I447" s="3">
        <f t="shared" si="25"/>
        <v>0</v>
      </c>
      <c r="J447" s="4">
        <v>0</v>
      </c>
      <c r="K447" s="11">
        <f>Table1[[#This Row],[original_price]]* (Table1[[#This Row],[Markdown percentage updated]])</f>
        <v>0</v>
      </c>
      <c r="L4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47" s="6">
        <v>58.56</v>
      </c>
      <c r="N4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47" s="7">
        <v>45680</v>
      </c>
      <c r="P447">
        <v>21</v>
      </c>
      <c r="Q447" s="16" t="str">
        <f>IF(Table1[[#This Row],[stock_quantity]]=0,"NO STOCK",
IF(Table1[[#This Row],[stock_quantity]]&lt;=10,"LOW STOCK",
"IN STOCK"))</f>
        <v>IN STOCK</v>
      </c>
      <c r="R447" s="1">
        <f t="shared" si="26"/>
        <v>2.2999999999999998</v>
      </c>
      <c r="S447">
        <v>2.2999999999999998</v>
      </c>
      <c r="T447" t="b">
        <v>0</v>
      </c>
      <c r="U447" t="str">
        <f t="shared" si="27"/>
        <v>No Return</v>
      </c>
    </row>
    <row r="448" spans="1:22" hidden="1" x14ac:dyDescent="0.3">
      <c r="A448" t="s">
        <v>501</v>
      </c>
      <c r="B448" t="s">
        <v>42</v>
      </c>
      <c r="C448" t="s">
        <v>48</v>
      </c>
      <c r="D448" t="s">
        <v>62</v>
      </c>
      <c r="E448" t="str">
        <f t="shared" si="24"/>
        <v>M</v>
      </c>
      <c r="F448" t="s">
        <v>24</v>
      </c>
      <c r="G448" t="s">
        <v>25</v>
      </c>
      <c r="H448" s="8">
        <v>167.64</v>
      </c>
      <c r="I448" s="3">
        <f t="shared" si="25"/>
        <v>0</v>
      </c>
      <c r="J448" s="4">
        <v>0</v>
      </c>
      <c r="K448" s="11">
        <f>Table1[[#This Row],[original_price]]* (Table1[[#This Row],[Markdown percentage updated]])</f>
        <v>0</v>
      </c>
      <c r="L4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48" s="6">
        <v>167.64</v>
      </c>
      <c r="N4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48" s="7">
        <v>45875</v>
      </c>
      <c r="P448">
        <v>18</v>
      </c>
      <c r="Q448" s="16" t="str">
        <f>IF(Table1[[#This Row],[stock_quantity]]=0,"NO STOCK",
IF(Table1[[#This Row],[stock_quantity]]&lt;=10,"LOW STOCK",
"IN STOCK"))</f>
        <v>IN STOCK</v>
      </c>
      <c r="R448" s="1">
        <f t="shared" si="26"/>
        <v>4.0999999999999996</v>
      </c>
      <c r="S448">
        <v>4.0999999999999996</v>
      </c>
      <c r="T448" t="b">
        <v>0</v>
      </c>
      <c r="U448" t="str">
        <f t="shared" si="27"/>
        <v>No Return</v>
      </c>
    </row>
    <row r="449" spans="1:22" hidden="1" x14ac:dyDescent="0.3">
      <c r="A449" t="s">
        <v>502</v>
      </c>
      <c r="B449" t="s">
        <v>15</v>
      </c>
      <c r="C449" t="s">
        <v>16</v>
      </c>
      <c r="D449" t="s">
        <v>34</v>
      </c>
      <c r="E449" t="str">
        <f t="shared" si="24"/>
        <v>OS</v>
      </c>
      <c r="F449" t="s">
        <v>49</v>
      </c>
      <c r="G449" t="s">
        <v>19</v>
      </c>
      <c r="H449" s="8">
        <v>193.14</v>
      </c>
      <c r="I449" s="3">
        <f t="shared" si="25"/>
        <v>0</v>
      </c>
      <c r="J449" s="4">
        <v>0</v>
      </c>
      <c r="K449" s="11">
        <f>Table1[[#This Row],[original_price]]* (Table1[[#This Row],[Markdown percentage updated]])</f>
        <v>0</v>
      </c>
      <c r="L4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49" s="6">
        <v>193.14</v>
      </c>
      <c r="N4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49" s="7">
        <v>45875</v>
      </c>
      <c r="P449">
        <v>7</v>
      </c>
      <c r="Q449" s="17" t="str">
        <f>IF(Table1[[#This Row],[stock_quantity]]=0,"NO STOCK",
IF(Table1[[#This Row],[stock_quantity]]&lt;=10,"LOW STOCK",
"IN STOCK"))</f>
        <v>LOW STOCK</v>
      </c>
      <c r="R449" s="1">
        <f t="shared" si="26"/>
        <v>3.5</v>
      </c>
      <c r="S449">
        <v>3.5</v>
      </c>
      <c r="T449" t="b">
        <v>0</v>
      </c>
      <c r="U449" t="str">
        <f t="shared" si="27"/>
        <v>No Return</v>
      </c>
    </row>
    <row r="450" spans="1:22" hidden="1" x14ac:dyDescent="0.3">
      <c r="A450" t="s">
        <v>503</v>
      </c>
      <c r="B450" t="s">
        <v>27</v>
      </c>
      <c r="C450" t="s">
        <v>61</v>
      </c>
      <c r="D450" t="s">
        <v>23</v>
      </c>
      <c r="E450" t="str">
        <f t="shared" ref="E450:E513" si="28">IF(ISBLANK(F453),"OS",F453)</f>
        <v>XL</v>
      </c>
      <c r="G450" t="s">
        <v>40</v>
      </c>
      <c r="H450" s="8">
        <v>60.06</v>
      </c>
      <c r="I450" s="3">
        <f t="shared" ref="I450:I513" si="29">J450/100</f>
        <v>0.156</v>
      </c>
      <c r="J450" s="4">
        <v>15.6</v>
      </c>
      <c r="K450" s="11">
        <f>Table1[[#This Row],[original_price]]* (Table1[[#This Row],[Markdown percentage updated]])</f>
        <v>9.3693600000000004</v>
      </c>
      <c r="L4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50" s="6">
        <v>50.69</v>
      </c>
      <c r="N4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450" s="7">
        <v>45875</v>
      </c>
      <c r="P450">
        <v>49</v>
      </c>
      <c r="Q450" s="16" t="str">
        <f>IF(Table1[[#This Row],[stock_quantity]]=0,"NO STOCK",
IF(Table1[[#This Row],[stock_quantity]]&lt;=10,"LOW STOCK",
"IN STOCK"))</f>
        <v>IN STOCK</v>
      </c>
      <c r="R450" s="1">
        <f t="shared" si="26"/>
        <v>2</v>
      </c>
      <c r="S450">
        <v>2</v>
      </c>
      <c r="T450" t="b">
        <v>1</v>
      </c>
      <c r="U450" s="13" t="str">
        <f t="shared" si="27"/>
        <v>Color Mismatch</v>
      </c>
      <c r="V450" t="s">
        <v>36</v>
      </c>
    </row>
    <row r="451" spans="1:22" hidden="1" x14ac:dyDescent="0.3">
      <c r="A451" t="s">
        <v>504</v>
      </c>
      <c r="B451" t="s">
        <v>38</v>
      </c>
      <c r="C451" t="s">
        <v>32</v>
      </c>
      <c r="D451" t="s">
        <v>34</v>
      </c>
      <c r="E451" t="str">
        <f t="shared" si="28"/>
        <v>XXL</v>
      </c>
      <c r="F451" t="s">
        <v>58</v>
      </c>
      <c r="G451" t="s">
        <v>40</v>
      </c>
      <c r="H451" s="8">
        <v>35.369999999999997</v>
      </c>
      <c r="I451" s="3">
        <f t="shared" si="29"/>
        <v>0</v>
      </c>
      <c r="J451" s="4">
        <v>0</v>
      </c>
      <c r="K451" s="11">
        <f>Table1[[#This Row],[original_price]]* (Table1[[#This Row],[Markdown percentage updated]])</f>
        <v>0</v>
      </c>
      <c r="L4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51" s="6">
        <v>35.369999999999997</v>
      </c>
      <c r="N4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51" s="7">
        <v>45875</v>
      </c>
      <c r="P451">
        <v>29</v>
      </c>
      <c r="Q451" s="16" t="str">
        <f>IF(Table1[[#This Row],[stock_quantity]]=0,"NO STOCK",
IF(Table1[[#This Row],[stock_quantity]]&lt;=10,"LOW STOCK",
"IN STOCK"))</f>
        <v>IN STOCK</v>
      </c>
      <c r="R451" s="1">
        <f t="shared" ref="R451:R514" si="30">IF(ISBLANK(S451), 0, S451)</f>
        <v>4.7</v>
      </c>
      <c r="S451">
        <v>4.7</v>
      </c>
      <c r="T451" t="b">
        <v>0</v>
      </c>
      <c r="U451" t="str">
        <f t="shared" ref="U451:U514" si="31">IF(V451="","No Return",V451)</f>
        <v>No Return</v>
      </c>
    </row>
    <row r="452" spans="1:22" hidden="1" x14ac:dyDescent="0.3">
      <c r="A452" t="s">
        <v>505</v>
      </c>
      <c r="B452" t="s">
        <v>27</v>
      </c>
      <c r="C452" t="s">
        <v>43</v>
      </c>
      <c r="D452" t="s">
        <v>62</v>
      </c>
      <c r="E452" t="str">
        <f t="shared" si="28"/>
        <v>OS</v>
      </c>
      <c r="G452" t="s">
        <v>66</v>
      </c>
      <c r="H452" s="8">
        <v>39.85</v>
      </c>
      <c r="I452" s="3">
        <f t="shared" si="29"/>
        <v>0</v>
      </c>
      <c r="J452" s="4">
        <v>0</v>
      </c>
      <c r="K452" s="11">
        <f>Table1[[#This Row],[original_price]]* (Table1[[#This Row],[Markdown percentage updated]])</f>
        <v>0</v>
      </c>
      <c r="L4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52" s="6">
        <v>39.85</v>
      </c>
      <c r="N4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52" s="7">
        <v>45875</v>
      </c>
      <c r="P452">
        <v>28</v>
      </c>
      <c r="Q452" s="16" t="str">
        <f>IF(Table1[[#This Row],[stock_quantity]]=0,"NO STOCK",
IF(Table1[[#This Row],[stock_quantity]]&lt;=10,"LOW STOCK",
"IN STOCK"))</f>
        <v>IN STOCK</v>
      </c>
      <c r="R452" s="1">
        <f t="shared" si="30"/>
        <v>2.4</v>
      </c>
      <c r="S452">
        <v>2.4</v>
      </c>
      <c r="T452" t="b">
        <v>0</v>
      </c>
      <c r="U452" t="str">
        <f t="shared" si="31"/>
        <v>No Return</v>
      </c>
    </row>
    <row r="453" spans="1:22" hidden="1" x14ac:dyDescent="0.3">
      <c r="A453" t="s">
        <v>506</v>
      </c>
      <c r="B453" t="s">
        <v>21</v>
      </c>
      <c r="C453" t="s">
        <v>16</v>
      </c>
      <c r="D453" t="s">
        <v>23</v>
      </c>
      <c r="E453" t="str">
        <f t="shared" si="28"/>
        <v>XL</v>
      </c>
      <c r="F453" t="s">
        <v>18</v>
      </c>
      <c r="G453" t="s">
        <v>28</v>
      </c>
      <c r="H453" s="8">
        <v>85.34</v>
      </c>
      <c r="I453" s="3">
        <f t="shared" si="29"/>
        <v>0.59399999999999997</v>
      </c>
      <c r="J453" s="4">
        <v>59.4</v>
      </c>
      <c r="K453" s="11">
        <f>Table1[[#This Row],[original_price]]* (Table1[[#This Row],[Markdown percentage updated]])</f>
        <v>50.691960000000002</v>
      </c>
      <c r="L4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53" s="6">
        <v>34.65</v>
      </c>
      <c r="N4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53" s="7">
        <v>45875</v>
      </c>
      <c r="P453">
        <v>5</v>
      </c>
      <c r="Q453" s="17" t="str">
        <f>IF(Table1[[#This Row],[stock_quantity]]=0,"NO STOCK",
IF(Table1[[#This Row],[stock_quantity]]&lt;=10,"LOW STOCK",
"IN STOCK"))</f>
        <v>LOW STOCK</v>
      </c>
      <c r="R453" s="1">
        <f t="shared" si="30"/>
        <v>4.9000000000000004</v>
      </c>
      <c r="S453">
        <v>4.9000000000000004</v>
      </c>
      <c r="T453" t="b">
        <v>0</v>
      </c>
      <c r="U453" t="str">
        <f t="shared" si="31"/>
        <v>No Return</v>
      </c>
    </row>
    <row r="454" spans="1:22" hidden="1" x14ac:dyDescent="0.3">
      <c r="A454" t="s">
        <v>507</v>
      </c>
      <c r="B454" t="s">
        <v>38</v>
      </c>
      <c r="C454" t="s">
        <v>75</v>
      </c>
      <c r="D454" t="s">
        <v>34</v>
      </c>
      <c r="E454" t="str">
        <f t="shared" si="28"/>
        <v>XXL</v>
      </c>
      <c r="F454" t="s">
        <v>49</v>
      </c>
      <c r="G454" t="s">
        <v>35</v>
      </c>
      <c r="H454" s="8">
        <v>81.17</v>
      </c>
      <c r="I454" s="3">
        <f t="shared" si="29"/>
        <v>0</v>
      </c>
      <c r="J454" s="4">
        <v>0</v>
      </c>
      <c r="K454" s="11">
        <f>Table1[[#This Row],[original_price]]* (Table1[[#This Row],[Markdown percentage updated]])</f>
        <v>0</v>
      </c>
      <c r="L4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54" s="6">
        <v>81.17</v>
      </c>
      <c r="N4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54" s="7">
        <v>45875</v>
      </c>
      <c r="P454">
        <v>21</v>
      </c>
      <c r="Q454" s="16" t="str">
        <f>IF(Table1[[#This Row],[stock_quantity]]=0,"NO STOCK",
IF(Table1[[#This Row],[stock_quantity]]&lt;=10,"LOW STOCK",
"IN STOCK"))</f>
        <v>IN STOCK</v>
      </c>
      <c r="R454" s="1">
        <f t="shared" si="30"/>
        <v>1.2</v>
      </c>
      <c r="S454">
        <v>1.2</v>
      </c>
      <c r="T454" t="b">
        <v>0</v>
      </c>
      <c r="U454" t="str">
        <f t="shared" si="31"/>
        <v>No Return</v>
      </c>
    </row>
    <row r="455" spans="1:22" hidden="1" x14ac:dyDescent="0.3">
      <c r="A455" t="s">
        <v>508</v>
      </c>
      <c r="B455" t="s">
        <v>27</v>
      </c>
      <c r="C455" t="s">
        <v>53</v>
      </c>
      <c r="D455" t="s">
        <v>17</v>
      </c>
      <c r="E455" t="str">
        <f t="shared" si="28"/>
        <v>XS</v>
      </c>
      <c r="G455" t="s">
        <v>35</v>
      </c>
      <c r="H455" s="8">
        <v>16.809999999999999</v>
      </c>
      <c r="I455" s="3">
        <f t="shared" si="29"/>
        <v>0</v>
      </c>
      <c r="J455" s="4">
        <v>0</v>
      </c>
      <c r="K455" s="11">
        <f>Table1[[#This Row],[original_price]]* (Table1[[#This Row],[Markdown percentage updated]])</f>
        <v>0</v>
      </c>
      <c r="L4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55" s="6">
        <v>16.809999999999999</v>
      </c>
      <c r="N4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55" s="7">
        <v>45869</v>
      </c>
      <c r="P455">
        <v>16</v>
      </c>
      <c r="Q455" s="16" t="str">
        <f>IF(Table1[[#This Row],[stock_quantity]]=0,"NO STOCK",
IF(Table1[[#This Row],[stock_quantity]]&lt;=10,"LOW STOCK",
"IN STOCK"))</f>
        <v>IN STOCK</v>
      </c>
      <c r="R455" s="1">
        <f t="shared" si="30"/>
        <v>2.8</v>
      </c>
      <c r="S455">
        <v>2.8</v>
      </c>
      <c r="T455" t="b">
        <v>0</v>
      </c>
      <c r="U455" t="str">
        <f t="shared" si="31"/>
        <v>No Return</v>
      </c>
    </row>
    <row r="456" spans="1:22" hidden="1" x14ac:dyDescent="0.3">
      <c r="A456" t="s">
        <v>509</v>
      </c>
      <c r="B456" t="s">
        <v>21</v>
      </c>
      <c r="C456" t="s">
        <v>53</v>
      </c>
      <c r="D456" t="s">
        <v>23</v>
      </c>
      <c r="E456" t="str">
        <f t="shared" si="28"/>
        <v>M</v>
      </c>
      <c r="F456" t="s">
        <v>18</v>
      </c>
      <c r="G456" t="s">
        <v>28</v>
      </c>
      <c r="H456" s="8">
        <v>115.71</v>
      </c>
      <c r="I456" s="3">
        <f t="shared" si="29"/>
        <v>0.55000000000000004</v>
      </c>
      <c r="J456" s="4">
        <v>55</v>
      </c>
      <c r="K456" s="11">
        <f>Table1[[#This Row],[original_price]]* (Table1[[#This Row],[Markdown percentage updated]])</f>
        <v>63.640500000000003</v>
      </c>
      <c r="L4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56" s="6">
        <v>52.07</v>
      </c>
      <c r="N4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56" s="7">
        <v>45875</v>
      </c>
      <c r="P456">
        <v>6</v>
      </c>
      <c r="Q456" s="17" t="str">
        <f>IF(Table1[[#This Row],[stock_quantity]]=0,"NO STOCK",
IF(Table1[[#This Row],[stock_quantity]]&lt;=10,"LOW STOCK",
"IN STOCK"))</f>
        <v>LOW STOCK</v>
      </c>
      <c r="R456" s="1">
        <f t="shared" si="30"/>
        <v>1.6</v>
      </c>
      <c r="S456">
        <v>1.6</v>
      </c>
      <c r="T456" t="b">
        <v>0</v>
      </c>
      <c r="U456" t="str">
        <f t="shared" si="31"/>
        <v>No Return</v>
      </c>
    </row>
    <row r="457" spans="1:22" hidden="1" x14ac:dyDescent="0.3">
      <c r="A457" t="s">
        <v>510</v>
      </c>
      <c r="B457" t="s">
        <v>38</v>
      </c>
      <c r="C457" t="s">
        <v>43</v>
      </c>
      <c r="D457" t="s">
        <v>62</v>
      </c>
      <c r="E457" t="str">
        <f t="shared" si="28"/>
        <v>XS</v>
      </c>
      <c r="F457" t="s">
        <v>49</v>
      </c>
      <c r="G457" t="s">
        <v>25</v>
      </c>
      <c r="H457" s="8">
        <v>49.87</v>
      </c>
      <c r="I457" s="3">
        <f t="shared" si="29"/>
        <v>0</v>
      </c>
      <c r="J457" s="4">
        <v>0</v>
      </c>
      <c r="K457" s="11">
        <f>Table1[[#This Row],[original_price]]* (Table1[[#This Row],[Markdown percentage updated]])</f>
        <v>0</v>
      </c>
      <c r="L4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57" s="6">
        <v>49.87</v>
      </c>
      <c r="N4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57" s="7">
        <v>45875</v>
      </c>
      <c r="P457">
        <v>17</v>
      </c>
      <c r="Q457" s="16" t="str">
        <f>IF(Table1[[#This Row],[stock_quantity]]=0,"NO STOCK",
IF(Table1[[#This Row],[stock_quantity]]&lt;=10,"LOW STOCK",
"IN STOCK"))</f>
        <v>IN STOCK</v>
      </c>
      <c r="R457" s="1">
        <f t="shared" si="30"/>
        <v>2.1</v>
      </c>
      <c r="S457">
        <v>2.1</v>
      </c>
      <c r="T457" t="b">
        <v>0</v>
      </c>
      <c r="U457" t="str">
        <f t="shared" si="31"/>
        <v>No Return</v>
      </c>
    </row>
    <row r="458" spans="1:22" hidden="1" x14ac:dyDescent="0.3">
      <c r="A458" t="s">
        <v>511</v>
      </c>
      <c r="B458" t="s">
        <v>30</v>
      </c>
      <c r="C458" t="s">
        <v>43</v>
      </c>
      <c r="D458" t="s">
        <v>34</v>
      </c>
      <c r="E458" t="str">
        <f t="shared" si="28"/>
        <v>XS</v>
      </c>
      <c r="F458" t="s">
        <v>55</v>
      </c>
      <c r="G458" t="s">
        <v>56</v>
      </c>
      <c r="H458" s="8">
        <v>107.96</v>
      </c>
      <c r="I458" s="3">
        <f t="shared" si="29"/>
        <v>0.52900000000000003</v>
      </c>
      <c r="J458" s="4">
        <v>52.9</v>
      </c>
      <c r="K458" s="11">
        <f>Table1[[#This Row],[original_price]]* (Table1[[#This Row],[Markdown percentage updated]])</f>
        <v>57.110839999999996</v>
      </c>
      <c r="L4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58" s="6">
        <v>50.85</v>
      </c>
      <c r="N4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58" s="7">
        <v>45875</v>
      </c>
      <c r="P458">
        <v>2</v>
      </c>
      <c r="Q458" s="17" t="str">
        <f>IF(Table1[[#This Row],[stock_quantity]]=0,"NO STOCK",
IF(Table1[[#This Row],[stock_quantity]]&lt;=10,"LOW STOCK",
"IN STOCK"))</f>
        <v>LOW STOCK</v>
      </c>
      <c r="R458" s="1">
        <f t="shared" si="30"/>
        <v>4.9000000000000004</v>
      </c>
      <c r="S458">
        <v>4.9000000000000004</v>
      </c>
      <c r="T458" t="b">
        <v>0</v>
      </c>
      <c r="U458" t="str">
        <f t="shared" si="31"/>
        <v>No Return</v>
      </c>
    </row>
    <row r="459" spans="1:22" hidden="1" x14ac:dyDescent="0.3">
      <c r="A459" t="s">
        <v>512</v>
      </c>
      <c r="B459" t="s">
        <v>30</v>
      </c>
      <c r="C459" t="s">
        <v>43</v>
      </c>
      <c r="D459" t="s">
        <v>62</v>
      </c>
      <c r="E459" t="str">
        <f t="shared" si="28"/>
        <v>M</v>
      </c>
      <c r="F459" t="s">
        <v>58</v>
      </c>
      <c r="G459" t="s">
        <v>28</v>
      </c>
      <c r="H459" s="8">
        <v>138.35</v>
      </c>
      <c r="I459" s="3">
        <f t="shared" si="29"/>
        <v>0.317</v>
      </c>
      <c r="J459" s="4">
        <v>31.7</v>
      </c>
      <c r="K459" s="11">
        <f>Table1[[#This Row],[original_price]]* (Table1[[#This Row],[Markdown percentage updated]])</f>
        <v>43.856949999999998</v>
      </c>
      <c r="L4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59" s="6">
        <v>94.49</v>
      </c>
      <c r="N4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59" s="7">
        <v>45875</v>
      </c>
      <c r="P459">
        <v>3</v>
      </c>
      <c r="Q459" s="17" t="str">
        <f>IF(Table1[[#This Row],[stock_quantity]]=0,"NO STOCK",
IF(Table1[[#This Row],[stock_quantity]]&lt;=10,"LOW STOCK",
"IN STOCK"))</f>
        <v>LOW STOCK</v>
      </c>
      <c r="R459" s="1">
        <f t="shared" si="30"/>
        <v>2.5</v>
      </c>
      <c r="S459">
        <v>2.5</v>
      </c>
      <c r="T459" t="b">
        <v>0</v>
      </c>
      <c r="U459" t="str">
        <f t="shared" si="31"/>
        <v>No Return</v>
      </c>
    </row>
    <row r="460" spans="1:22" hidden="1" x14ac:dyDescent="0.3">
      <c r="A460" t="s">
        <v>513</v>
      </c>
      <c r="B460" t="s">
        <v>21</v>
      </c>
      <c r="C460" t="s">
        <v>61</v>
      </c>
      <c r="D460" t="s">
        <v>17</v>
      </c>
      <c r="E460" t="str">
        <f t="shared" si="28"/>
        <v>OS</v>
      </c>
      <c r="F460" t="s">
        <v>55</v>
      </c>
      <c r="G460" t="s">
        <v>19</v>
      </c>
      <c r="H460" s="8">
        <v>32.01</v>
      </c>
      <c r="I460" s="3">
        <f t="shared" si="29"/>
        <v>0</v>
      </c>
      <c r="J460" s="4">
        <v>0</v>
      </c>
      <c r="K460" s="11">
        <f>Table1[[#This Row],[original_price]]* (Table1[[#This Row],[Markdown percentage updated]])</f>
        <v>0</v>
      </c>
      <c r="L4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60" s="6">
        <v>32.01</v>
      </c>
      <c r="N4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60" s="7">
        <v>45786</v>
      </c>
      <c r="P460">
        <v>43</v>
      </c>
      <c r="Q460" s="16" t="str">
        <f>IF(Table1[[#This Row],[stock_quantity]]=0,"NO STOCK",
IF(Table1[[#This Row],[stock_quantity]]&lt;=10,"LOW STOCK",
"IN STOCK"))</f>
        <v>IN STOCK</v>
      </c>
      <c r="R460" s="1">
        <f t="shared" si="30"/>
        <v>3.4</v>
      </c>
      <c r="S460">
        <v>3.4</v>
      </c>
      <c r="T460" t="b">
        <v>1</v>
      </c>
      <c r="U460" s="13" t="str">
        <f t="shared" si="31"/>
        <v>Wrong Item</v>
      </c>
      <c r="V460" t="s">
        <v>125</v>
      </c>
    </row>
    <row r="461" spans="1:22" hidden="1" x14ac:dyDescent="0.3">
      <c r="A461" t="s">
        <v>514</v>
      </c>
      <c r="B461" t="s">
        <v>42</v>
      </c>
      <c r="C461" t="s">
        <v>48</v>
      </c>
      <c r="D461" t="s">
        <v>34</v>
      </c>
      <c r="E461" t="str">
        <f t="shared" si="28"/>
        <v>XXL</v>
      </c>
      <c r="F461" t="s">
        <v>55</v>
      </c>
      <c r="G461" t="s">
        <v>28</v>
      </c>
      <c r="H461" s="8">
        <v>129.08000000000001</v>
      </c>
      <c r="I461" s="3">
        <f t="shared" si="29"/>
        <v>0.50600000000000001</v>
      </c>
      <c r="J461" s="4">
        <v>50.6</v>
      </c>
      <c r="K461" s="11">
        <f>Table1[[#This Row],[original_price]]* (Table1[[#This Row],[Markdown percentage updated]])</f>
        <v>65.314480000000003</v>
      </c>
      <c r="L4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61" s="6">
        <v>63.77</v>
      </c>
      <c r="N4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61" s="7">
        <v>45875</v>
      </c>
      <c r="P461">
        <v>10</v>
      </c>
      <c r="Q461" s="17" t="str">
        <f>IF(Table1[[#This Row],[stock_quantity]]=0,"NO STOCK",
IF(Table1[[#This Row],[stock_quantity]]&lt;=10,"LOW STOCK",
"IN STOCK"))</f>
        <v>LOW STOCK</v>
      </c>
      <c r="R461" s="1">
        <f t="shared" si="30"/>
        <v>4.4000000000000004</v>
      </c>
      <c r="S461">
        <v>4.4000000000000004</v>
      </c>
      <c r="T461" t="b">
        <v>0</v>
      </c>
      <c r="U461" t="str">
        <f t="shared" si="31"/>
        <v>No Return</v>
      </c>
    </row>
    <row r="462" spans="1:22" hidden="1" x14ac:dyDescent="0.3">
      <c r="A462" t="s">
        <v>515</v>
      </c>
      <c r="B462" t="s">
        <v>42</v>
      </c>
      <c r="C462" t="s">
        <v>32</v>
      </c>
      <c r="D462" t="s">
        <v>23</v>
      </c>
      <c r="E462" t="str">
        <f t="shared" si="28"/>
        <v>XL</v>
      </c>
      <c r="F462" t="s">
        <v>58</v>
      </c>
      <c r="G462" t="s">
        <v>40</v>
      </c>
      <c r="H462" s="8">
        <v>68.569999999999993</v>
      </c>
      <c r="I462" s="3">
        <f t="shared" si="29"/>
        <v>0.56399999999999995</v>
      </c>
      <c r="J462" s="4">
        <v>56.4</v>
      </c>
      <c r="K462" s="11">
        <f>Table1[[#This Row],[original_price]]* (Table1[[#This Row],[Markdown percentage updated]])</f>
        <v>38.673479999999991</v>
      </c>
      <c r="L4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62" s="6">
        <v>29.9</v>
      </c>
      <c r="N4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62" s="7">
        <v>45875</v>
      </c>
      <c r="P462">
        <v>30</v>
      </c>
      <c r="Q462" s="16" t="str">
        <f>IF(Table1[[#This Row],[stock_quantity]]=0,"NO STOCK",
IF(Table1[[#This Row],[stock_quantity]]&lt;=10,"LOW STOCK",
"IN STOCK"))</f>
        <v>IN STOCK</v>
      </c>
      <c r="R462" s="1">
        <f t="shared" si="30"/>
        <v>1.8</v>
      </c>
      <c r="S462">
        <v>1.8</v>
      </c>
      <c r="T462" t="b">
        <v>0</v>
      </c>
      <c r="U462" t="str">
        <f t="shared" si="31"/>
        <v>No Return</v>
      </c>
    </row>
    <row r="463" spans="1:22" hidden="1" x14ac:dyDescent="0.3">
      <c r="A463" t="s">
        <v>516</v>
      </c>
      <c r="B463" t="s">
        <v>27</v>
      </c>
      <c r="C463" t="s">
        <v>48</v>
      </c>
      <c r="D463" t="s">
        <v>23</v>
      </c>
      <c r="E463" t="str">
        <f t="shared" si="28"/>
        <v>XS</v>
      </c>
      <c r="G463" t="s">
        <v>40</v>
      </c>
      <c r="H463" s="8">
        <v>46.46</v>
      </c>
      <c r="I463" s="3">
        <f t="shared" si="29"/>
        <v>0</v>
      </c>
      <c r="J463" s="4">
        <v>0</v>
      </c>
      <c r="K463" s="11">
        <f>Table1[[#This Row],[original_price]]* (Table1[[#This Row],[Markdown percentage updated]])</f>
        <v>0</v>
      </c>
      <c r="L4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63" s="6">
        <v>46.46</v>
      </c>
      <c r="N4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63" s="7">
        <v>45875</v>
      </c>
      <c r="P463">
        <v>30</v>
      </c>
      <c r="Q463" s="16" t="str">
        <f>IF(Table1[[#This Row],[stock_quantity]]=0,"NO STOCK",
IF(Table1[[#This Row],[stock_quantity]]&lt;=10,"LOW STOCK",
"IN STOCK"))</f>
        <v>IN STOCK</v>
      </c>
      <c r="R463" s="1">
        <f t="shared" si="30"/>
        <v>0</v>
      </c>
      <c r="T463" t="b">
        <v>0</v>
      </c>
      <c r="U463" t="str">
        <f t="shared" si="31"/>
        <v>No Return</v>
      </c>
    </row>
    <row r="464" spans="1:22" hidden="1" x14ac:dyDescent="0.3">
      <c r="A464" t="s">
        <v>517</v>
      </c>
      <c r="B464" t="s">
        <v>15</v>
      </c>
      <c r="C464" t="s">
        <v>32</v>
      </c>
      <c r="D464" t="s">
        <v>34</v>
      </c>
      <c r="E464" t="str">
        <f t="shared" si="28"/>
        <v>S</v>
      </c>
      <c r="F464" t="s">
        <v>49</v>
      </c>
      <c r="G464" t="s">
        <v>35</v>
      </c>
      <c r="H464" s="8">
        <v>124.68</v>
      </c>
      <c r="I464" s="3">
        <f t="shared" si="29"/>
        <v>0.58200000000000007</v>
      </c>
      <c r="J464" s="4">
        <v>58.2</v>
      </c>
      <c r="K464" s="11">
        <f>Table1[[#This Row],[original_price]]* (Table1[[#This Row],[Markdown percentage updated]])</f>
        <v>72.563760000000016</v>
      </c>
      <c r="L4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64" s="6">
        <v>52.12</v>
      </c>
      <c r="N4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64" s="7">
        <v>45875</v>
      </c>
      <c r="P464">
        <v>44</v>
      </c>
      <c r="Q464" s="16" t="str">
        <f>IF(Table1[[#This Row],[stock_quantity]]=0,"NO STOCK",
IF(Table1[[#This Row],[stock_quantity]]&lt;=10,"LOW STOCK",
"IN STOCK"))</f>
        <v>IN STOCK</v>
      </c>
      <c r="R464" s="1">
        <f t="shared" si="30"/>
        <v>3.2</v>
      </c>
      <c r="S464">
        <v>3.2</v>
      </c>
      <c r="T464" t="b">
        <v>0</v>
      </c>
      <c r="U464" t="str">
        <f t="shared" si="31"/>
        <v>No Return</v>
      </c>
    </row>
    <row r="465" spans="1:22" hidden="1" x14ac:dyDescent="0.3">
      <c r="A465" t="s">
        <v>518</v>
      </c>
      <c r="B465" t="s">
        <v>38</v>
      </c>
      <c r="C465" t="s">
        <v>48</v>
      </c>
      <c r="D465" t="s">
        <v>17</v>
      </c>
      <c r="E465" t="str">
        <f t="shared" si="28"/>
        <v>XS</v>
      </c>
      <c r="F465" t="s">
        <v>18</v>
      </c>
      <c r="G465" t="s">
        <v>19</v>
      </c>
      <c r="H465" s="8">
        <v>36.85</v>
      </c>
      <c r="I465" s="3">
        <f t="shared" si="29"/>
        <v>0</v>
      </c>
      <c r="J465" s="4">
        <v>0</v>
      </c>
      <c r="K465" s="11">
        <f>Table1[[#This Row],[original_price]]* (Table1[[#This Row],[Markdown percentage updated]])</f>
        <v>0</v>
      </c>
      <c r="L4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65" s="6">
        <v>36.85</v>
      </c>
      <c r="N4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65" s="7">
        <v>45841</v>
      </c>
      <c r="P465">
        <v>0</v>
      </c>
      <c r="Q465" s="13" t="str">
        <f>IF(Table1[[#This Row],[stock_quantity]]=0,"NO STOCK",
IF(Table1[[#This Row],[stock_quantity]]&lt;=10,"LOW STOCK",
"IN STOCK"))</f>
        <v>NO STOCK</v>
      </c>
      <c r="R465" s="1">
        <f t="shared" si="30"/>
        <v>4.4000000000000004</v>
      </c>
      <c r="S465">
        <v>4.4000000000000004</v>
      </c>
      <c r="T465" t="b">
        <v>0</v>
      </c>
      <c r="U465" t="str">
        <f t="shared" si="31"/>
        <v>No Return</v>
      </c>
    </row>
    <row r="466" spans="1:22" hidden="1" x14ac:dyDescent="0.3">
      <c r="A466" t="s">
        <v>519</v>
      </c>
      <c r="B466" t="s">
        <v>15</v>
      </c>
      <c r="C466" t="s">
        <v>53</v>
      </c>
      <c r="D466" t="s">
        <v>23</v>
      </c>
      <c r="E466" t="str">
        <f t="shared" si="28"/>
        <v>L</v>
      </c>
      <c r="F466" t="s">
        <v>55</v>
      </c>
      <c r="G466" t="s">
        <v>28</v>
      </c>
      <c r="H466" s="8">
        <v>229.63</v>
      </c>
      <c r="I466" s="3">
        <f t="shared" si="29"/>
        <v>3.0000000000000001E-3</v>
      </c>
      <c r="J466" s="4">
        <v>0.3</v>
      </c>
      <c r="K466" s="11">
        <f>Table1[[#This Row],[original_price]]* (Table1[[#This Row],[Markdown percentage updated]])</f>
        <v>0.68889</v>
      </c>
      <c r="L4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66" s="6">
        <v>228.94</v>
      </c>
      <c r="N4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466" s="7">
        <v>45875</v>
      </c>
      <c r="P466">
        <v>30</v>
      </c>
      <c r="Q466" s="16" t="str">
        <f>IF(Table1[[#This Row],[stock_quantity]]=0,"NO STOCK",
IF(Table1[[#This Row],[stock_quantity]]&lt;=10,"LOW STOCK",
"IN STOCK"))</f>
        <v>IN STOCK</v>
      </c>
      <c r="R466" s="1">
        <f t="shared" si="30"/>
        <v>3.4</v>
      </c>
      <c r="S466">
        <v>3.4</v>
      </c>
      <c r="T466" t="b">
        <v>0</v>
      </c>
      <c r="U466" t="str">
        <f t="shared" si="31"/>
        <v>No Return</v>
      </c>
    </row>
    <row r="467" spans="1:22" hidden="1" x14ac:dyDescent="0.3">
      <c r="A467" t="s">
        <v>520</v>
      </c>
      <c r="B467" t="s">
        <v>21</v>
      </c>
      <c r="C467" t="s">
        <v>53</v>
      </c>
      <c r="D467" t="s">
        <v>17</v>
      </c>
      <c r="E467" t="str">
        <f t="shared" si="28"/>
        <v>OS</v>
      </c>
      <c r="F467" t="s">
        <v>39</v>
      </c>
      <c r="G467" t="s">
        <v>64</v>
      </c>
      <c r="H467" s="8">
        <v>74.09</v>
      </c>
      <c r="I467" s="3">
        <f t="shared" si="29"/>
        <v>0</v>
      </c>
      <c r="J467" s="4">
        <v>0</v>
      </c>
      <c r="K467" s="11">
        <f>Table1[[#This Row],[original_price]]* (Table1[[#This Row],[Markdown percentage updated]])</f>
        <v>0</v>
      </c>
      <c r="L4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67" s="6">
        <v>74.09</v>
      </c>
      <c r="N4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67" s="7">
        <v>45542</v>
      </c>
      <c r="P467">
        <v>35</v>
      </c>
      <c r="Q467" s="16" t="str">
        <f>IF(Table1[[#This Row],[stock_quantity]]=0,"NO STOCK",
IF(Table1[[#This Row],[stock_quantity]]&lt;=10,"LOW STOCK",
"IN STOCK"))</f>
        <v>IN STOCK</v>
      </c>
      <c r="R467" s="1">
        <f t="shared" si="30"/>
        <v>3.4</v>
      </c>
      <c r="S467">
        <v>3.4</v>
      </c>
      <c r="T467" t="b">
        <v>0</v>
      </c>
      <c r="U467" t="str">
        <f t="shared" si="31"/>
        <v>No Return</v>
      </c>
    </row>
    <row r="468" spans="1:22" hidden="1" x14ac:dyDescent="0.3">
      <c r="A468" t="s">
        <v>521</v>
      </c>
      <c r="B468" t="s">
        <v>38</v>
      </c>
      <c r="C468" t="s">
        <v>32</v>
      </c>
      <c r="D468" t="s">
        <v>17</v>
      </c>
      <c r="E468" t="str">
        <f t="shared" si="28"/>
        <v>S</v>
      </c>
      <c r="F468" t="s">
        <v>55</v>
      </c>
      <c r="G468" t="s">
        <v>70</v>
      </c>
      <c r="H468" s="8">
        <v>27.22</v>
      </c>
      <c r="I468" s="3">
        <f t="shared" si="29"/>
        <v>0</v>
      </c>
      <c r="J468" s="4">
        <v>0</v>
      </c>
      <c r="K468" s="11">
        <f>Table1[[#This Row],[original_price]]* (Table1[[#This Row],[Markdown percentage updated]])</f>
        <v>0</v>
      </c>
      <c r="L4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68" s="6">
        <v>27.22</v>
      </c>
      <c r="N4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68" s="7">
        <v>45544</v>
      </c>
      <c r="P468">
        <v>14</v>
      </c>
      <c r="Q468" s="16" t="str">
        <f>IF(Table1[[#This Row],[stock_quantity]]=0,"NO STOCK",
IF(Table1[[#This Row],[stock_quantity]]&lt;=10,"LOW STOCK",
"IN STOCK"))</f>
        <v>IN STOCK</v>
      </c>
      <c r="R468" s="1">
        <f t="shared" si="30"/>
        <v>2.4</v>
      </c>
      <c r="S468">
        <v>2.4</v>
      </c>
      <c r="T468" t="b">
        <v>0</v>
      </c>
      <c r="U468" t="str">
        <f t="shared" si="31"/>
        <v>No Return</v>
      </c>
    </row>
    <row r="469" spans="1:22" x14ac:dyDescent="0.3">
      <c r="A469" t="s">
        <v>522</v>
      </c>
      <c r="B469" t="s">
        <v>21</v>
      </c>
      <c r="C469" t="s">
        <v>53</v>
      </c>
      <c r="D469" t="s">
        <v>17</v>
      </c>
      <c r="E469" t="str">
        <f t="shared" si="28"/>
        <v>XS</v>
      </c>
      <c r="F469" t="s">
        <v>24</v>
      </c>
      <c r="G469" t="s">
        <v>66</v>
      </c>
      <c r="H469" s="8">
        <v>32.64</v>
      </c>
      <c r="I469" s="3">
        <f t="shared" si="29"/>
        <v>1.3999999999999999E-2</v>
      </c>
      <c r="J469" s="4">
        <v>1.4</v>
      </c>
      <c r="K469" s="11">
        <f>Table1[[#This Row],[original_price]]* (Table1[[#This Row],[Markdown percentage updated]])</f>
        <v>0.45695999999999998</v>
      </c>
      <c r="L4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69" s="6">
        <v>32.18</v>
      </c>
      <c r="N4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469" s="7">
        <v>45783</v>
      </c>
      <c r="P469">
        <v>29</v>
      </c>
      <c r="Q469" s="16" t="str">
        <f>IF(Table1[[#This Row],[stock_quantity]]=0,"NO STOCK",
IF(Table1[[#This Row],[stock_quantity]]&lt;=10,"LOW STOCK",
"IN STOCK"))</f>
        <v>IN STOCK</v>
      </c>
      <c r="R469" s="1">
        <f t="shared" si="30"/>
        <v>1.5</v>
      </c>
      <c r="S469">
        <v>1.5</v>
      </c>
      <c r="T469" t="b">
        <v>1</v>
      </c>
      <c r="U469" s="13" t="str">
        <f t="shared" si="31"/>
        <v>Changed Mind</v>
      </c>
      <c r="V469" t="s">
        <v>115</v>
      </c>
    </row>
    <row r="470" spans="1:22" hidden="1" x14ac:dyDescent="0.3">
      <c r="A470" t="s">
        <v>523</v>
      </c>
      <c r="B470" t="s">
        <v>27</v>
      </c>
      <c r="C470" t="s">
        <v>16</v>
      </c>
      <c r="D470" t="s">
        <v>62</v>
      </c>
      <c r="E470" t="str">
        <f t="shared" si="28"/>
        <v>OS</v>
      </c>
      <c r="G470" t="s">
        <v>66</v>
      </c>
      <c r="H470" s="8">
        <v>30.25</v>
      </c>
      <c r="I470" s="3">
        <f t="shared" si="29"/>
        <v>0.11800000000000001</v>
      </c>
      <c r="J470" s="4">
        <v>11.8</v>
      </c>
      <c r="K470" s="11">
        <f>Table1[[#This Row],[original_price]]* (Table1[[#This Row],[Markdown percentage updated]])</f>
        <v>3.5695000000000001</v>
      </c>
      <c r="L4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70" s="6">
        <v>26.68</v>
      </c>
      <c r="N4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470" s="7">
        <v>45875</v>
      </c>
      <c r="P470">
        <v>30</v>
      </c>
      <c r="Q470" s="16" t="str">
        <f>IF(Table1[[#This Row],[stock_quantity]]=0,"NO STOCK",
IF(Table1[[#This Row],[stock_quantity]]&lt;=10,"LOW STOCK",
"IN STOCK"))</f>
        <v>IN STOCK</v>
      </c>
      <c r="R470" s="1">
        <f t="shared" si="30"/>
        <v>3.4</v>
      </c>
      <c r="S470">
        <v>3.4</v>
      </c>
      <c r="T470" t="b">
        <v>0</v>
      </c>
      <c r="U470" t="str">
        <f t="shared" si="31"/>
        <v>No Return</v>
      </c>
    </row>
    <row r="471" spans="1:22" hidden="1" x14ac:dyDescent="0.3">
      <c r="A471" t="s">
        <v>524</v>
      </c>
      <c r="B471" t="s">
        <v>15</v>
      </c>
      <c r="C471" t="s">
        <v>22</v>
      </c>
      <c r="D471" t="s">
        <v>62</v>
      </c>
      <c r="E471" t="str">
        <f t="shared" si="28"/>
        <v>XS</v>
      </c>
      <c r="F471" t="s">
        <v>39</v>
      </c>
      <c r="G471" t="s">
        <v>70</v>
      </c>
      <c r="H471" s="8">
        <v>180.57</v>
      </c>
      <c r="I471" s="3">
        <f t="shared" si="29"/>
        <v>0</v>
      </c>
      <c r="J471" s="4">
        <v>0</v>
      </c>
      <c r="K471" s="11">
        <f>Table1[[#This Row],[original_price]]* (Table1[[#This Row],[Markdown percentage updated]])</f>
        <v>0</v>
      </c>
      <c r="L4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71" s="6">
        <v>180.57</v>
      </c>
      <c r="N4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71" s="7">
        <v>45875</v>
      </c>
      <c r="P471">
        <v>28</v>
      </c>
      <c r="Q471" s="16" t="str">
        <f>IF(Table1[[#This Row],[stock_quantity]]=0,"NO STOCK",
IF(Table1[[#This Row],[stock_quantity]]&lt;=10,"LOW STOCK",
"IN STOCK"))</f>
        <v>IN STOCK</v>
      </c>
      <c r="R471" s="1">
        <f t="shared" si="30"/>
        <v>0</v>
      </c>
      <c r="T471" t="b">
        <v>0</v>
      </c>
      <c r="U471" t="str">
        <f t="shared" si="31"/>
        <v>No Return</v>
      </c>
    </row>
    <row r="472" spans="1:22" hidden="1" x14ac:dyDescent="0.3">
      <c r="A472" t="s">
        <v>525</v>
      </c>
      <c r="B472" t="s">
        <v>38</v>
      </c>
      <c r="C472" t="s">
        <v>22</v>
      </c>
      <c r="D472" t="s">
        <v>62</v>
      </c>
      <c r="E472" t="str">
        <f t="shared" si="28"/>
        <v>L</v>
      </c>
      <c r="F472" t="s">
        <v>55</v>
      </c>
      <c r="G472" t="s">
        <v>35</v>
      </c>
      <c r="H472" s="8">
        <v>96.55</v>
      </c>
      <c r="I472" s="3">
        <f t="shared" si="29"/>
        <v>0</v>
      </c>
      <c r="J472" s="4">
        <v>0</v>
      </c>
      <c r="K472" s="11">
        <f>Table1[[#This Row],[original_price]]* (Table1[[#This Row],[Markdown percentage updated]])</f>
        <v>0</v>
      </c>
      <c r="L4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72" s="6">
        <v>96.55</v>
      </c>
      <c r="N4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72" s="7">
        <v>45875</v>
      </c>
      <c r="P472">
        <v>17</v>
      </c>
      <c r="Q472" s="16" t="str">
        <f>IF(Table1[[#This Row],[stock_quantity]]=0,"NO STOCK",
IF(Table1[[#This Row],[stock_quantity]]&lt;=10,"LOW STOCK",
"IN STOCK"))</f>
        <v>IN STOCK</v>
      </c>
      <c r="R472" s="1">
        <f t="shared" si="30"/>
        <v>4.4000000000000004</v>
      </c>
      <c r="S472">
        <v>4.4000000000000004</v>
      </c>
      <c r="T472" t="b">
        <v>0</v>
      </c>
      <c r="U472" t="str">
        <f t="shared" si="31"/>
        <v>No Return</v>
      </c>
    </row>
    <row r="473" spans="1:22" hidden="1" x14ac:dyDescent="0.3">
      <c r="A473" t="s">
        <v>526</v>
      </c>
      <c r="B473" t="s">
        <v>38</v>
      </c>
      <c r="C473" t="s">
        <v>53</v>
      </c>
      <c r="D473" t="s">
        <v>34</v>
      </c>
      <c r="E473" t="str">
        <f t="shared" si="28"/>
        <v>L</v>
      </c>
      <c r="G473" t="s">
        <v>25</v>
      </c>
      <c r="H473" s="8">
        <v>68.53</v>
      </c>
      <c r="I473" s="3">
        <f t="shared" si="29"/>
        <v>0.54299999999999993</v>
      </c>
      <c r="J473" s="4">
        <v>54.3</v>
      </c>
      <c r="K473" s="11">
        <f>Table1[[#This Row],[original_price]]* (Table1[[#This Row],[Markdown percentage updated]])</f>
        <v>37.211789999999993</v>
      </c>
      <c r="L4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73" s="6">
        <v>31.32</v>
      </c>
      <c r="N4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73" s="7">
        <v>45875</v>
      </c>
      <c r="P473">
        <v>38</v>
      </c>
      <c r="Q473" s="16" t="str">
        <f>IF(Table1[[#This Row],[stock_quantity]]=0,"NO STOCK",
IF(Table1[[#This Row],[stock_quantity]]&lt;=10,"LOW STOCK",
"IN STOCK"))</f>
        <v>IN STOCK</v>
      </c>
      <c r="R473" s="1">
        <f t="shared" si="30"/>
        <v>2.9</v>
      </c>
      <c r="S473">
        <v>2.9</v>
      </c>
      <c r="T473" t="b">
        <v>0</v>
      </c>
      <c r="U473" t="str">
        <f t="shared" si="31"/>
        <v>No Return</v>
      </c>
    </row>
    <row r="474" spans="1:22" hidden="1" x14ac:dyDescent="0.3">
      <c r="A474" t="s">
        <v>527</v>
      </c>
      <c r="B474" t="s">
        <v>30</v>
      </c>
      <c r="C474" t="s">
        <v>61</v>
      </c>
      <c r="D474" t="s">
        <v>34</v>
      </c>
      <c r="E474" t="str">
        <f t="shared" si="28"/>
        <v>M</v>
      </c>
      <c r="F474" t="s">
        <v>55</v>
      </c>
      <c r="G474" t="s">
        <v>35</v>
      </c>
      <c r="H474" s="8">
        <v>71.94</v>
      </c>
      <c r="I474" s="3">
        <f t="shared" si="29"/>
        <v>0</v>
      </c>
      <c r="J474" s="4">
        <v>0</v>
      </c>
      <c r="K474" s="11">
        <f>Table1[[#This Row],[original_price]]* (Table1[[#This Row],[Markdown percentage updated]])</f>
        <v>0</v>
      </c>
      <c r="L4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74" s="6">
        <v>71.94</v>
      </c>
      <c r="N4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74" s="7">
        <v>45875</v>
      </c>
      <c r="P474">
        <v>45</v>
      </c>
      <c r="Q474" s="16" t="str">
        <f>IF(Table1[[#This Row],[stock_quantity]]=0,"NO STOCK",
IF(Table1[[#This Row],[stock_quantity]]&lt;=10,"LOW STOCK",
"IN STOCK"))</f>
        <v>IN STOCK</v>
      </c>
      <c r="R474" s="1">
        <f t="shared" si="30"/>
        <v>3.3</v>
      </c>
      <c r="S474">
        <v>3.3</v>
      </c>
      <c r="T474" t="b">
        <v>0</v>
      </c>
      <c r="U474" t="str">
        <f t="shared" si="31"/>
        <v>No Return</v>
      </c>
    </row>
    <row r="475" spans="1:22" hidden="1" x14ac:dyDescent="0.3">
      <c r="A475" t="s">
        <v>528</v>
      </c>
      <c r="B475" t="s">
        <v>30</v>
      </c>
      <c r="C475" t="s">
        <v>61</v>
      </c>
      <c r="D475" t="s">
        <v>34</v>
      </c>
      <c r="E475" t="str">
        <f t="shared" si="28"/>
        <v>S</v>
      </c>
      <c r="F475" t="s">
        <v>24</v>
      </c>
      <c r="G475" t="s">
        <v>44</v>
      </c>
      <c r="H475" s="8">
        <v>80.72</v>
      </c>
      <c r="I475" s="3">
        <f t="shared" si="29"/>
        <v>9.9000000000000005E-2</v>
      </c>
      <c r="J475" s="4">
        <v>9.9</v>
      </c>
      <c r="K475" s="11">
        <f>Table1[[#This Row],[original_price]]* (Table1[[#This Row],[Markdown percentage updated]])</f>
        <v>7.9912800000000006</v>
      </c>
      <c r="L4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75" s="6">
        <v>72.73</v>
      </c>
      <c r="N4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475" s="7">
        <v>45875</v>
      </c>
      <c r="P475">
        <v>37</v>
      </c>
      <c r="Q475" s="16" t="str">
        <f>IF(Table1[[#This Row],[stock_quantity]]=0,"NO STOCK",
IF(Table1[[#This Row],[stock_quantity]]&lt;=10,"LOW STOCK",
"IN STOCK"))</f>
        <v>IN STOCK</v>
      </c>
      <c r="R475" s="1">
        <f t="shared" si="30"/>
        <v>2.5</v>
      </c>
      <c r="S475">
        <v>2.5</v>
      </c>
      <c r="T475" t="b">
        <v>0</v>
      </c>
      <c r="U475" t="str">
        <f t="shared" si="31"/>
        <v>No Return</v>
      </c>
    </row>
    <row r="476" spans="1:22" hidden="1" x14ac:dyDescent="0.3">
      <c r="A476" t="s">
        <v>529</v>
      </c>
      <c r="B476" t="s">
        <v>15</v>
      </c>
      <c r="C476" t="s">
        <v>16</v>
      </c>
      <c r="D476" t="s">
        <v>23</v>
      </c>
      <c r="E476" t="str">
        <f t="shared" si="28"/>
        <v>OS</v>
      </c>
      <c r="F476" t="s">
        <v>24</v>
      </c>
      <c r="G476" t="s">
        <v>46</v>
      </c>
      <c r="H476" s="8">
        <v>208.8</v>
      </c>
      <c r="I476" s="3">
        <f t="shared" si="29"/>
        <v>0</v>
      </c>
      <c r="J476" s="4">
        <v>0</v>
      </c>
      <c r="K476" s="11">
        <f>Table1[[#This Row],[original_price]]* (Table1[[#This Row],[Markdown percentage updated]])</f>
        <v>0</v>
      </c>
      <c r="L4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76" s="6">
        <v>208.8</v>
      </c>
      <c r="N4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76" s="7">
        <v>45875</v>
      </c>
      <c r="P476">
        <v>13</v>
      </c>
      <c r="Q476" s="16" t="str">
        <f>IF(Table1[[#This Row],[stock_quantity]]=0,"NO STOCK",
IF(Table1[[#This Row],[stock_quantity]]&lt;=10,"LOW STOCK",
"IN STOCK"))</f>
        <v>IN STOCK</v>
      </c>
      <c r="R476" s="1">
        <f t="shared" si="30"/>
        <v>1.6</v>
      </c>
      <c r="S476">
        <v>1.6</v>
      </c>
      <c r="T476" t="b">
        <v>0</v>
      </c>
      <c r="U476" t="str">
        <f t="shared" si="31"/>
        <v>No Return</v>
      </c>
    </row>
    <row r="477" spans="1:22" hidden="1" x14ac:dyDescent="0.3">
      <c r="A477" t="s">
        <v>530</v>
      </c>
      <c r="B477" t="s">
        <v>30</v>
      </c>
      <c r="C477" t="s">
        <v>43</v>
      </c>
      <c r="D477" t="s">
        <v>62</v>
      </c>
      <c r="E477" t="str">
        <f t="shared" si="28"/>
        <v>XL</v>
      </c>
      <c r="F477" t="s">
        <v>58</v>
      </c>
      <c r="G477" t="s">
        <v>64</v>
      </c>
      <c r="H477" s="8">
        <v>158.15</v>
      </c>
      <c r="I477" s="3">
        <f t="shared" si="29"/>
        <v>0.54100000000000004</v>
      </c>
      <c r="J477" s="4">
        <v>54.1</v>
      </c>
      <c r="K477" s="11">
        <f>Table1[[#This Row],[original_price]]* (Table1[[#This Row],[Markdown percentage updated]])</f>
        <v>85.559150000000002</v>
      </c>
      <c r="L4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77" s="6">
        <v>72.59</v>
      </c>
      <c r="N4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77" s="7">
        <v>45875</v>
      </c>
      <c r="P477">
        <v>36</v>
      </c>
      <c r="Q477" s="16" t="str">
        <f>IF(Table1[[#This Row],[stock_quantity]]=0,"NO STOCK",
IF(Table1[[#This Row],[stock_quantity]]&lt;=10,"LOW STOCK",
"IN STOCK"))</f>
        <v>IN STOCK</v>
      </c>
      <c r="R477" s="1">
        <f t="shared" si="30"/>
        <v>4.5</v>
      </c>
      <c r="S477">
        <v>4.5</v>
      </c>
      <c r="T477" t="b">
        <v>0</v>
      </c>
      <c r="U477" t="str">
        <f t="shared" si="31"/>
        <v>No Return</v>
      </c>
    </row>
    <row r="478" spans="1:22" hidden="1" x14ac:dyDescent="0.3">
      <c r="A478" t="s">
        <v>531</v>
      </c>
      <c r="B478" t="s">
        <v>21</v>
      </c>
      <c r="C478" t="s">
        <v>16</v>
      </c>
      <c r="D478" t="s">
        <v>34</v>
      </c>
      <c r="E478" t="str">
        <f t="shared" si="28"/>
        <v>XS</v>
      </c>
      <c r="F478" t="s">
        <v>39</v>
      </c>
      <c r="G478" t="s">
        <v>35</v>
      </c>
      <c r="H478" s="8">
        <v>85.92</v>
      </c>
      <c r="I478" s="3">
        <f t="shared" si="29"/>
        <v>0</v>
      </c>
      <c r="J478" s="4">
        <v>0</v>
      </c>
      <c r="K478" s="11">
        <f>Table1[[#This Row],[original_price]]* (Table1[[#This Row],[Markdown percentage updated]])</f>
        <v>0</v>
      </c>
      <c r="L4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78" s="6">
        <v>85.92</v>
      </c>
      <c r="N4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78" s="7">
        <v>45875</v>
      </c>
      <c r="P478">
        <v>12</v>
      </c>
      <c r="Q478" s="16" t="str">
        <f>IF(Table1[[#This Row],[stock_quantity]]=0,"NO STOCK",
IF(Table1[[#This Row],[stock_quantity]]&lt;=10,"LOW STOCK",
"IN STOCK"))</f>
        <v>IN STOCK</v>
      </c>
      <c r="R478" s="1">
        <f t="shared" si="30"/>
        <v>0</v>
      </c>
      <c r="T478" t="b">
        <v>0</v>
      </c>
      <c r="U478" t="str">
        <f t="shared" si="31"/>
        <v>No Return</v>
      </c>
    </row>
    <row r="479" spans="1:22" hidden="1" x14ac:dyDescent="0.3">
      <c r="A479" t="s">
        <v>532</v>
      </c>
      <c r="B479" t="s">
        <v>27</v>
      </c>
      <c r="C479" t="s">
        <v>61</v>
      </c>
      <c r="D479" t="s">
        <v>17</v>
      </c>
      <c r="E479" t="str">
        <f t="shared" si="28"/>
        <v>S</v>
      </c>
      <c r="G479" t="s">
        <v>25</v>
      </c>
      <c r="H479" s="8">
        <v>69.59</v>
      </c>
      <c r="I479" s="3">
        <f t="shared" si="29"/>
        <v>0</v>
      </c>
      <c r="J479" s="4">
        <v>0</v>
      </c>
      <c r="K479" s="11">
        <f>Table1[[#This Row],[original_price]]* (Table1[[#This Row],[Markdown percentage updated]])</f>
        <v>0</v>
      </c>
      <c r="L4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79" s="6">
        <v>69.59</v>
      </c>
      <c r="N4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79" s="7">
        <v>45561</v>
      </c>
      <c r="P479">
        <v>38</v>
      </c>
      <c r="Q479" s="16" t="str">
        <f>IF(Table1[[#This Row],[stock_quantity]]=0,"NO STOCK",
IF(Table1[[#This Row],[stock_quantity]]&lt;=10,"LOW STOCK",
"IN STOCK"))</f>
        <v>IN STOCK</v>
      </c>
      <c r="R479" s="1">
        <f t="shared" si="30"/>
        <v>1.5</v>
      </c>
      <c r="S479">
        <v>1.5</v>
      </c>
      <c r="T479" t="b">
        <v>0</v>
      </c>
      <c r="U479" t="str">
        <f t="shared" si="31"/>
        <v>No Return</v>
      </c>
    </row>
    <row r="480" spans="1:22" hidden="1" x14ac:dyDescent="0.3">
      <c r="A480" t="s">
        <v>533</v>
      </c>
      <c r="B480" t="s">
        <v>42</v>
      </c>
      <c r="C480" t="s">
        <v>16</v>
      </c>
      <c r="D480" t="s">
        <v>23</v>
      </c>
      <c r="E480" t="str">
        <f t="shared" si="28"/>
        <v>S</v>
      </c>
      <c r="F480" t="s">
        <v>18</v>
      </c>
      <c r="G480" t="s">
        <v>19</v>
      </c>
      <c r="H480" s="8">
        <v>136.16999999999999</v>
      </c>
      <c r="I480" s="3">
        <f t="shared" si="29"/>
        <v>0.191</v>
      </c>
      <c r="J480" s="4">
        <v>19.100000000000001</v>
      </c>
      <c r="K480" s="11">
        <f>Table1[[#This Row],[original_price]]* (Table1[[#This Row],[Markdown percentage updated]])</f>
        <v>26.008469999999999</v>
      </c>
      <c r="L4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80" s="6">
        <v>110.16</v>
      </c>
      <c r="N4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80" s="7">
        <v>45875</v>
      </c>
      <c r="P480">
        <v>14</v>
      </c>
      <c r="Q480" s="16" t="str">
        <f>IF(Table1[[#This Row],[stock_quantity]]=0,"NO STOCK",
IF(Table1[[#This Row],[stock_quantity]]&lt;=10,"LOW STOCK",
"IN STOCK"))</f>
        <v>IN STOCK</v>
      </c>
      <c r="R480" s="1">
        <f t="shared" si="30"/>
        <v>0</v>
      </c>
      <c r="T480" t="b">
        <v>0</v>
      </c>
      <c r="U480" t="str">
        <f t="shared" si="31"/>
        <v>No Return</v>
      </c>
    </row>
    <row r="481" spans="1:22" hidden="1" x14ac:dyDescent="0.3">
      <c r="A481" t="s">
        <v>534</v>
      </c>
      <c r="B481" t="s">
        <v>30</v>
      </c>
      <c r="C481" t="s">
        <v>43</v>
      </c>
      <c r="D481" t="s">
        <v>17</v>
      </c>
      <c r="E481" t="str">
        <f t="shared" si="28"/>
        <v>XS</v>
      </c>
      <c r="F481" t="s">
        <v>55</v>
      </c>
      <c r="G481" t="s">
        <v>25</v>
      </c>
      <c r="H481" s="8">
        <v>124.26</v>
      </c>
      <c r="I481" s="3">
        <f t="shared" si="29"/>
        <v>0</v>
      </c>
      <c r="J481" s="4">
        <v>0</v>
      </c>
      <c r="K481" s="11">
        <f>Table1[[#This Row],[original_price]]* (Table1[[#This Row],[Markdown percentage updated]])</f>
        <v>0</v>
      </c>
      <c r="L4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81" s="6">
        <v>124.26</v>
      </c>
      <c r="N4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81" s="7">
        <v>45512</v>
      </c>
      <c r="P481">
        <v>44</v>
      </c>
      <c r="Q481" s="16" t="str">
        <f>IF(Table1[[#This Row],[stock_quantity]]=0,"NO STOCK",
IF(Table1[[#This Row],[stock_quantity]]&lt;=10,"LOW STOCK",
"IN STOCK"))</f>
        <v>IN STOCK</v>
      </c>
      <c r="R481" s="1">
        <f t="shared" si="30"/>
        <v>4</v>
      </c>
      <c r="S481">
        <v>4</v>
      </c>
      <c r="T481" t="b">
        <v>0</v>
      </c>
      <c r="U481" t="str">
        <f t="shared" si="31"/>
        <v>No Return</v>
      </c>
    </row>
    <row r="482" spans="1:22" hidden="1" x14ac:dyDescent="0.3">
      <c r="A482" t="s">
        <v>535</v>
      </c>
      <c r="B482" t="s">
        <v>30</v>
      </c>
      <c r="C482" t="s">
        <v>32</v>
      </c>
      <c r="D482" t="s">
        <v>23</v>
      </c>
      <c r="E482" t="str">
        <f t="shared" si="28"/>
        <v>XS</v>
      </c>
      <c r="F482" t="s">
        <v>39</v>
      </c>
      <c r="G482" t="s">
        <v>28</v>
      </c>
      <c r="H482" s="8">
        <v>129.33000000000001</v>
      </c>
      <c r="I482" s="3">
        <f t="shared" si="29"/>
        <v>0</v>
      </c>
      <c r="J482" s="4">
        <v>0</v>
      </c>
      <c r="K482" s="11">
        <f>Table1[[#This Row],[original_price]]* (Table1[[#This Row],[Markdown percentage updated]])</f>
        <v>0</v>
      </c>
      <c r="L4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82" s="6">
        <v>129.33000000000001</v>
      </c>
      <c r="N4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82" s="7">
        <v>45875</v>
      </c>
      <c r="P482">
        <v>15</v>
      </c>
      <c r="Q482" s="16" t="str">
        <f>IF(Table1[[#This Row],[stock_quantity]]=0,"NO STOCK",
IF(Table1[[#This Row],[stock_quantity]]&lt;=10,"LOW STOCK",
"IN STOCK"))</f>
        <v>IN STOCK</v>
      </c>
      <c r="R482" s="1">
        <f t="shared" si="30"/>
        <v>3.1</v>
      </c>
      <c r="S482">
        <v>3.1</v>
      </c>
      <c r="T482" t="b">
        <v>0</v>
      </c>
      <c r="U482" t="str">
        <f t="shared" si="31"/>
        <v>No Return</v>
      </c>
    </row>
    <row r="483" spans="1:22" hidden="1" x14ac:dyDescent="0.3">
      <c r="A483" t="s">
        <v>536</v>
      </c>
      <c r="B483" t="s">
        <v>42</v>
      </c>
      <c r="C483" t="s">
        <v>48</v>
      </c>
      <c r="D483" t="s">
        <v>17</v>
      </c>
      <c r="E483" t="str">
        <f t="shared" si="28"/>
        <v>S</v>
      </c>
      <c r="F483" t="s">
        <v>39</v>
      </c>
      <c r="G483" t="s">
        <v>64</v>
      </c>
      <c r="H483" s="8">
        <v>123.93</v>
      </c>
      <c r="I483" s="3">
        <f t="shared" si="29"/>
        <v>0.3</v>
      </c>
      <c r="J483" s="4">
        <v>30</v>
      </c>
      <c r="K483" s="11">
        <f>Table1[[#This Row],[original_price]]* (Table1[[#This Row],[Markdown percentage updated]])</f>
        <v>37.179000000000002</v>
      </c>
      <c r="L4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483" s="6">
        <v>86.75</v>
      </c>
      <c r="N4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83" s="7">
        <v>45869</v>
      </c>
      <c r="P483">
        <v>39</v>
      </c>
      <c r="Q483" s="16" t="str">
        <f>IF(Table1[[#This Row],[stock_quantity]]=0,"NO STOCK",
IF(Table1[[#This Row],[stock_quantity]]&lt;=10,"LOW STOCK",
"IN STOCK"))</f>
        <v>IN STOCK</v>
      </c>
      <c r="R483" s="1">
        <f t="shared" si="30"/>
        <v>1.9</v>
      </c>
      <c r="S483">
        <v>1.9</v>
      </c>
      <c r="T483" t="b">
        <v>0</v>
      </c>
      <c r="U483" t="str">
        <f t="shared" si="31"/>
        <v>No Return</v>
      </c>
    </row>
    <row r="484" spans="1:22" hidden="1" x14ac:dyDescent="0.3">
      <c r="A484" t="s">
        <v>537</v>
      </c>
      <c r="B484" t="s">
        <v>30</v>
      </c>
      <c r="C484" t="s">
        <v>16</v>
      </c>
      <c r="D484" t="s">
        <v>62</v>
      </c>
      <c r="E484" t="str">
        <f t="shared" si="28"/>
        <v>OS</v>
      </c>
      <c r="F484" t="s">
        <v>55</v>
      </c>
      <c r="G484" t="s">
        <v>56</v>
      </c>
      <c r="H484" s="8">
        <v>62.76</v>
      </c>
      <c r="I484" s="3">
        <f t="shared" si="29"/>
        <v>0</v>
      </c>
      <c r="J484" s="4">
        <v>0</v>
      </c>
      <c r="K484" s="11">
        <f>Table1[[#This Row],[original_price]]* (Table1[[#This Row],[Markdown percentage updated]])</f>
        <v>0</v>
      </c>
      <c r="L4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84" s="6">
        <v>62.76</v>
      </c>
      <c r="N4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84" s="7">
        <v>45875</v>
      </c>
      <c r="P484">
        <v>12</v>
      </c>
      <c r="Q484" s="16" t="str">
        <f>IF(Table1[[#This Row],[stock_quantity]]=0,"NO STOCK",
IF(Table1[[#This Row],[stock_quantity]]&lt;=10,"LOW STOCK",
"IN STOCK"))</f>
        <v>IN STOCK</v>
      </c>
      <c r="R484" s="1">
        <f t="shared" si="30"/>
        <v>4.7</v>
      </c>
      <c r="S484">
        <v>4.7</v>
      </c>
      <c r="T484" t="b">
        <v>0</v>
      </c>
      <c r="U484" t="str">
        <f t="shared" si="31"/>
        <v>No Return</v>
      </c>
    </row>
    <row r="485" spans="1:22" hidden="1" x14ac:dyDescent="0.3">
      <c r="A485" t="s">
        <v>538</v>
      </c>
      <c r="B485" t="s">
        <v>30</v>
      </c>
      <c r="C485" t="s">
        <v>22</v>
      </c>
      <c r="D485" t="s">
        <v>17</v>
      </c>
      <c r="E485" t="str">
        <f t="shared" si="28"/>
        <v>XL</v>
      </c>
      <c r="F485" t="s">
        <v>55</v>
      </c>
      <c r="G485" t="s">
        <v>44</v>
      </c>
      <c r="H485" s="8">
        <v>74.540000000000006</v>
      </c>
      <c r="I485" s="3">
        <f t="shared" si="29"/>
        <v>0</v>
      </c>
      <c r="J485" s="4">
        <v>0</v>
      </c>
      <c r="K485" s="11">
        <f>Table1[[#This Row],[original_price]]* (Table1[[#This Row],[Markdown percentage updated]])</f>
        <v>0</v>
      </c>
      <c r="L4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85" s="6">
        <v>74.540000000000006</v>
      </c>
      <c r="N4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85" s="7">
        <v>45603</v>
      </c>
      <c r="P485">
        <v>4</v>
      </c>
      <c r="Q485" s="17" t="str">
        <f>IF(Table1[[#This Row],[stock_quantity]]=0,"NO STOCK",
IF(Table1[[#This Row],[stock_quantity]]&lt;=10,"LOW STOCK",
"IN STOCK"))</f>
        <v>LOW STOCK</v>
      </c>
      <c r="R485" s="1">
        <f t="shared" si="30"/>
        <v>3.5</v>
      </c>
      <c r="S485">
        <v>3.5</v>
      </c>
      <c r="T485" t="b">
        <v>0</v>
      </c>
      <c r="U485" t="str">
        <f t="shared" si="31"/>
        <v>No Return</v>
      </c>
    </row>
    <row r="486" spans="1:22" hidden="1" x14ac:dyDescent="0.3">
      <c r="A486" t="s">
        <v>539</v>
      </c>
      <c r="B486" t="s">
        <v>21</v>
      </c>
      <c r="C486" t="s">
        <v>61</v>
      </c>
      <c r="D486" t="s">
        <v>62</v>
      </c>
      <c r="E486" t="str">
        <f t="shared" si="28"/>
        <v>OS</v>
      </c>
      <c r="F486" t="s">
        <v>39</v>
      </c>
      <c r="G486" t="s">
        <v>25</v>
      </c>
      <c r="H486" s="8">
        <v>114.03</v>
      </c>
      <c r="I486" s="3">
        <f t="shared" si="29"/>
        <v>0</v>
      </c>
      <c r="J486" s="4">
        <v>0</v>
      </c>
      <c r="K486" s="11">
        <f>Table1[[#This Row],[original_price]]* (Table1[[#This Row],[Markdown percentage updated]])</f>
        <v>0</v>
      </c>
      <c r="L4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86" s="6">
        <v>114.03</v>
      </c>
      <c r="N4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86" s="7">
        <v>45875</v>
      </c>
      <c r="P486">
        <v>2</v>
      </c>
      <c r="Q486" s="17" t="str">
        <f>IF(Table1[[#This Row],[stock_quantity]]=0,"NO STOCK",
IF(Table1[[#This Row],[stock_quantity]]&lt;=10,"LOW STOCK",
"IN STOCK"))</f>
        <v>LOW STOCK</v>
      </c>
      <c r="R486" s="1">
        <f t="shared" si="30"/>
        <v>0</v>
      </c>
      <c r="T486" t="b">
        <v>0</v>
      </c>
      <c r="U486" t="str">
        <f t="shared" si="31"/>
        <v>No Return</v>
      </c>
    </row>
    <row r="487" spans="1:22" hidden="1" x14ac:dyDescent="0.3">
      <c r="A487" t="s">
        <v>540</v>
      </c>
      <c r="B487" t="s">
        <v>27</v>
      </c>
      <c r="C487" t="s">
        <v>61</v>
      </c>
      <c r="D487" t="s">
        <v>34</v>
      </c>
      <c r="E487" t="str">
        <f t="shared" si="28"/>
        <v>OS</v>
      </c>
      <c r="G487" t="s">
        <v>35</v>
      </c>
      <c r="H487" s="8">
        <v>20.59</v>
      </c>
      <c r="I487" s="3">
        <f t="shared" si="29"/>
        <v>0.27600000000000002</v>
      </c>
      <c r="J487" s="4">
        <v>27.6</v>
      </c>
      <c r="K487" s="11">
        <f>Table1[[#This Row],[original_price]]* (Table1[[#This Row],[Markdown percentage updated]])</f>
        <v>5.6828400000000006</v>
      </c>
      <c r="L4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487" s="6">
        <v>14.91</v>
      </c>
      <c r="N4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487" s="7">
        <v>45875</v>
      </c>
      <c r="P487">
        <v>36</v>
      </c>
      <c r="Q487" s="16" t="str">
        <f>IF(Table1[[#This Row],[stock_quantity]]=0,"NO STOCK",
IF(Table1[[#This Row],[stock_quantity]]&lt;=10,"LOW STOCK",
"IN STOCK"))</f>
        <v>IN STOCK</v>
      </c>
      <c r="R487" s="1">
        <f t="shared" si="30"/>
        <v>0</v>
      </c>
      <c r="T487" t="b">
        <v>0</v>
      </c>
      <c r="U487" t="str">
        <f t="shared" si="31"/>
        <v>No Return</v>
      </c>
    </row>
    <row r="488" spans="1:22" hidden="1" x14ac:dyDescent="0.3">
      <c r="A488" t="s">
        <v>541</v>
      </c>
      <c r="B488" t="s">
        <v>30</v>
      </c>
      <c r="C488" t="s">
        <v>32</v>
      </c>
      <c r="D488" t="s">
        <v>62</v>
      </c>
      <c r="E488" t="str">
        <f t="shared" si="28"/>
        <v>OS</v>
      </c>
      <c r="F488" t="s">
        <v>18</v>
      </c>
      <c r="G488" t="s">
        <v>44</v>
      </c>
      <c r="H488" s="8">
        <v>167.86</v>
      </c>
      <c r="I488" s="3">
        <f t="shared" si="29"/>
        <v>0</v>
      </c>
      <c r="J488" s="4">
        <v>0</v>
      </c>
      <c r="K488" s="11">
        <f>Table1[[#This Row],[original_price]]* (Table1[[#This Row],[Markdown percentage updated]])</f>
        <v>0</v>
      </c>
      <c r="L4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88" s="6">
        <v>167.86</v>
      </c>
      <c r="N4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88" s="7">
        <v>45875</v>
      </c>
      <c r="P488">
        <v>17</v>
      </c>
      <c r="Q488" s="16" t="str">
        <f>IF(Table1[[#This Row],[stock_quantity]]=0,"NO STOCK",
IF(Table1[[#This Row],[stock_quantity]]&lt;=10,"LOW STOCK",
"IN STOCK"))</f>
        <v>IN STOCK</v>
      </c>
      <c r="R488" s="1">
        <f t="shared" si="30"/>
        <v>3.2</v>
      </c>
      <c r="S488">
        <v>3.2</v>
      </c>
      <c r="T488" t="b">
        <v>0</v>
      </c>
      <c r="U488" t="str">
        <f t="shared" si="31"/>
        <v>No Return</v>
      </c>
    </row>
    <row r="489" spans="1:22" hidden="1" x14ac:dyDescent="0.3">
      <c r="A489" t="s">
        <v>542</v>
      </c>
      <c r="B489" t="s">
        <v>27</v>
      </c>
      <c r="C489" t="s">
        <v>22</v>
      </c>
      <c r="D489" t="s">
        <v>34</v>
      </c>
      <c r="E489" t="str">
        <f t="shared" si="28"/>
        <v>M</v>
      </c>
      <c r="G489" t="s">
        <v>40</v>
      </c>
      <c r="H489" s="8">
        <v>62.2</v>
      </c>
      <c r="I489" s="3">
        <f t="shared" si="29"/>
        <v>0.377</v>
      </c>
      <c r="J489" s="4">
        <v>37.700000000000003</v>
      </c>
      <c r="K489" s="11">
        <f>Table1[[#This Row],[original_price]]* (Table1[[#This Row],[Markdown percentage updated]])</f>
        <v>23.449400000000001</v>
      </c>
      <c r="L4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89" s="6">
        <v>38.75</v>
      </c>
      <c r="N4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89" s="7">
        <v>45875</v>
      </c>
      <c r="P489">
        <v>16</v>
      </c>
      <c r="Q489" s="16" t="str">
        <f>IF(Table1[[#This Row],[stock_quantity]]=0,"NO STOCK",
IF(Table1[[#This Row],[stock_quantity]]&lt;=10,"LOW STOCK",
"IN STOCK"))</f>
        <v>IN STOCK</v>
      </c>
      <c r="R489" s="1">
        <f t="shared" si="30"/>
        <v>3.1</v>
      </c>
      <c r="S489">
        <v>3.1</v>
      </c>
      <c r="T489" t="b">
        <v>0</v>
      </c>
      <c r="U489" t="str">
        <f t="shared" si="31"/>
        <v>No Return</v>
      </c>
    </row>
    <row r="490" spans="1:22" hidden="1" x14ac:dyDescent="0.3">
      <c r="A490" t="s">
        <v>543</v>
      </c>
      <c r="B490" t="s">
        <v>15</v>
      </c>
      <c r="C490" t="s">
        <v>32</v>
      </c>
      <c r="D490" t="s">
        <v>34</v>
      </c>
      <c r="E490" t="str">
        <f t="shared" si="28"/>
        <v>XS</v>
      </c>
      <c r="G490" t="s">
        <v>25</v>
      </c>
      <c r="H490" s="8">
        <v>223.69</v>
      </c>
      <c r="I490" s="3">
        <f t="shared" si="29"/>
        <v>6.3E-2</v>
      </c>
      <c r="J490" s="4">
        <v>6.3</v>
      </c>
      <c r="K490" s="11">
        <f>Table1[[#This Row],[original_price]]* (Table1[[#This Row],[Markdown percentage updated]])</f>
        <v>14.09247</v>
      </c>
      <c r="L4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490" s="6">
        <v>209.6</v>
      </c>
      <c r="N4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490" s="7">
        <v>45875</v>
      </c>
      <c r="P490">
        <v>18</v>
      </c>
      <c r="Q490" s="16" t="str">
        <f>IF(Table1[[#This Row],[stock_quantity]]=0,"NO STOCK",
IF(Table1[[#This Row],[stock_quantity]]&lt;=10,"LOW STOCK",
"IN STOCK"))</f>
        <v>IN STOCK</v>
      </c>
      <c r="R490" s="1">
        <f t="shared" si="30"/>
        <v>1.9</v>
      </c>
      <c r="S490">
        <v>1.9</v>
      </c>
      <c r="T490" t="b">
        <v>0</v>
      </c>
      <c r="U490" t="str">
        <f t="shared" si="31"/>
        <v>No Return</v>
      </c>
    </row>
    <row r="491" spans="1:22" hidden="1" x14ac:dyDescent="0.3">
      <c r="A491" t="s">
        <v>544</v>
      </c>
      <c r="B491" t="s">
        <v>27</v>
      </c>
      <c r="C491" t="s">
        <v>43</v>
      </c>
      <c r="D491" t="s">
        <v>62</v>
      </c>
      <c r="E491" t="str">
        <f t="shared" si="28"/>
        <v>XXL</v>
      </c>
      <c r="G491" t="s">
        <v>44</v>
      </c>
      <c r="H491" s="8">
        <v>67.13</v>
      </c>
      <c r="I491" s="3">
        <f t="shared" si="29"/>
        <v>0</v>
      </c>
      <c r="J491" s="4">
        <v>0</v>
      </c>
      <c r="K491" s="11">
        <f>Table1[[#This Row],[original_price]]* (Table1[[#This Row],[Markdown percentage updated]])</f>
        <v>0</v>
      </c>
      <c r="L4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91" s="6">
        <v>67.13</v>
      </c>
      <c r="N4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91" s="7">
        <v>45875</v>
      </c>
      <c r="P491">
        <v>3</v>
      </c>
      <c r="Q491" s="17" t="str">
        <f>IF(Table1[[#This Row],[stock_quantity]]=0,"NO STOCK",
IF(Table1[[#This Row],[stock_quantity]]&lt;=10,"LOW STOCK",
"IN STOCK"))</f>
        <v>LOW STOCK</v>
      </c>
      <c r="R491" s="1">
        <f t="shared" si="30"/>
        <v>1.4</v>
      </c>
      <c r="S491">
        <v>1.4</v>
      </c>
      <c r="T491" t="b">
        <v>0</v>
      </c>
      <c r="U491" t="str">
        <f t="shared" si="31"/>
        <v>No Return</v>
      </c>
    </row>
    <row r="492" spans="1:22" hidden="1" x14ac:dyDescent="0.3">
      <c r="A492" t="s">
        <v>545</v>
      </c>
      <c r="B492" t="s">
        <v>42</v>
      </c>
      <c r="C492" t="s">
        <v>16</v>
      </c>
      <c r="D492" t="s">
        <v>62</v>
      </c>
      <c r="E492" t="str">
        <f t="shared" si="28"/>
        <v>XS</v>
      </c>
      <c r="F492" t="s">
        <v>58</v>
      </c>
      <c r="G492" t="s">
        <v>19</v>
      </c>
      <c r="H492" s="8">
        <v>144.81</v>
      </c>
      <c r="I492" s="3">
        <f t="shared" si="29"/>
        <v>0.33299999999999996</v>
      </c>
      <c r="J492" s="4">
        <v>33.299999999999997</v>
      </c>
      <c r="K492" s="11">
        <f>Table1[[#This Row],[original_price]]* (Table1[[#This Row],[Markdown percentage updated]])</f>
        <v>48.221729999999994</v>
      </c>
      <c r="L4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92" s="6">
        <v>96.59</v>
      </c>
      <c r="N4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92" s="7">
        <v>45875</v>
      </c>
      <c r="P492">
        <v>33</v>
      </c>
      <c r="Q492" s="16" t="str">
        <f>IF(Table1[[#This Row],[stock_quantity]]=0,"NO STOCK",
IF(Table1[[#This Row],[stock_quantity]]&lt;=10,"LOW STOCK",
"IN STOCK"))</f>
        <v>IN STOCK</v>
      </c>
      <c r="R492" s="1">
        <f t="shared" si="30"/>
        <v>2.8</v>
      </c>
      <c r="S492">
        <v>2.8</v>
      </c>
      <c r="T492" t="b">
        <v>0</v>
      </c>
      <c r="U492" t="str">
        <f t="shared" si="31"/>
        <v>No Return</v>
      </c>
    </row>
    <row r="493" spans="1:22" x14ac:dyDescent="0.3">
      <c r="A493" t="s">
        <v>546</v>
      </c>
      <c r="B493" t="s">
        <v>15</v>
      </c>
      <c r="C493" t="s">
        <v>61</v>
      </c>
      <c r="D493" t="s">
        <v>23</v>
      </c>
      <c r="E493" t="str">
        <f t="shared" si="28"/>
        <v>XXL</v>
      </c>
      <c r="F493" t="s">
        <v>55</v>
      </c>
      <c r="G493" t="s">
        <v>66</v>
      </c>
      <c r="H493" s="8">
        <v>152.93</v>
      </c>
      <c r="I493" s="3">
        <f t="shared" si="29"/>
        <v>0.53</v>
      </c>
      <c r="J493" s="4">
        <v>53</v>
      </c>
      <c r="K493" s="11">
        <f>Table1[[#This Row],[original_price]]* (Table1[[#This Row],[Markdown percentage updated]])</f>
        <v>81.052900000000008</v>
      </c>
      <c r="L4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93" s="6">
        <v>71.88</v>
      </c>
      <c r="N4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93" s="7">
        <v>45875</v>
      </c>
      <c r="P493">
        <v>2</v>
      </c>
      <c r="Q493" s="17" t="str">
        <f>IF(Table1[[#This Row],[stock_quantity]]=0,"NO STOCK",
IF(Table1[[#This Row],[stock_quantity]]&lt;=10,"LOW STOCK",
"IN STOCK"))</f>
        <v>LOW STOCK</v>
      </c>
      <c r="R493" s="1">
        <f t="shared" si="30"/>
        <v>4.5999999999999996</v>
      </c>
      <c r="S493">
        <v>4.5999999999999996</v>
      </c>
      <c r="T493" t="b">
        <v>1</v>
      </c>
      <c r="U493" s="13" t="str">
        <f t="shared" si="31"/>
        <v>Changed Mind</v>
      </c>
      <c r="V493" t="s">
        <v>115</v>
      </c>
    </row>
    <row r="494" spans="1:22" hidden="1" x14ac:dyDescent="0.3">
      <c r="A494" t="s">
        <v>547</v>
      </c>
      <c r="B494" t="s">
        <v>42</v>
      </c>
      <c r="C494" t="s">
        <v>75</v>
      </c>
      <c r="D494" t="s">
        <v>62</v>
      </c>
      <c r="E494" t="str">
        <f t="shared" si="28"/>
        <v>OS</v>
      </c>
      <c r="F494" t="s">
        <v>49</v>
      </c>
      <c r="G494" t="s">
        <v>35</v>
      </c>
      <c r="H494" s="8">
        <v>111.29</v>
      </c>
      <c r="I494" s="3">
        <f t="shared" si="29"/>
        <v>0</v>
      </c>
      <c r="J494" s="4">
        <v>0</v>
      </c>
      <c r="K494" s="11">
        <f>Table1[[#This Row],[original_price]]* (Table1[[#This Row],[Markdown percentage updated]])</f>
        <v>0</v>
      </c>
      <c r="L4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94" s="6">
        <v>111.29</v>
      </c>
      <c r="N4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94" s="7">
        <v>45875</v>
      </c>
      <c r="P494">
        <v>48</v>
      </c>
      <c r="Q494" s="16" t="str">
        <f>IF(Table1[[#This Row],[stock_quantity]]=0,"NO STOCK",
IF(Table1[[#This Row],[stock_quantity]]&lt;=10,"LOW STOCK",
"IN STOCK"))</f>
        <v>IN STOCK</v>
      </c>
      <c r="R494" s="1">
        <f t="shared" si="30"/>
        <v>4.9000000000000004</v>
      </c>
      <c r="S494">
        <v>4.9000000000000004</v>
      </c>
      <c r="T494" t="b">
        <v>0</v>
      </c>
      <c r="U494" t="str">
        <f t="shared" si="31"/>
        <v>No Return</v>
      </c>
    </row>
    <row r="495" spans="1:22" hidden="1" x14ac:dyDescent="0.3">
      <c r="A495" t="s">
        <v>548</v>
      </c>
      <c r="B495" t="s">
        <v>15</v>
      </c>
      <c r="C495" t="s">
        <v>32</v>
      </c>
      <c r="D495" t="s">
        <v>23</v>
      </c>
      <c r="E495" t="str">
        <f t="shared" si="28"/>
        <v>L</v>
      </c>
      <c r="F495" t="s">
        <v>55</v>
      </c>
      <c r="G495" t="s">
        <v>25</v>
      </c>
      <c r="H495" s="8">
        <v>159.18</v>
      </c>
      <c r="I495" s="3">
        <f t="shared" si="29"/>
        <v>0</v>
      </c>
      <c r="J495" s="4">
        <v>0</v>
      </c>
      <c r="K495" s="11">
        <f>Table1[[#This Row],[original_price]]* (Table1[[#This Row],[Markdown percentage updated]])</f>
        <v>0</v>
      </c>
      <c r="L4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95" s="6">
        <v>159.18</v>
      </c>
      <c r="N4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95" s="7">
        <v>45875</v>
      </c>
      <c r="P495">
        <v>38</v>
      </c>
      <c r="Q495" s="16" t="str">
        <f>IF(Table1[[#This Row],[stock_quantity]]=0,"NO STOCK",
IF(Table1[[#This Row],[stock_quantity]]&lt;=10,"LOW STOCK",
"IN STOCK"))</f>
        <v>IN STOCK</v>
      </c>
      <c r="R495" s="1">
        <f t="shared" si="30"/>
        <v>2.4</v>
      </c>
      <c r="S495">
        <v>2.4</v>
      </c>
      <c r="T495" t="b">
        <v>1</v>
      </c>
      <c r="U495" s="13" t="str">
        <f t="shared" si="31"/>
        <v>Quality Issue</v>
      </c>
      <c r="V495" t="s">
        <v>83</v>
      </c>
    </row>
    <row r="496" spans="1:22" hidden="1" x14ac:dyDescent="0.3">
      <c r="A496" t="s">
        <v>549</v>
      </c>
      <c r="B496" t="s">
        <v>15</v>
      </c>
      <c r="C496" t="s">
        <v>16</v>
      </c>
      <c r="D496" t="s">
        <v>23</v>
      </c>
      <c r="E496" t="str">
        <f t="shared" si="28"/>
        <v>XXL</v>
      </c>
      <c r="F496" t="s">
        <v>49</v>
      </c>
      <c r="G496" t="s">
        <v>35</v>
      </c>
      <c r="H496" s="8">
        <v>215.93</v>
      </c>
      <c r="I496" s="3">
        <f t="shared" si="29"/>
        <v>0</v>
      </c>
      <c r="J496" s="4">
        <v>0</v>
      </c>
      <c r="K496" s="11">
        <f>Table1[[#This Row],[original_price]]* (Table1[[#This Row],[Markdown percentage updated]])</f>
        <v>0</v>
      </c>
      <c r="L4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96" s="6">
        <v>215.93</v>
      </c>
      <c r="N4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96" s="7">
        <v>45875</v>
      </c>
      <c r="P496">
        <v>43</v>
      </c>
      <c r="Q496" s="16" t="str">
        <f>IF(Table1[[#This Row],[stock_quantity]]=0,"NO STOCK",
IF(Table1[[#This Row],[stock_quantity]]&lt;=10,"LOW STOCK",
"IN STOCK"))</f>
        <v>IN STOCK</v>
      </c>
      <c r="R496" s="1">
        <f t="shared" si="30"/>
        <v>3.5</v>
      </c>
      <c r="S496">
        <v>3.5</v>
      </c>
      <c r="T496" t="b">
        <v>0</v>
      </c>
      <c r="U496" t="str">
        <f t="shared" si="31"/>
        <v>No Return</v>
      </c>
    </row>
    <row r="497" spans="1:22" hidden="1" x14ac:dyDescent="0.3">
      <c r="A497" t="s">
        <v>550</v>
      </c>
      <c r="B497" t="s">
        <v>21</v>
      </c>
      <c r="C497" t="s">
        <v>53</v>
      </c>
      <c r="D497" t="s">
        <v>17</v>
      </c>
      <c r="E497" t="str">
        <f t="shared" si="28"/>
        <v>M</v>
      </c>
      <c r="G497" t="s">
        <v>56</v>
      </c>
      <c r="H497" s="8">
        <v>51.69</v>
      </c>
      <c r="I497" s="3">
        <f t="shared" si="29"/>
        <v>0.33399999999999996</v>
      </c>
      <c r="J497" s="4">
        <v>33.4</v>
      </c>
      <c r="K497" s="11">
        <f>Table1[[#This Row],[original_price]]* (Table1[[#This Row],[Markdown percentage updated]])</f>
        <v>17.264459999999996</v>
      </c>
      <c r="L4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97" s="6">
        <v>34.43</v>
      </c>
      <c r="N4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497" s="7">
        <v>45511</v>
      </c>
      <c r="P497">
        <v>36</v>
      </c>
      <c r="Q497" s="16" t="str">
        <f>IF(Table1[[#This Row],[stock_quantity]]=0,"NO STOCK",
IF(Table1[[#This Row],[stock_quantity]]&lt;=10,"LOW STOCK",
"IN STOCK"))</f>
        <v>IN STOCK</v>
      </c>
      <c r="R497" s="1">
        <f t="shared" si="30"/>
        <v>3.4</v>
      </c>
      <c r="S497">
        <v>3.4</v>
      </c>
      <c r="T497" t="b">
        <v>0</v>
      </c>
      <c r="U497" t="str">
        <f t="shared" si="31"/>
        <v>No Return</v>
      </c>
    </row>
    <row r="498" spans="1:22" hidden="1" x14ac:dyDescent="0.3">
      <c r="A498" t="s">
        <v>551</v>
      </c>
      <c r="B498" t="s">
        <v>15</v>
      </c>
      <c r="C498" t="s">
        <v>53</v>
      </c>
      <c r="D498" t="s">
        <v>62</v>
      </c>
      <c r="E498" t="str">
        <f t="shared" si="28"/>
        <v>S</v>
      </c>
      <c r="F498" t="s">
        <v>24</v>
      </c>
      <c r="G498" t="s">
        <v>25</v>
      </c>
      <c r="H498" s="8">
        <v>137.38</v>
      </c>
      <c r="I498" s="3">
        <f t="shared" si="29"/>
        <v>0</v>
      </c>
      <c r="J498" s="4">
        <v>0</v>
      </c>
      <c r="K498" s="11">
        <f>Table1[[#This Row],[original_price]]* (Table1[[#This Row],[Markdown percentage updated]])</f>
        <v>0</v>
      </c>
      <c r="L4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498" s="6">
        <v>137.38</v>
      </c>
      <c r="N4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498" s="7">
        <v>45875</v>
      </c>
      <c r="P498">
        <v>43</v>
      </c>
      <c r="Q498" s="16" t="str">
        <f>IF(Table1[[#This Row],[stock_quantity]]=0,"NO STOCK",
IF(Table1[[#This Row],[stock_quantity]]&lt;=10,"LOW STOCK",
"IN STOCK"))</f>
        <v>IN STOCK</v>
      </c>
      <c r="R498" s="1">
        <f t="shared" si="30"/>
        <v>3.5</v>
      </c>
      <c r="S498">
        <v>3.5</v>
      </c>
      <c r="T498" t="b">
        <v>0</v>
      </c>
      <c r="U498" t="str">
        <f t="shared" si="31"/>
        <v>No Return</v>
      </c>
    </row>
    <row r="499" spans="1:22" hidden="1" x14ac:dyDescent="0.3">
      <c r="A499" t="s">
        <v>552</v>
      </c>
      <c r="B499" t="s">
        <v>38</v>
      </c>
      <c r="C499" t="s">
        <v>75</v>
      </c>
      <c r="D499" t="s">
        <v>34</v>
      </c>
      <c r="E499" t="str">
        <f t="shared" si="28"/>
        <v>L</v>
      </c>
      <c r="F499" t="s">
        <v>49</v>
      </c>
      <c r="G499" t="s">
        <v>46</v>
      </c>
      <c r="H499" s="8">
        <v>96.7</v>
      </c>
      <c r="I499" s="3">
        <f t="shared" si="29"/>
        <v>0.38799999999999996</v>
      </c>
      <c r="J499" s="4">
        <v>38.799999999999997</v>
      </c>
      <c r="K499" s="11">
        <f>Table1[[#This Row],[original_price]]* (Table1[[#This Row],[Markdown percentage updated]])</f>
        <v>37.519599999999997</v>
      </c>
      <c r="L4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499" s="6">
        <v>59.18</v>
      </c>
      <c r="N4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499" s="7">
        <v>45875</v>
      </c>
      <c r="P499">
        <v>46</v>
      </c>
      <c r="Q499" s="16" t="str">
        <f>IF(Table1[[#This Row],[stock_quantity]]=0,"NO STOCK",
IF(Table1[[#This Row],[stock_quantity]]&lt;=10,"LOW STOCK",
"IN STOCK"))</f>
        <v>IN STOCK</v>
      </c>
      <c r="R499" s="1">
        <f t="shared" si="30"/>
        <v>1.7</v>
      </c>
      <c r="S499">
        <v>1.7</v>
      </c>
      <c r="T499" t="b">
        <v>0</v>
      </c>
      <c r="U499" t="str">
        <f t="shared" si="31"/>
        <v>No Return</v>
      </c>
    </row>
    <row r="500" spans="1:22" hidden="1" x14ac:dyDescent="0.3">
      <c r="A500" t="s">
        <v>553</v>
      </c>
      <c r="B500" t="s">
        <v>38</v>
      </c>
      <c r="C500" t="s">
        <v>48</v>
      </c>
      <c r="D500" t="s">
        <v>17</v>
      </c>
      <c r="E500" t="str">
        <f t="shared" si="28"/>
        <v>XXL</v>
      </c>
      <c r="F500" t="s">
        <v>58</v>
      </c>
      <c r="G500" t="s">
        <v>66</v>
      </c>
      <c r="H500" s="8">
        <v>58.73</v>
      </c>
      <c r="I500" s="3">
        <f t="shared" si="29"/>
        <v>0.38100000000000001</v>
      </c>
      <c r="J500" s="4">
        <v>38.1</v>
      </c>
      <c r="K500" s="11">
        <f>Table1[[#This Row],[original_price]]* (Table1[[#This Row],[Markdown percentage updated]])</f>
        <v>22.37613</v>
      </c>
      <c r="L5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00" s="6">
        <v>36.35</v>
      </c>
      <c r="N5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00" s="7">
        <v>45653</v>
      </c>
      <c r="P500">
        <v>50</v>
      </c>
      <c r="Q500" s="16" t="str">
        <f>IF(Table1[[#This Row],[stock_quantity]]=0,"NO STOCK",
IF(Table1[[#This Row],[stock_quantity]]&lt;=10,"LOW STOCK",
"IN STOCK"))</f>
        <v>IN STOCK</v>
      </c>
      <c r="R500" s="1">
        <f t="shared" si="30"/>
        <v>1.2</v>
      </c>
      <c r="S500">
        <v>1.2</v>
      </c>
      <c r="T500" t="b">
        <v>0</v>
      </c>
      <c r="U500" t="str">
        <f t="shared" si="31"/>
        <v>No Return</v>
      </c>
    </row>
    <row r="501" spans="1:22" hidden="1" x14ac:dyDescent="0.3">
      <c r="A501" t="s">
        <v>554</v>
      </c>
      <c r="B501" t="s">
        <v>15</v>
      </c>
      <c r="C501" t="s">
        <v>61</v>
      </c>
      <c r="D501" t="s">
        <v>23</v>
      </c>
      <c r="E501" t="str">
        <f t="shared" si="28"/>
        <v>XL</v>
      </c>
      <c r="F501" t="s">
        <v>39</v>
      </c>
      <c r="G501" t="s">
        <v>46</v>
      </c>
      <c r="H501" s="8">
        <v>204.68</v>
      </c>
      <c r="I501" s="3">
        <f t="shared" si="29"/>
        <v>0</v>
      </c>
      <c r="J501" s="4">
        <v>0</v>
      </c>
      <c r="K501" s="11">
        <f>Table1[[#This Row],[original_price]]* (Table1[[#This Row],[Markdown percentage updated]])</f>
        <v>0</v>
      </c>
      <c r="L5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01" s="6">
        <v>204.68</v>
      </c>
      <c r="N5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01" s="7">
        <v>45875</v>
      </c>
      <c r="P501">
        <v>33</v>
      </c>
      <c r="Q501" s="16" t="str">
        <f>IF(Table1[[#This Row],[stock_quantity]]=0,"NO STOCK",
IF(Table1[[#This Row],[stock_quantity]]&lt;=10,"LOW STOCK",
"IN STOCK"))</f>
        <v>IN STOCK</v>
      </c>
      <c r="R501" s="1">
        <f t="shared" si="30"/>
        <v>3.1</v>
      </c>
      <c r="S501">
        <v>3.1</v>
      </c>
      <c r="T501" t="b">
        <v>0</v>
      </c>
      <c r="U501" t="str">
        <f t="shared" si="31"/>
        <v>No Return</v>
      </c>
    </row>
    <row r="502" spans="1:22" hidden="1" x14ac:dyDescent="0.3">
      <c r="A502" t="s">
        <v>555</v>
      </c>
      <c r="B502" t="s">
        <v>38</v>
      </c>
      <c r="C502" t="s">
        <v>75</v>
      </c>
      <c r="D502" t="s">
        <v>17</v>
      </c>
      <c r="E502" t="str">
        <f t="shared" si="28"/>
        <v>XXL</v>
      </c>
      <c r="F502" t="s">
        <v>24</v>
      </c>
      <c r="G502" t="s">
        <v>35</v>
      </c>
      <c r="H502" s="8">
        <v>117.26</v>
      </c>
      <c r="I502" s="3">
        <f t="shared" si="29"/>
        <v>0</v>
      </c>
      <c r="J502" s="4">
        <v>0</v>
      </c>
      <c r="K502" s="11">
        <f>Table1[[#This Row],[original_price]]* (Table1[[#This Row],[Markdown percentage updated]])</f>
        <v>0</v>
      </c>
      <c r="L5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02" s="6">
        <v>117.26</v>
      </c>
      <c r="N5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02" s="7">
        <v>45560</v>
      </c>
      <c r="P502">
        <v>29</v>
      </c>
      <c r="Q502" s="16" t="str">
        <f>IF(Table1[[#This Row],[stock_quantity]]=0,"NO STOCK",
IF(Table1[[#This Row],[stock_quantity]]&lt;=10,"LOW STOCK",
"IN STOCK"))</f>
        <v>IN STOCK</v>
      </c>
      <c r="R502" s="1">
        <f t="shared" si="30"/>
        <v>0</v>
      </c>
      <c r="T502" t="b">
        <v>0</v>
      </c>
      <c r="U502" t="str">
        <f t="shared" si="31"/>
        <v>No Return</v>
      </c>
    </row>
    <row r="503" spans="1:22" hidden="1" x14ac:dyDescent="0.3">
      <c r="A503" t="s">
        <v>556</v>
      </c>
      <c r="B503" t="s">
        <v>15</v>
      </c>
      <c r="C503" t="s">
        <v>61</v>
      </c>
      <c r="D503" t="s">
        <v>62</v>
      </c>
      <c r="E503" t="str">
        <f t="shared" si="28"/>
        <v>XL</v>
      </c>
      <c r="F503" t="s">
        <v>49</v>
      </c>
      <c r="G503" t="s">
        <v>35</v>
      </c>
      <c r="H503" s="8">
        <v>91.95</v>
      </c>
      <c r="I503" s="3">
        <f t="shared" si="29"/>
        <v>0</v>
      </c>
      <c r="J503" s="4">
        <v>0</v>
      </c>
      <c r="K503" s="11">
        <f>Table1[[#This Row],[original_price]]* (Table1[[#This Row],[Markdown percentage updated]])</f>
        <v>0</v>
      </c>
      <c r="L5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03" s="6">
        <v>91.95</v>
      </c>
      <c r="N5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03" s="7">
        <v>45875</v>
      </c>
      <c r="P503">
        <v>1</v>
      </c>
      <c r="Q503" s="17" t="str">
        <f>IF(Table1[[#This Row],[stock_quantity]]=0,"NO STOCK",
IF(Table1[[#This Row],[stock_quantity]]&lt;=10,"LOW STOCK",
"IN STOCK"))</f>
        <v>LOW STOCK</v>
      </c>
      <c r="R503" s="1">
        <f t="shared" si="30"/>
        <v>2.5</v>
      </c>
      <c r="S503">
        <v>2.5</v>
      </c>
      <c r="T503" t="b">
        <v>0</v>
      </c>
      <c r="U503" t="str">
        <f t="shared" si="31"/>
        <v>No Return</v>
      </c>
    </row>
    <row r="504" spans="1:22" hidden="1" x14ac:dyDescent="0.3">
      <c r="A504" t="s">
        <v>557</v>
      </c>
      <c r="B504" t="s">
        <v>38</v>
      </c>
      <c r="C504" t="s">
        <v>61</v>
      </c>
      <c r="D504" t="s">
        <v>34</v>
      </c>
      <c r="E504" t="str">
        <f t="shared" si="28"/>
        <v>OS</v>
      </c>
      <c r="F504" t="s">
        <v>18</v>
      </c>
      <c r="G504" t="s">
        <v>64</v>
      </c>
      <c r="H504" s="8">
        <v>94.53</v>
      </c>
      <c r="I504" s="3">
        <f t="shared" si="29"/>
        <v>0</v>
      </c>
      <c r="J504" s="4">
        <v>0</v>
      </c>
      <c r="K504" s="11">
        <f>Table1[[#This Row],[original_price]]* (Table1[[#This Row],[Markdown percentage updated]])</f>
        <v>0</v>
      </c>
      <c r="L5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04" s="6">
        <v>94.53</v>
      </c>
      <c r="N5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04" s="7">
        <v>45875</v>
      </c>
      <c r="P504">
        <v>13</v>
      </c>
      <c r="Q504" s="16" t="str">
        <f>IF(Table1[[#This Row],[stock_quantity]]=0,"NO STOCK",
IF(Table1[[#This Row],[stock_quantity]]&lt;=10,"LOW STOCK",
"IN STOCK"))</f>
        <v>IN STOCK</v>
      </c>
      <c r="R504" s="1">
        <f t="shared" si="30"/>
        <v>2.4</v>
      </c>
      <c r="S504">
        <v>2.4</v>
      </c>
      <c r="T504" t="b">
        <v>0</v>
      </c>
      <c r="U504" t="str">
        <f t="shared" si="31"/>
        <v>No Return</v>
      </c>
    </row>
    <row r="505" spans="1:22" hidden="1" x14ac:dyDescent="0.3">
      <c r="A505" t="s">
        <v>558</v>
      </c>
      <c r="B505" t="s">
        <v>42</v>
      </c>
      <c r="C505" t="s">
        <v>43</v>
      </c>
      <c r="D505" t="s">
        <v>34</v>
      </c>
      <c r="E505" t="str">
        <f t="shared" si="28"/>
        <v>M</v>
      </c>
      <c r="F505" t="s">
        <v>49</v>
      </c>
      <c r="G505" t="s">
        <v>35</v>
      </c>
      <c r="H505" s="8">
        <v>71.94</v>
      </c>
      <c r="I505" s="3">
        <f t="shared" si="29"/>
        <v>0.03</v>
      </c>
      <c r="J505" s="4">
        <v>3</v>
      </c>
      <c r="K505" s="11">
        <f>Table1[[#This Row],[original_price]]* (Table1[[#This Row],[Markdown percentage updated]])</f>
        <v>2.1581999999999999</v>
      </c>
      <c r="L5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505" s="6">
        <v>69.78</v>
      </c>
      <c r="N5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505" s="7">
        <v>45875</v>
      </c>
      <c r="P505">
        <v>45</v>
      </c>
      <c r="Q505" s="16" t="str">
        <f>IF(Table1[[#This Row],[stock_quantity]]=0,"NO STOCK",
IF(Table1[[#This Row],[stock_quantity]]&lt;=10,"LOW STOCK",
"IN STOCK"))</f>
        <v>IN STOCK</v>
      </c>
      <c r="R505" s="1">
        <f t="shared" si="30"/>
        <v>1.4</v>
      </c>
      <c r="S505">
        <v>1.4</v>
      </c>
      <c r="T505" t="b">
        <v>0</v>
      </c>
      <c r="U505" t="str">
        <f t="shared" si="31"/>
        <v>No Return</v>
      </c>
    </row>
    <row r="506" spans="1:22" hidden="1" x14ac:dyDescent="0.3">
      <c r="A506" t="s">
        <v>559</v>
      </c>
      <c r="B506" t="s">
        <v>42</v>
      </c>
      <c r="C506" t="s">
        <v>53</v>
      </c>
      <c r="D506" t="s">
        <v>23</v>
      </c>
      <c r="E506" t="str">
        <f t="shared" si="28"/>
        <v>OS</v>
      </c>
      <c r="F506" t="s">
        <v>18</v>
      </c>
      <c r="G506" t="s">
        <v>46</v>
      </c>
      <c r="H506" s="8">
        <v>177.72</v>
      </c>
      <c r="I506" s="3">
        <f t="shared" si="29"/>
        <v>5.9000000000000004E-2</v>
      </c>
      <c r="J506" s="4">
        <v>5.9</v>
      </c>
      <c r="K506" s="11">
        <f>Table1[[#This Row],[original_price]]* (Table1[[#This Row],[Markdown percentage updated]])</f>
        <v>10.485480000000001</v>
      </c>
      <c r="L5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506" s="6">
        <v>167.23</v>
      </c>
      <c r="N5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506" s="7">
        <v>45875</v>
      </c>
      <c r="P506">
        <v>47</v>
      </c>
      <c r="Q506" s="16" t="str">
        <f>IF(Table1[[#This Row],[stock_quantity]]=0,"NO STOCK",
IF(Table1[[#This Row],[stock_quantity]]&lt;=10,"LOW STOCK",
"IN STOCK"))</f>
        <v>IN STOCK</v>
      </c>
      <c r="R506" s="1">
        <f t="shared" si="30"/>
        <v>0</v>
      </c>
      <c r="T506" t="b">
        <v>0</v>
      </c>
      <c r="U506" t="str">
        <f t="shared" si="31"/>
        <v>No Return</v>
      </c>
    </row>
    <row r="507" spans="1:22" hidden="1" x14ac:dyDescent="0.3">
      <c r="A507" t="s">
        <v>560</v>
      </c>
      <c r="B507" t="s">
        <v>27</v>
      </c>
      <c r="C507" t="s">
        <v>16</v>
      </c>
      <c r="D507" t="s">
        <v>62</v>
      </c>
      <c r="E507" t="str">
        <f t="shared" si="28"/>
        <v>XL</v>
      </c>
      <c r="G507" t="s">
        <v>35</v>
      </c>
      <c r="H507" s="8">
        <v>34.4</v>
      </c>
      <c r="I507" s="3">
        <f t="shared" si="29"/>
        <v>0</v>
      </c>
      <c r="J507" s="4">
        <v>0</v>
      </c>
      <c r="K507" s="11">
        <f>Table1[[#This Row],[original_price]]* (Table1[[#This Row],[Markdown percentage updated]])</f>
        <v>0</v>
      </c>
      <c r="L5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07" s="6">
        <v>34.4</v>
      </c>
      <c r="N5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07" s="7">
        <v>45875</v>
      </c>
      <c r="P507">
        <v>43</v>
      </c>
      <c r="Q507" s="16" t="str">
        <f>IF(Table1[[#This Row],[stock_quantity]]=0,"NO STOCK",
IF(Table1[[#This Row],[stock_quantity]]&lt;=10,"LOW STOCK",
"IN STOCK"))</f>
        <v>IN STOCK</v>
      </c>
      <c r="R507" s="1">
        <f t="shared" si="30"/>
        <v>3</v>
      </c>
      <c r="S507">
        <v>3</v>
      </c>
      <c r="T507" t="b">
        <v>1</v>
      </c>
      <c r="U507" s="13" t="str">
        <f t="shared" si="31"/>
        <v>Wrong Item</v>
      </c>
      <c r="V507" t="s">
        <v>125</v>
      </c>
    </row>
    <row r="508" spans="1:22" hidden="1" x14ac:dyDescent="0.3">
      <c r="A508" t="s">
        <v>561</v>
      </c>
      <c r="B508" t="s">
        <v>38</v>
      </c>
      <c r="C508" t="s">
        <v>32</v>
      </c>
      <c r="D508" t="s">
        <v>17</v>
      </c>
      <c r="E508" t="str">
        <f t="shared" si="28"/>
        <v>XL</v>
      </c>
      <c r="F508" t="s">
        <v>58</v>
      </c>
      <c r="G508" t="s">
        <v>40</v>
      </c>
      <c r="H508" s="8">
        <v>119.72</v>
      </c>
      <c r="I508" s="3">
        <f t="shared" si="29"/>
        <v>0</v>
      </c>
      <c r="J508" s="4">
        <v>0</v>
      </c>
      <c r="K508" s="11">
        <f>Table1[[#This Row],[original_price]]* (Table1[[#This Row],[Markdown percentage updated]])</f>
        <v>0</v>
      </c>
      <c r="L5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08" s="6">
        <v>119.72</v>
      </c>
      <c r="N5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08" s="7">
        <v>45675</v>
      </c>
      <c r="P508">
        <v>18</v>
      </c>
      <c r="Q508" s="16" t="str">
        <f>IF(Table1[[#This Row],[stock_quantity]]=0,"NO STOCK",
IF(Table1[[#This Row],[stock_quantity]]&lt;=10,"LOW STOCK",
"IN STOCK"))</f>
        <v>IN STOCK</v>
      </c>
      <c r="R508" s="1">
        <f t="shared" si="30"/>
        <v>3.7</v>
      </c>
      <c r="S508">
        <v>3.7</v>
      </c>
      <c r="T508" t="b">
        <v>0</v>
      </c>
      <c r="U508" t="str">
        <f t="shared" si="31"/>
        <v>No Return</v>
      </c>
    </row>
    <row r="509" spans="1:22" hidden="1" x14ac:dyDescent="0.3">
      <c r="A509" t="s">
        <v>562</v>
      </c>
      <c r="B509" t="s">
        <v>27</v>
      </c>
      <c r="C509" t="s">
        <v>48</v>
      </c>
      <c r="D509" t="s">
        <v>62</v>
      </c>
      <c r="E509" t="str">
        <f t="shared" si="28"/>
        <v>XS</v>
      </c>
      <c r="G509" t="s">
        <v>70</v>
      </c>
      <c r="H509" s="8">
        <v>44.09</v>
      </c>
      <c r="I509" s="3">
        <f t="shared" si="29"/>
        <v>0</v>
      </c>
      <c r="J509" s="4">
        <v>0</v>
      </c>
      <c r="K509" s="11">
        <f>Table1[[#This Row],[original_price]]* (Table1[[#This Row],[Markdown percentage updated]])</f>
        <v>0</v>
      </c>
      <c r="L5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09" s="6">
        <v>44.09</v>
      </c>
      <c r="N5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09" s="7">
        <v>45875</v>
      </c>
      <c r="P509">
        <v>2</v>
      </c>
      <c r="Q509" s="17" t="str">
        <f>IF(Table1[[#This Row],[stock_quantity]]=0,"NO STOCK",
IF(Table1[[#This Row],[stock_quantity]]&lt;=10,"LOW STOCK",
"IN STOCK"))</f>
        <v>LOW STOCK</v>
      </c>
      <c r="R509" s="1">
        <f t="shared" si="30"/>
        <v>2</v>
      </c>
      <c r="S509">
        <v>2</v>
      </c>
      <c r="T509" t="b">
        <v>0</v>
      </c>
      <c r="U509" t="str">
        <f t="shared" si="31"/>
        <v>No Return</v>
      </c>
    </row>
    <row r="510" spans="1:22" x14ac:dyDescent="0.3">
      <c r="A510" t="s">
        <v>563</v>
      </c>
      <c r="B510" t="s">
        <v>38</v>
      </c>
      <c r="C510" t="s">
        <v>43</v>
      </c>
      <c r="D510" t="s">
        <v>17</v>
      </c>
      <c r="E510" t="str">
        <f t="shared" si="28"/>
        <v>OS</v>
      </c>
      <c r="F510" t="s">
        <v>18</v>
      </c>
      <c r="G510" t="s">
        <v>66</v>
      </c>
      <c r="H510" s="8">
        <v>42.47</v>
      </c>
      <c r="I510" s="3">
        <f t="shared" si="29"/>
        <v>0</v>
      </c>
      <c r="J510" s="4">
        <v>0</v>
      </c>
      <c r="K510" s="11">
        <f>Table1[[#This Row],[original_price]]* (Table1[[#This Row],[Markdown percentage updated]])</f>
        <v>0</v>
      </c>
      <c r="L5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10" s="6">
        <v>42.47</v>
      </c>
      <c r="N5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10" s="7">
        <v>45610</v>
      </c>
      <c r="P510">
        <v>33</v>
      </c>
      <c r="Q510" s="16" t="str">
        <f>IF(Table1[[#This Row],[stock_quantity]]=0,"NO STOCK",
IF(Table1[[#This Row],[stock_quantity]]&lt;=10,"LOW STOCK",
"IN STOCK"))</f>
        <v>IN STOCK</v>
      </c>
      <c r="R510" s="1">
        <f t="shared" si="30"/>
        <v>4.5</v>
      </c>
      <c r="S510">
        <v>4.5</v>
      </c>
      <c r="T510" t="b">
        <v>1</v>
      </c>
      <c r="U510" s="13" t="str">
        <f t="shared" si="31"/>
        <v>Changed Mind</v>
      </c>
      <c r="V510" t="s">
        <v>115</v>
      </c>
    </row>
    <row r="511" spans="1:22" hidden="1" x14ac:dyDescent="0.3">
      <c r="A511" t="s">
        <v>564</v>
      </c>
      <c r="B511" t="s">
        <v>42</v>
      </c>
      <c r="C511" t="s">
        <v>32</v>
      </c>
      <c r="D511" t="s">
        <v>62</v>
      </c>
      <c r="E511" t="str">
        <f t="shared" si="28"/>
        <v>M</v>
      </c>
      <c r="F511" t="s">
        <v>18</v>
      </c>
      <c r="G511" t="s">
        <v>66</v>
      </c>
      <c r="H511" s="8">
        <v>68.430000000000007</v>
      </c>
      <c r="I511" s="3">
        <f t="shared" si="29"/>
        <v>0</v>
      </c>
      <c r="J511" s="4">
        <v>0</v>
      </c>
      <c r="K511" s="11">
        <f>Table1[[#This Row],[original_price]]* (Table1[[#This Row],[Markdown percentage updated]])</f>
        <v>0</v>
      </c>
      <c r="L5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11" s="6">
        <v>68.430000000000007</v>
      </c>
      <c r="N5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11" s="7">
        <v>45875</v>
      </c>
      <c r="P511">
        <v>16</v>
      </c>
      <c r="Q511" s="16" t="str">
        <f>IF(Table1[[#This Row],[stock_quantity]]=0,"NO STOCK",
IF(Table1[[#This Row],[stock_quantity]]&lt;=10,"LOW STOCK",
"IN STOCK"))</f>
        <v>IN STOCK</v>
      </c>
      <c r="R511" s="1">
        <f t="shared" si="30"/>
        <v>0</v>
      </c>
      <c r="T511" t="b">
        <v>0</v>
      </c>
      <c r="U511" t="str">
        <f t="shared" si="31"/>
        <v>No Return</v>
      </c>
    </row>
    <row r="512" spans="1:22" hidden="1" x14ac:dyDescent="0.3">
      <c r="A512" t="s">
        <v>565</v>
      </c>
      <c r="B512" t="s">
        <v>30</v>
      </c>
      <c r="C512" t="s">
        <v>16</v>
      </c>
      <c r="D512" t="s">
        <v>34</v>
      </c>
      <c r="E512" t="str">
        <f t="shared" si="28"/>
        <v>OS</v>
      </c>
      <c r="F512" t="s">
        <v>55</v>
      </c>
      <c r="G512" t="s">
        <v>46</v>
      </c>
      <c r="H512" s="8">
        <v>165.39</v>
      </c>
      <c r="I512" s="3">
        <f t="shared" si="29"/>
        <v>0.318</v>
      </c>
      <c r="J512" s="4">
        <v>31.8</v>
      </c>
      <c r="K512" s="11">
        <f>Table1[[#This Row],[original_price]]* (Table1[[#This Row],[Markdown percentage updated]])</f>
        <v>52.594019999999993</v>
      </c>
      <c r="L5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12" s="6">
        <v>112.8</v>
      </c>
      <c r="N5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12" s="7">
        <v>45875</v>
      </c>
      <c r="P512">
        <v>9</v>
      </c>
      <c r="Q512" s="17" t="str">
        <f>IF(Table1[[#This Row],[stock_quantity]]=0,"NO STOCK",
IF(Table1[[#This Row],[stock_quantity]]&lt;=10,"LOW STOCK",
"IN STOCK"))</f>
        <v>LOW STOCK</v>
      </c>
      <c r="R512" s="1">
        <f t="shared" si="30"/>
        <v>4.5999999999999996</v>
      </c>
      <c r="S512">
        <v>4.5999999999999996</v>
      </c>
      <c r="T512" t="b">
        <v>0</v>
      </c>
      <c r="U512" t="str">
        <f t="shared" si="31"/>
        <v>No Return</v>
      </c>
    </row>
    <row r="513" spans="1:22" hidden="1" x14ac:dyDescent="0.3">
      <c r="A513" t="s">
        <v>566</v>
      </c>
      <c r="B513" t="s">
        <v>27</v>
      </c>
      <c r="C513" t="s">
        <v>53</v>
      </c>
      <c r="D513" t="s">
        <v>23</v>
      </c>
      <c r="E513" t="str">
        <f t="shared" si="28"/>
        <v>OS</v>
      </c>
      <c r="G513" t="s">
        <v>46</v>
      </c>
      <c r="H513" s="8">
        <v>35.36</v>
      </c>
      <c r="I513" s="3">
        <f t="shared" si="29"/>
        <v>0</v>
      </c>
      <c r="J513" s="4">
        <v>0</v>
      </c>
      <c r="K513" s="11">
        <f>Table1[[#This Row],[original_price]]* (Table1[[#This Row],[Markdown percentage updated]])</f>
        <v>0</v>
      </c>
      <c r="L5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13" s="6">
        <v>35.36</v>
      </c>
      <c r="N5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13" s="7">
        <v>45875</v>
      </c>
      <c r="P513">
        <v>42</v>
      </c>
      <c r="Q513" s="16" t="str">
        <f>IF(Table1[[#This Row],[stock_quantity]]=0,"NO STOCK",
IF(Table1[[#This Row],[stock_quantity]]&lt;=10,"LOW STOCK",
"IN STOCK"))</f>
        <v>IN STOCK</v>
      </c>
      <c r="R513" s="1">
        <f t="shared" si="30"/>
        <v>4.5</v>
      </c>
      <c r="S513">
        <v>4.5</v>
      </c>
      <c r="T513" t="b">
        <v>0</v>
      </c>
      <c r="U513" t="str">
        <f t="shared" si="31"/>
        <v>No Return</v>
      </c>
    </row>
    <row r="514" spans="1:22" hidden="1" x14ac:dyDescent="0.3">
      <c r="A514" t="s">
        <v>567</v>
      </c>
      <c r="B514" t="s">
        <v>42</v>
      </c>
      <c r="C514" t="s">
        <v>48</v>
      </c>
      <c r="D514" t="s">
        <v>62</v>
      </c>
      <c r="E514" t="str">
        <f t="shared" ref="E514:E577" si="32">IF(ISBLANK(F517),"OS",F517)</f>
        <v>XL</v>
      </c>
      <c r="F514" t="s">
        <v>58</v>
      </c>
      <c r="G514" t="s">
        <v>64</v>
      </c>
      <c r="H514" s="8">
        <v>95.73</v>
      </c>
      <c r="I514" s="3">
        <f t="shared" ref="I514:I577" si="33">J514/100</f>
        <v>0</v>
      </c>
      <c r="J514" s="4">
        <v>0</v>
      </c>
      <c r="K514" s="11">
        <f>Table1[[#This Row],[original_price]]* (Table1[[#This Row],[Markdown percentage updated]])</f>
        <v>0</v>
      </c>
      <c r="L5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14" s="6">
        <v>95.73</v>
      </c>
      <c r="N5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14" s="7">
        <v>45875</v>
      </c>
      <c r="P514">
        <v>6</v>
      </c>
      <c r="Q514" s="17" t="str">
        <f>IF(Table1[[#This Row],[stock_quantity]]=0,"NO STOCK",
IF(Table1[[#This Row],[stock_quantity]]&lt;=10,"LOW STOCK",
"IN STOCK"))</f>
        <v>LOW STOCK</v>
      </c>
      <c r="R514" s="1">
        <f t="shared" si="30"/>
        <v>4.5999999999999996</v>
      </c>
      <c r="S514">
        <v>4.5999999999999996</v>
      </c>
      <c r="T514" t="b">
        <v>0</v>
      </c>
      <c r="U514" t="str">
        <f t="shared" si="31"/>
        <v>No Return</v>
      </c>
    </row>
    <row r="515" spans="1:22" hidden="1" x14ac:dyDescent="0.3">
      <c r="A515" t="s">
        <v>568</v>
      </c>
      <c r="B515" t="s">
        <v>27</v>
      </c>
      <c r="C515" t="s">
        <v>32</v>
      </c>
      <c r="D515" t="s">
        <v>17</v>
      </c>
      <c r="E515" t="str">
        <f t="shared" si="32"/>
        <v>XS</v>
      </c>
      <c r="G515" t="s">
        <v>70</v>
      </c>
      <c r="H515" s="8">
        <v>72.28</v>
      </c>
      <c r="I515" s="3">
        <f t="shared" si="33"/>
        <v>0.51300000000000001</v>
      </c>
      <c r="J515" s="4">
        <v>51.3</v>
      </c>
      <c r="K515" s="11">
        <f>Table1[[#This Row],[original_price]]* (Table1[[#This Row],[Markdown percentage updated]])</f>
        <v>37.079640000000005</v>
      </c>
      <c r="L5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15" s="6">
        <v>35.200000000000003</v>
      </c>
      <c r="N5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15" s="7">
        <v>45703</v>
      </c>
      <c r="P515">
        <v>31</v>
      </c>
      <c r="Q515" s="16" t="str">
        <f>IF(Table1[[#This Row],[stock_quantity]]=0,"NO STOCK",
IF(Table1[[#This Row],[stock_quantity]]&lt;=10,"LOW STOCK",
"IN STOCK"))</f>
        <v>IN STOCK</v>
      </c>
      <c r="R515" s="1">
        <f t="shared" ref="R515:R578" si="34">IF(ISBLANK(S515), 0, S515)</f>
        <v>1.9</v>
      </c>
      <c r="S515">
        <v>1.9</v>
      </c>
      <c r="T515" t="b">
        <v>0</v>
      </c>
      <c r="U515" t="str">
        <f t="shared" ref="U515:U578" si="35">IF(V515="","No Return",V515)</f>
        <v>No Return</v>
      </c>
    </row>
    <row r="516" spans="1:22" hidden="1" x14ac:dyDescent="0.3">
      <c r="A516" t="s">
        <v>569</v>
      </c>
      <c r="B516" t="s">
        <v>15</v>
      </c>
      <c r="C516" t="s">
        <v>53</v>
      </c>
      <c r="D516" t="s">
        <v>62</v>
      </c>
      <c r="E516" t="str">
        <f t="shared" si="32"/>
        <v>M</v>
      </c>
      <c r="G516" t="s">
        <v>35</v>
      </c>
      <c r="H516" s="8">
        <v>80.349999999999994</v>
      </c>
      <c r="I516" s="3">
        <f t="shared" si="33"/>
        <v>0</v>
      </c>
      <c r="J516" s="4">
        <v>0</v>
      </c>
      <c r="K516" s="11">
        <f>Table1[[#This Row],[original_price]]* (Table1[[#This Row],[Markdown percentage updated]])</f>
        <v>0</v>
      </c>
      <c r="L5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16" s="6">
        <v>80.349999999999994</v>
      </c>
      <c r="N5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16" s="7">
        <v>45875</v>
      </c>
      <c r="P516">
        <v>28</v>
      </c>
      <c r="Q516" s="16" t="str">
        <f>IF(Table1[[#This Row],[stock_quantity]]=0,"NO STOCK",
IF(Table1[[#This Row],[stock_quantity]]&lt;=10,"LOW STOCK",
"IN STOCK"))</f>
        <v>IN STOCK</v>
      </c>
      <c r="R516" s="1">
        <f t="shared" si="34"/>
        <v>2.9</v>
      </c>
      <c r="S516">
        <v>2.9</v>
      </c>
      <c r="T516" t="b">
        <v>0</v>
      </c>
      <c r="U516" t="str">
        <f t="shared" si="35"/>
        <v>No Return</v>
      </c>
    </row>
    <row r="517" spans="1:22" hidden="1" x14ac:dyDescent="0.3">
      <c r="A517" t="s">
        <v>570</v>
      </c>
      <c r="B517" t="s">
        <v>38</v>
      </c>
      <c r="C517" t="s">
        <v>32</v>
      </c>
      <c r="D517" t="s">
        <v>23</v>
      </c>
      <c r="E517" t="str">
        <f t="shared" si="32"/>
        <v>OS</v>
      </c>
      <c r="F517" t="s">
        <v>18</v>
      </c>
      <c r="G517" t="s">
        <v>40</v>
      </c>
      <c r="H517" s="8">
        <v>119.04</v>
      </c>
      <c r="I517" s="3">
        <f t="shared" si="33"/>
        <v>0</v>
      </c>
      <c r="J517" s="4">
        <v>0</v>
      </c>
      <c r="K517" s="11">
        <f>Table1[[#This Row],[original_price]]* (Table1[[#This Row],[Markdown percentage updated]])</f>
        <v>0</v>
      </c>
      <c r="L5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17" s="6">
        <v>119.04</v>
      </c>
      <c r="N5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17" s="7">
        <v>45875</v>
      </c>
      <c r="P517">
        <v>35</v>
      </c>
      <c r="Q517" s="16" t="str">
        <f>IF(Table1[[#This Row],[stock_quantity]]=0,"NO STOCK",
IF(Table1[[#This Row],[stock_quantity]]&lt;=10,"LOW STOCK",
"IN STOCK"))</f>
        <v>IN STOCK</v>
      </c>
      <c r="R517" s="1">
        <f t="shared" si="34"/>
        <v>1.4</v>
      </c>
      <c r="S517">
        <v>1.4</v>
      </c>
      <c r="T517" t="b">
        <v>0</v>
      </c>
      <c r="U517" t="str">
        <f t="shared" si="35"/>
        <v>No Return</v>
      </c>
    </row>
    <row r="518" spans="1:22" hidden="1" x14ac:dyDescent="0.3">
      <c r="A518" t="s">
        <v>571</v>
      </c>
      <c r="B518" t="s">
        <v>21</v>
      </c>
      <c r="C518" t="s">
        <v>61</v>
      </c>
      <c r="D518" t="s">
        <v>23</v>
      </c>
      <c r="E518" t="str">
        <f t="shared" si="32"/>
        <v>M</v>
      </c>
      <c r="F518" t="s">
        <v>55</v>
      </c>
      <c r="G518" t="s">
        <v>70</v>
      </c>
      <c r="H518" s="8">
        <v>60.53</v>
      </c>
      <c r="I518" s="3">
        <f t="shared" si="33"/>
        <v>0.42499999999999999</v>
      </c>
      <c r="J518" s="4">
        <v>42.5</v>
      </c>
      <c r="K518" s="11">
        <f>Table1[[#This Row],[original_price]]* (Table1[[#This Row],[Markdown percentage updated]])</f>
        <v>25.725249999999999</v>
      </c>
      <c r="L5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18" s="6">
        <v>34.799999999999997</v>
      </c>
      <c r="N5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18" s="7">
        <v>45875</v>
      </c>
      <c r="P518">
        <v>8</v>
      </c>
      <c r="Q518" s="17" t="str">
        <f>IF(Table1[[#This Row],[stock_quantity]]=0,"NO STOCK",
IF(Table1[[#This Row],[stock_quantity]]&lt;=10,"LOW STOCK",
"IN STOCK"))</f>
        <v>LOW STOCK</v>
      </c>
      <c r="R518" s="1">
        <f t="shared" si="34"/>
        <v>0</v>
      </c>
      <c r="T518" t="b">
        <v>1</v>
      </c>
      <c r="U518" s="13" t="str">
        <f t="shared" si="35"/>
        <v>Color Mismatch</v>
      </c>
      <c r="V518" t="s">
        <v>36</v>
      </c>
    </row>
    <row r="519" spans="1:22" hidden="1" x14ac:dyDescent="0.3">
      <c r="A519" t="s">
        <v>572</v>
      </c>
      <c r="B519" t="s">
        <v>15</v>
      </c>
      <c r="C519" t="s">
        <v>48</v>
      </c>
      <c r="D519" t="s">
        <v>34</v>
      </c>
      <c r="E519" t="str">
        <f t="shared" si="32"/>
        <v>OS</v>
      </c>
      <c r="F519" t="s">
        <v>58</v>
      </c>
      <c r="G519" t="s">
        <v>64</v>
      </c>
      <c r="H519" s="8">
        <v>92.54</v>
      </c>
      <c r="I519" s="3">
        <f t="shared" si="33"/>
        <v>0.43799999999999994</v>
      </c>
      <c r="J519" s="4">
        <v>43.8</v>
      </c>
      <c r="K519" s="11">
        <f>Table1[[#This Row],[original_price]]* (Table1[[#This Row],[Markdown percentage updated]])</f>
        <v>40.532519999999998</v>
      </c>
      <c r="L5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19" s="6">
        <v>52.01</v>
      </c>
      <c r="N5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19" s="7">
        <v>45875</v>
      </c>
      <c r="P519">
        <v>33</v>
      </c>
      <c r="Q519" s="16" t="str">
        <f>IF(Table1[[#This Row],[stock_quantity]]=0,"NO STOCK",
IF(Table1[[#This Row],[stock_quantity]]&lt;=10,"LOW STOCK",
"IN STOCK"))</f>
        <v>IN STOCK</v>
      </c>
      <c r="R519" s="1">
        <f t="shared" si="34"/>
        <v>1.5</v>
      </c>
      <c r="S519">
        <v>1.5</v>
      </c>
      <c r="T519" t="b">
        <v>1</v>
      </c>
      <c r="U519" s="13" t="str">
        <f t="shared" si="35"/>
        <v>Damaged</v>
      </c>
      <c r="V519" t="s">
        <v>78</v>
      </c>
    </row>
    <row r="520" spans="1:22" hidden="1" x14ac:dyDescent="0.3">
      <c r="A520" t="s">
        <v>573</v>
      </c>
      <c r="B520" t="s">
        <v>27</v>
      </c>
      <c r="C520" t="s">
        <v>22</v>
      </c>
      <c r="D520" t="s">
        <v>34</v>
      </c>
      <c r="E520" t="str">
        <f t="shared" si="32"/>
        <v>L</v>
      </c>
      <c r="G520" t="s">
        <v>25</v>
      </c>
      <c r="H520" s="8">
        <v>28.4</v>
      </c>
      <c r="I520" s="3">
        <f t="shared" si="33"/>
        <v>0</v>
      </c>
      <c r="J520" s="4">
        <v>0</v>
      </c>
      <c r="K520" s="11">
        <f>Table1[[#This Row],[original_price]]* (Table1[[#This Row],[Markdown percentage updated]])</f>
        <v>0</v>
      </c>
      <c r="L5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20" s="6">
        <v>28.4</v>
      </c>
      <c r="N5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20" s="7">
        <v>45875</v>
      </c>
      <c r="P520">
        <v>4</v>
      </c>
      <c r="Q520" s="17" t="str">
        <f>IF(Table1[[#This Row],[stock_quantity]]=0,"NO STOCK",
IF(Table1[[#This Row],[stock_quantity]]&lt;=10,"LOW STOCK",
"IN STOCK"))</f>
        <v>LOW STOCK</v>
      </c>
      <c r="R520" s="1">
        <f t="shared" si="34"/>
        <v>3.1</v>
      </c>
      <c r="S520">
        <v>3.1</v>
      </c>
      <c r="T520" t="b">
        <v>0</v>
      </c>
      <c r="U520" t="str">
        <f t="shared" si="35"/>
        <v>No Return</v>
      </c>
    </row>
    <row r="521" spans="1:22" hidden="1" x14ac:dyDescent="0.3">
      <c r="A521" t="s">
        <v>574</v>
      </c>
      <c r="B521" t="s">
        <v>38</v>
      </c>
      <c r="C521" t="s">
        <v>16</v>
      </c>
      <c r="D521" t="s">
        <v>62</v>
      </c>
      <c r="E521" t="str">
        <f t="shared" si="32"/>
        <v>S</v>
      </c>
      <c r="F521" t="s">
        <v>58</v>
      </c>
      <c r="G521" t="s">
        <v>40</v>
      </c>
      <c r="H521" s="8">
        <v>91.65</v>
      </c>
      <c r="I521" s="3">
        <f t="shared" si="33"/>
        <v>0</v>
      </c>
      <c r="J521" s="4">
        <v>0</v>
      </c>
      <c r="K521" s="11">
        <f>Table1[[#This Row],[original_price]]* (Table1[[#This Row],[Markdown percentage updated]])</f>
        <v>0</v>
      </c>
      <c r="L5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21" s="6">
        <v>91.65</v>
      </c>
      <c r="N5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21" s="7">
        <v>45875</v>
      </c>
      <c r="P521">
        <v>40</v>
      </c>
      <c r="Q521" s="16" t="str">
        <f>IF(Table1[[#This Row],[stock_quantity]]=0,"NO STOCK",
IF(Table1[[#This Row],[stock_quantity]]&lt;=10,"LOW STOCK",
"IN STOCK"))</f>
        <v>IN STOCK</v>
      </c>
      <c r="R521" s="1">
        <f t="shared" si="34"/>
        <v>3.8</v>
      </c>
      <c r="S521">
        <v>3.8</v>
      </c>
      <c r="T521" t="b">
        <v>0</v>
      </c>
      <c r="U521" t="str">
        <f t="shared" si="35"/>
        <v>No Return</v>
      </c>
    </row>
    <row r="522" spans="1:22" hidden="1" x14ac:dyDescent="0.3">
      <c r="A522" t="s">
        <v>575</v>
      </c>
      <c r="B522" t="s">
        <v>27</v>
      </c>
      <c r="C522" t="s">
        <v>43</v>
      </c>
      <c r="D522" t="s">
        <v>34</v>
      </c>
      <c r="E522" t="str">
        <f t="shared" si="32"/>
        <v>OS</v>
      </c>
      <c r="G522" t="s">
        <v>64</v>
      </c>
      <c r="H522" s="8">
        <v>72.569999999999993</v>
      </c>
      <c r="I522" s="3">
        <f t="shared" si="33"/>
        <v>0</v>
      </c>
      <c r="J522" s="4">
        <v>0</v>
      </c>
      <c r="K522" s="11">
        <f>Table1[[#This Row],[original_price]]* (Table1[[#This Row],[Markdown percentage updated]])</f>
        <v>0</v>
      </c>
      <c r="L5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22" s="6">
        <v>72.569999999999993</v>
      </c>
      <c r="N5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22" s="7">
        <v>45875</v>
      </c>
      <c r="P522">
        <v>27</v>
      </c>
      <c r="Q522" s="16" t="str">
        <f>IF(Table1[[#This Row],[stock_quantity]]=0,"NO STOCK",
IF(Table1[[#This Row],[stock_quantity]]&lt;=10,"LOW STOCK",
"IN STOCK"))</f>
        <v>IN STOCK</v>
      </c>
      <c r="R522" s="1">
        <f t="shared" si="34"/>
        <v>2.5</v>
      </c>
      <c r="S522">
        <v>2.5</v>
      </c>
      <c r="T522" t="b">
        <v>0</v>
      </c>
      <c r="U522" t="str">
        <f t="shared" si="35"/>
        <v>No Return</v>
      </c>
    </row>
    <row r="523" spans="1:22" hidden="1" x14ac:dyDescent="0.3">
      <c r="A523" t="s">
        <v>576</v>
      </c>
      <c r="B523" t="s">
        <v>38</v>
      </c>
      <c r="C523" t="s">
        <v>48</v>
      </c>
      <c r="D523" t="s">
        <v>34</v>
      </c>
      <c r="E523" t="str">
        <f t="shared" si="32"/>
        <v>L</v>
      </c>
      <c r="F523" t="s">
        <v>24</v>
      </c>
      <c r="G523" t="s">
        <v>44</v>
      </c>
      <c r="H523" s="8">
        <v>39.049999999999997</v>
      </c>
      <c r="I523" s="3">
        <f t="shared" si="33"/>
        <v>0</v>
      </c>
      <c r="J523" s="4">
        <v>0</v>
      </c>
      <c r="K523" s="11">
        <f>Table1[[#This Row],[original_price]]* (Table1[[#This Row],[Markdown percentage updated]])</f>
        <v>0</v>
      </c>
      <c r="L5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23" s="6">
        <v>39.049999999999997</v>
      </c>
      <c r="N5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23" s="7">
        <v>45875</v>
      </c>
      <c r="P523">
        <v>10</v>
      </c>
      <c r="Q523" s="17" t="str">
        <f>IF(Table1[[#This Row],[stock_quantity]]=0,"NO STOCK",
IF(Table1[[#This Row],[stock_quantity]]&lt;=10,"LOW STOCK",
"IN STOCK"))</f>
        <v>LOW STOCK</v>
      </c>
      <c r="R523" s="1">
        <f t="shared" si="34"/>
        <v>3.5</v>
      </c>
      <c r="S523">
        <v>3.5</v>
      </c>
      <c r="T523" t="b">
        <v>0</v>
      </c>
      <c r="U523" t="str">
        <f t="shared" si="35"/>
        <v>No Return</v>
      </c>
    </row>
    <row r="524" spans="1:22" hidden="1" x14ac:dyDescent="0.3">
      <c r="A524" t="s">
        <v>577</v>
      </c>
      <c r="B524" t="s">
        <v>42</v>
      </c>
      <c r="C524" t="s">
        <v>16</v>
      </c>
      <c r="D524" t="s">
        <v>23</v>
      </c>
      <c r="E524" t="str">
        <f t="shared" si="32"/>
        <v>XS</v>
      </c>
      <c r="F524" t="s">
        <v>39</v>
      </c>
      <c r="G524" t="s">
        <v>40</v>
      </c>
      <c r="H524" s="8">
        <v>113.21</v>
      </c>
      <c r="I524" s="3">
        <f t="shared" si="33"/>
        <v>0</v>
      </c>
      <c r="J524" s="4">
        <v>0</v>
      </c>
      <c r="K524" s="11">
        <f>Table1[[#This Row],[original_price]]* (Table1[[#This Row],[Markdown percentage updated]])</f>
        <v>0</v>
      </c>
      <c r="L5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24" s="6">
        <v>113.21</v>
      </c>
      <c r="N5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24" s="7">
        <v>45875</v>
      </c>
      <c r="P524">
        <v>12</v>
      </c>
      <c r="Q524" s="16" t="str">
        <f>IF(Table1[[#This Row],[stock_quantity]]=0,"NO STOCK",
IF(Table1[[#This Row],[stock_quantity]]&lt;=10,"LOW STOCK",
"IN STOCK"))</f>
        <v>IN STOCK</v>
      </c>
      <c r="R524" s="1">
        <f t="shared" si="34"/>
        <v>4.4000000000000004</v>
      </c>
      <c r="S524">
        <v>4.4000000000000004</v>
      </c>
      <c r="T524" t="b">
        <v>0</v>
      </c>
      <c r="U524" t="str">
        <f t="shared" si="35"/>
        <v>No Return</v>
      </c>
    </row>
    <row r="525" spans="1:22" hidden="1" x14ac:dyDescent="0.3">
      <c r="A525" t="s">
        <v>578</v>
      </c>
      <c r="B525" t="s">
        <v>27</v>
      </c>
      <c r="C525" t="s">
        <v>75</v>
      </c>
      <c r="D525" t="s">
        <v>17</v>
      </c>
      <c r="E525" t="str">
        <f t="shared" si="32"/>
        <v>S</v>
      </c>
      <c r="G525" t="s">
        <v>64</v>
      </c>
      <c r="H525" s="8">
        <v>25.34</v>
      </c>
      <c r="I525" s="3">
        <f t="shared" si="33"/>
        <v>0</v>
      </c>
      <c r="J525" s="4">
        <v>0</v>
      </c>
      <c r="K525" s="11">
        <f>Table1[[#This Row],[original_price]]* (Table1[[#This Row],[Markdown percentage updated]])</f>
        <v>0</v>
      </c>
      <c r="L5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25" s="6">
        <v>25.34</v>
      </c>
      <c r="N5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25" s="7">
        <v>45869</v>
      </c>
      <c r="P525">
        <v>17</v>
      </c>
      <c r="Q525" s="16" t="str">
        <f>IF(Table1[[#This Row],[stock_quantity]]=0,"NO STOCK",
IF(Table1[[#This Row],[stock_quantity]]&lt;=10,"LOW STOCK",
"IN STOCK"))</f>
        <v>IN STOCK</v>
      </c>
      <c r="R525" s="1">
        <f t="shared" si="34"/>
        <v>3.3</v>
      </c>
      <c r="S525">
        <v>3.3</v>
      </c>
      <c r="T525" t="b">
        <v>0</v>
      </c>
      <c r="U525" t="str">
        <f t="shared" si="35"/>
        <v>No Return</v>
      </c>
    </row>
    <row r="526" spans="1:22" hidden="1" x14ac:dyDescent="0.3">
      <c r="A526" t="s">
        <v>579</v>
      </c>
      <c r="B526" t="s">
        <v>21</v>
      </c>
      <c r="C526" t="s">
        <v>43</v>
      </c>
      <c r="D526" t="s">
        <v>17</v>
      </c>
      <c r="E526" t="str">
        <f t="shared" si="32"/>
        <v>XL</v>
      </c>
      <c r="F526" t="s">
        <v>24</v>
      </c>
      <c r="G526" t="s">
        <v>28</v>
      </c>
      <c r="H526" s="8">
        <v>98.16</v>
      </c>
      <c r="I526" s="3">
        <f t="shared" si="33"/>
        <v>0.56700000000000006</v>
      </c>
      <c r="J526" s="4">
        <v>56.7</v>
      </c>
      <c r="K526" s="11">
        <f>Table1[[#This Row],[original_price]]* (Table1[[#This Row],[Markdown percentage updated]])</f>
        <v>55.656720000000007</v>
      </c>
      <c r="L5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26" s="6">
        <v>42.5</v>
      </c>
      <c r="N5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26" s="7">
        <v>45693</v>
      </c>
      <c r="P526">
        <v>44</v>
      </c>
      <c r="Q526" s="16" t="str">
        <f>IF(Table1[[#This Row],[stock_quantity]]=0,"NO STOCK",
IF(Table1[[#This Row],[stock_quantity]]&lt;=10,"LOW STOCK",
"IN STOCK"))</f>
        <v>IN STOCK</v>
      </c>
      <c r="R526" s="1">
        <f t="shared" si="34"/>
        <v>2.6</v>
      </c>
      <c r="S526">
        <v>2.6</v>
      </c>
      <c r="T526" t="b">
        <v>0</v>
      </c>
      <c r="U526" t="str">
        <f t="shared" si="35"/>
        <v>No Return</v>
      </c>
    </row>
    <row r="527" spans="1:22" hidden="1" x14ac:dyDescent="0.3">
      <c r="A527" t="s">
        <v>580</v>
      </c>
      <c r="B527" t="s">
        <v>21</v>
      </c>
      <c r="C527" t="s">
        <v>32</v>
      </c>
      <c r="D527" t="s">
        <v>17</v>
      </c>
      <c r="E527" t="str">
        <f t="shared" si="32"/>
        <v>OS</v>
      </c>
      <c r="F527" t="s">
        <v>55</v>
      </c>
      <c r="G527" t="s">
        <v>66</v>
      </c>
      <c r="H527" s="8">
        <v>60.54</v>
      </c>
      <c r="I527" s="3">
        <f t="shared" si="33"/>
        <v>0</v>
      </c>
      <c r="J527" s="4">
        <v>0</v>
      </c>
      <c r="K527" s="11">
        <f>Table1[[#This Row],[original_price]]* (Table1[[#This Row],[Markdown percentage updated]])</f>
        <v>0</v>
      </c>
      <c r="L5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27" s="6">
        <v>60.54</v>
      </c>
      <c r="N5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27" s="7">
        <v>45757</v>
      </c>
      <c r="P527">
        <v>35</v>
      </c>
      <c r="Q527" s="16" t="str">
        <f>IF(Table1[[#This Row],[stock_quantity]]=0,"NO STOCK",
IF(Table1[[#This Row],[stock_quantity]]&lt;=10,"LOW STOCK",
"IN STOCK"))</f>
        <v>IN STOCK</v>
      </c>
      <c r="R527" s="1">
        <f t="shared" si="34"/>
        <v>1.7</v>
      </c>
      <c r="S527">
        <v>1.7</v>
      </c>
      <c r="T527" t="b">
        <v>0</v>
      </c>
      <c r="U527" t="str">
        <f t="shared" si="35"/>
        <v>No Return</v>
      </c>
    </row>
    <row r="528" spans="1:22" hidden="1" x14ac:dyDescent="0.3">
      <c r="A528" t="s">
        <v>581</v>
      </c>
      <c r="B528" t="s">
        <v>42</v>
      </c>
      <c r="C528" t="s">
        <v>16</v>
      </c>
      <c r="D528" t="s">
        <v>23</v>
      </c>
      <c r="E528" t="str">
        <f t="shared" si="32"/>
        <v>OS</v>
      </c>
      <c r="F528" t="s">
        <v>39</v>
      </c>
      <c r="G528" t="s">
        <v>25</v>
      </c>
      <c r="H528" s="8">
        <v>132.61000000000001</v>
      </c>
      <c r="I528" s="3">
        <f t="shared" si="33"/>
        <v>7.400000000000001E-2</v>
      </c>
      <c r="J528" s="4">
        <v>7.4</v>
      </c>
      <c r="K528" s="11">
        <f>Table1[[#This Row],[original_price]]* (Table1[[#This Row],[Markdown percentage updated]])</f>
        <v>9.8131400000000024</v>
      </c>
      <c r="L5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528" s="6">
        <v>122.8</v>
      </c>
      <c r="N5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528" s="7">
        <v>45875</v>
      </c>
      <c r="P528">
        <v>0</v>
      </c>
      <c r="Q528" s="13" t="str">
        <f>IF(Table1[[#This Row],[stock_quantity]]=0,"NO STOCK",
IF(Table1[[#This Row],[stock_quantity]]&lt;=10,"LOW STOCK",
"IN STOCK"))</f>
        <v>NO STOCK</v>
      </c>
      <c r="R528" s="1">
        <f t="shared" si="34"/>
        <v>4.2</v>
      </c>
      <c r="S528">
        <v>4.2</v>
      </c>
      <c r="T528" t="b">
        <v>0</v>
      </c>
      <c r="U528" t="str">
        <f t="shared" si="35"/>
        <v>No Return</v>
      </c>
    </row>
    <row r="529" spans="1:22" hidden="1" x14ac:dyDescent="0.3">
      <c r="A529" t="s">
        <v>582</v>
      </c>
      <c r="B529" t="s">
        <v>15</v>
      </c>
      <c r="C529" t="s">
        <v>53</v>
      </c>
      <c r="D529" t="s">
        <v>34</v>
      </c>
      <c r="E529" t="str">
        <f t="shared" si="32"/>
        <v>XS</v>
      </c>
      <c r="F529" t="s">
        <v>18</v>
      </c>
      <c r="G529" t="s">
        <v>25</v>
      </c>
      <c r="H529" s="8">
        <v>234.14</v>
      </c>
      <c r="I529" s="3">
        <f t="shared" si="33"/>
        <v>0</v>
      </c>
      <c r="J529" s="4">
        <v>0</v>
      </c>
      <c r="K529" s="11">
        <f>Table1[[#This Row],[original_price]]* (Table1[[#This Row],[Markdown percentage updated]])</f>
        <v>0</v>
      </c>
      <c r="L5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29" s="6">
        <v>234.14</v>
      </c>
      <c r="N5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29" s="7">
        <v>45875</v>
      </c>
      <c r="P529">
        <v>40</v>
      </c>
      <c r="Q529" s="16" t="str">
        <f>IF(Table1[[#This Row],[stock_quantity]]=0,"NO STOCK",
IF(Table1[[#This Row],[stock_quantity]]&lt;=10,"LOW STOCK",
"IN STOCK"))</f>
        <v>IN STOCK</v>
      </c>
      <c r="R529" s="1">
        <f t="shared" si="34"/>
        <v>1.7</v>
      </c>
      <c r="S529">
        <v>1.7</v>
      </c>
      <c r="T529" t="b">
        <v>0</v>
      </c>
      <c r="U529" t="str">
        <f t="shared" si="35"/>
        <v>No Return</v>
      </c>
    </row>
    <row r="530" spans="1:22" hidden="1" x14ac:dyDescent="0.3">
      <c r="A530" t="s">
        <v>583</v>
      </c>
      <c r="B530" t="s">
        <v>27</v>
      </c>
      <c r="C530" t="s">
        <v>48</v>
      </c>
      <c r="D530" t="s">
        <v>34</v>
      </c>
      <c r="E530" t="str">
        <f t="shared" si="32"/>
        <v>OS</v>
      </c>
      <c r="G530" t="s">
        <v>28</v>
      </c>
      <c r="H530" s="8">
        <v>31.86</v>
      </c>
      <c r="I530" s="3">
        <f t="shared" si="33"/>
        <v>0.48200000000000004</v>
      </c>
      <c r="J530" s="4">
        <v>48.2</v>
      </c>
      <c r="K530" s="11">
        <f>Table1[[#This Row],[original_price]]* (Table1[[#This Row],[Markdown percentage updated]])</f>
        <v>15.356520000000002</v>
      </c>
      <c r="L5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30" s="6">
        <v>16.5</v>
      </c>
      <c r="N5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530" s="7">
        <v>45875</v>
      </c>
      <c r="P530">
        <v>32</v>
      </c>
      <c r="Q530" s="16" t="str">
        <f>IF(Table1[[#This Row],[stock_quantity]]=0,"NO STOCK",
IF(Table1[[#This Row],[stock_quantity]]&lt;=10,"LOW STOCK",
"IN STOCK"))</f>
        <v>IN STOCK</v>
      </c>
      <c r="R530" s="1">
        <f t="shared" si="34"/>
        <v>4.5</v>
      </c>
      <c r="S530">
        <v>4.5</v>
      </c>
      <c r="T530" t="b">
        <v>0</v>
      </c>
      <c r="U530" t="str">
        <f t="shared" si="35"/>
        <v>No Return</v>
      </c>
    </row>
    <row r="531" spans="1:22" hidden="1" x14ac:dyDescent="0.3">
      <c r="A531" t="s">
        <v>584</v>
      </c>
      <c r="B531" t="s">
        <v>27</v>
      </c>
      <c r="C531" t="s">
        <v>22</v>
      </c>
      <c r="D531" t="s">
        <v>17</v>
      </c>
      <c r="E531" t="str">
        <f t="shared" si="32"/>
        <v>M</v>
      </c>
      <c r="G531" t="s">
        <v>40</v>
      </c>
      <c r="H531" s="8">
        <v>15.14</v>
      </c>
      <c r="I531" s="3">
        <f t="shared" si="33"/>
        <v>0.36700000000000005</v>
      </c>
      <c r="J531" s="4">
        <v>36.700000000000003</v>
      </c>
      <c r="K531" s="11">
        <f>Table1[[#This Row],[original_price]]* (Table1[[#This Row],[Markdown percentage updated]])</f>
        <v>5.5563800000000008</v>
      </c>
      <c r="L5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31" s="6">
        <v>9.58</v>
      </c>
      <c r="N5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531" s="7">
        <v>45861</v>
      </c>
      <c r="P531">
        <v>41</v>
      </c>
      <c r="Q531" s="16" t="str">
        <f>IF(Table1[[#This Row],[stock_quantity]]=0,"NO STOCK",
IF(Table1[[#This Row],[stock_quantity]]&lt;=10,"LOW STOCK",
"IN STOCK"))</f>
        <v>IN STOCK</v>
      </c>
      <c r="R531" s="1">
        <f t="shared" si="34"/>
        <v>3.8</v>
      </c>
      <c r="S531">
        <v>3.8</v>
      </c>
      <c r="T531" t="b">
        <v>0</v>
      </c>
      <c r="U531" t="str">
        <f t="shared" si="35"/>
        <v>No Return</v>
      </c>
    </row>
    <row r="532" spans="1:22" hidden="1" x14ac:dyDescent="0.3">
      <c r="A532" t="s">
        <v>585</v>
      </c>
      <c r="B532" t="s">
        <v>30</v>
      </c>
      <c r="C532" t="s">
        <v>48</v>
      </c>
      <c r="D532" t="s">
        <v>23</v>
      </c>
      <c r="E532" t="str">
        <f t="shared" si="32"/>
        <v>L</v>
      </c>
      <c r="F532" t="s">
        <v>55</v>
      </c>
      <c r="G532" t="s">
        <v>66</v>
      </c>
      <c r="H532" s="8">
        <v>77.72</v>
      </c>
      <c r="I532" s="3">
        <f t="shared" si="33"/>
        <v>0</v>
      </c>
      <c r="J532" s="4">
        <v>0</v>
      </c>
      <c r="K532" s="11">
        <f>Table1[[#This Row],[original_price]]* (Table1[[#This Row],[Markdown percentage updated]])</f>
        <v>0</v>
      </c>
      <c r="L5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32" s="6">
        <v>77.72</v>
      </c>
      <c r="N5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32" s="7">
        <v>45875</v>
      </c>
      <c r="P532">
        <v>48</v>
      </c>
      <c r="Q532" s="16" t="str">
        <f>IF(Table1[[#This Row],[stock_quantity]]=0,"NO STOCK",
IF(Table1[[#This Row],[stock_quantity]]&lt;=10,"LOW STOCK",
"IN STOCK"))</f>
        <v>IN STOCK</v>
      </c>
      <c r="R532" s="1">
        <f t="shared" si="34"/>
        <v>1.1000000000000001</v>
      </c>
      <c r="S532">
        <v>1.1000000000000001</v>
      </c>
      <c r="T532" t="b">
        <v>0</v>
      </c>
      <c r="U532" t="str">
        <f t="shared" si="35"/>
        <v>No Return</v>
      </c>
    </row>
    <row r="533" spans="1:22" hidden="1" x14ac:dyDescent="0.3">
      <c r="A533" t="s">
        <v>586</v>
      </c>
      <c r="B533" t="s">
        <v>27</v>
      </c>
      <c r="C533" t="s">
        <v>16</v>
      </c>
      <c r="D533" t="s">
        <v>17</v>
      </c>
      <c r="E533" t="str">
        <f t="shared" si="32"/>
        <v>XL</v>
      </c>
      <c r="G533" t="s">
        <v>40</v>
      </c>
      <c r="H533" s="8">
        <v>78.040000000000006</v>
      </c>
      <c r="I533" s="3">
        <f t="shared" si="33"/>
        <v>0</v>
      </c>
      <c r="J533" s="4">
        <v>0</v>
      </c>
      <c r="K533" s="11">
        <f>Table1[[#This Row],[original_price]]* (Table1[[#This Row],[Markdown percentage updated]])</f>
        <v>0</v>
      </c>
      <c r="L5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33" s="6">
        <v>78.040000000000006</v>
      </c>
      <c r="N5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33" s="7">
        <v>45756</v>
      </c>
      <c r="P533">
        <v>38</v>
      </c>
      <c r="Q533" s="16" t="str">
        <f>IF(Table1[[#This Row],[stock_quantity]]=0,"NO STOCK",
IF(Table1[[#This Row],[stock_quantity]]&lt;=10,"LOW STOCK",
"IN STOCK"))</f>
        <v>IN STOCK</v>
      </c>
      <c r="R533" s="1">
        <f t="shared" si="34"/>
        <v>4.9000000000000004</v>
      </c>
      <c r="S533">
        <v>4.9000000000000004</v>
      </c>
      <c r="T533" t="b">
        <v>0</v>
      </c>
      <c r="U533" t="str">
        <f t="shared" si="35"/>
        <v>No Return</v>
      </c>
    </row>
    <row r="534" spans="1:22" hidden="1" x14ac:dyDescent="0.3">
      <c r="A534" t="s">
        <v>587</v>
      </c>
      <c r="B534" t="s">
        <v>15</v>
      </c>
      <c r="C534" t="s">
        <v>61</v>
      </c>
      <c r="D534" t="s">
        <v>34</v>
      </c>
      <c r="E534" t="str">
        <f t="shared" si="32"/>
        <v>L</v>
      </c>
      <c r="F534" t="s">
        <v>58</v>
      </c>
      <c r="G534" t="s">
        <v>70</v>
      </c>
      <c r="H534" s="8">
        <v>169.82</v>
      </c>
      <c r="I534" s="3">
        <f t="shared" si="33"/>
        <v>0</v>
      </c>
      <c r="J534" s="4">
        <v>0</v>
      </c>
      <c r="K534" s="11">
        <f>Table1[[#This Row],[original_price]]* (Table1[[#This Row],[Markdown percentage updated]])</f>
        <v>0</v>
      </c>
      <c r="L5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34" s="6">
        <v>169.82</v>
      </c>
      <c r="N5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34" s="7">
        <v>45875</v>
      </c>
      <c r="P534">
        <v>28</v>
      </c>
      <c r="Q534" s="16" t="str">
        <f>IF(Table1[[#This Row],[stock_quantity]]=0,"NO STOCK",
IF(Table1[[#This Row],[stock_quantity]]&lt;=10,"LOW STOCK",
"IN STOCK"))</f>
        <v>IN STOCK</v>
      </c>
      <c r="R534" s="1">
        <f t="shared" si="34"/>
        <v>4</v>
      </c>
      <c r="S534">
        <v>4</v>
      </c>
      <c r="T534" t="b">
        <v>0</v>
      </c>
      <c r="U534" t="str">
        <f t="shared" si="35"/>
        <v>No Return</v>
      </c>
    </row>
    <row r="535" spans="1:22" hidden="1" x14ac:dyDescent="0.3">
      <c r="A535" t="s">
        <v>588</v>
      </c>
      <c r="B535" t="s">
        <v>38</v>
      </c>
      <c r="C535" t="s">
        <v>48</v>
      </c>
      <c r="D535" t="s">
        <v>17</v>
      </c>
      <c r="E535" t="str">
        <f t="shared" si="32"/>
        <v>XXL</v>
      </c>
      <c r="F535" t="s">
        <v>24</v>
      </c>
      <c r="G535" t="s">
        <v>35</v>
      </c>
      <c r="H535" s="8">
        <v>94.71</v>
      </c>
      <c r="I535" s="3">
        <f t="shared" si="33"/>
        <v>0.38900000000000001</v>
      </c>
      <c r="J535" s="4">
        <v>38.9</v>
      </c>
      <c r="K535" s="11">
        <f>Table1[[#This Row],[original_price]]* (Table1[[#This Row],[Markdown percentage updated]])</f>
        <v>36.842190000000002</v>
      </c>
      <c r="L5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35" s="6">
        <v>57.87</v>
      </c>
      <c r="N5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35" s="7">
        <v>45520</v>
      </c>
      <c r="P535">
        <v>39</v>
      </c>
      <c r="Q535" s="16" t="str">
        <f>IF(Table1[[#This Row],[stock_quantity]]=0,"NO STOCK",
IF(Table1[[#This Row],[stock_quantity]]&lt;=10,"LOW STOCK",
"IN STOCK"))</f>
        <v>IN STOCK</v>
      </c>
      <c r="R535" s="1">
        <f t="shared" si="34"/>
        <v>4.7</v>
      </c>
      <c r="S535">
        <v>4.7</v>
      </c>
      <c r="T535" t="b">
        <v>0</v>
      </c>
      <c r="U535" t="str">
        <f t="shared" si="35"/>
        <v>No Return</v>
      </c>
    </row>
    <row r="536" spans="1:22" hidden="1" x14ac:dyDescent="0.3">
      <c r="A536" t="s">
        <v>589</v>
      </c>
      <c r="B536" t="s">
        <v>30</v>
      </c>
      <c r="C536" t="s">
        <v>53</v>
      </c>
      <c r="D536" t="s">
        <v>17</v>
      </c>
      <c r="E536" t="str">
        <f t="shared" si="32"/>
        <v>L</v>
      </c>
      <c r="F536" t="s">
        <v>18</v>
      </c>
      <c r="G536" t="s">
        <v>19</v>
      </c>
      <c r="H536" s="8">
        <v>112.6</v>
      </c>
      <c r="I536" s="3">
        <f t="shared" si="33"/>
        <v>0.22</v>
      </c>
      <c r="J536" s="4">
        <v>22</v>
      </c>
      <c r="K536" s="11">
        <f>Table1[[#This Row],[original_price]]* (Table1[[#This Row],[Markdown percentage updated]])</f>
        <v>24.771999999999998</v>
      </c>
      <c r="L5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536" s="6">
        <v>87.83</v>
      </c>
      <c r="N5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36" s="7">
        <v>45860</v>
      </c>
      <c r="P536">
        <v>29</v>
      </c>
      <c r="Q536" s="16" t="str">
        <f>IF(Table1[[#This Row],[stock_quantity]]=0,"NO STOCK",
IF(Table1[[#This Row],[stock_quantity]]&lt;=10,"LOW STOCK",
"IN STOCK"))</f>
        <v>IN STOCK</v>
      </c>
      <c r="R536" s="1">
        <f t="shared" si="34"/>
        <v>2.1</v>
      </c>
      <c r="S536">
        <v>2.1</v>
      </c>
      <c r="T536" t="b">
        <v>1</v>
      </c>
      <c r="U536" s="13" t="str">
        <f t="shared" si="35"/>
        <v>Color Mismatch</v>
      </c>
      <c r="V536" t="s">
        <v>36</v>
      </c>
    </row>
    <row r="537" spans="1:22" hidden="1" x14ac:dyDescent="0.3">
      <c r="A537" t="s">
        <v>590</v>
      </c>
      <c r="B537" t="s">
        <v>38</v>
      </c>
      <c r="C537" t="s">
        <v>16</v>
      </c>
      <c r="D537" t="s">
        <v>62</v>
      </c>
      <c r="E537" t="str">
        <f t="shared" si="32"/>
        <v>L</v>
      </c>
      <c r="F537" t="s">
        <v>24</v>
      </c>
      <c r="G537" t="s">
        <v>66</v>
      </c>
      <c r="H537" s="8">
        <v>104.16</v>
      </c>
      <c r="I537" s="3">
        <f t="shared" si="33"/>
        <v>0</v>
      </c>
      <c r="J537" s="4">
        <v>0</v>
      </c>
      <c r="K537" s="11">
        <f>Table1[[#This Row],[original_price]]* (Table1[[#This Row],[Markdown percentage updated]])</f>
        <v>0</v>
      </c>
      <c r="L5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37" s="6">
        <v>104.16</v>
      </c>
      <c r="N5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37" s="7">
        <v>45875</v>
      </c>
      <c r="P537">
        <v>21</v>
      </c>
      <c r="Q537" s="16" t="str">
        <f>IF(Table1[[#This Row],[stock_quantity]]=0,"NO STOCK",
IF(Table1[[#This Row],[stock_quantity]]&lt;=10,"LOW STOCK",
"IN STOCK"))</f>
        <v>IN STOCK</v>
      </c>
      <c r="R537" s="1">
        <f t="shared" si="34"/>
        <v>1.6</v>
      </c>
      <c r="S537">
        <v>1.6</v>
      </c>
      <c r="T537" t="b">
        <v>0</v>
      </c>
      <c r="U537" t="str">
        <f t="shared" si="35"/>
        <v>No Return</v>
      </c>
    </row>
    <row r="538" spans="1:22" hidden="1" x14ac:dyDescent="0.3">
      <c r="A538" t="s">
        <v>591</v>
      </c>
      <c r="B538" t="s">
        <v>15</v>
      </c>
      <c r="C538" t="s">
        <v>61</v>
      </c>
      <c r="D538" t="s">
        <v>23</v>
      </c>
      <c r="E538" t="str">
        <f t="shared" si="32"/>
        <v>XL</v>
      </c>
      <c r="F538" t="s">
        <v>49</v>
      </c>
      <c r="G538" t="s">
        <v>40</v>
      </c>
      <c r="H538" s="8">
        <v>174.86</v>
      </c>
      <c r="I538" s="3">
        <f t="shared" si="33"/>
        <v>0</v>
      </c>
      <c r="J538" s="4">
        <v>0</v>
      </c>
      <c r="K538" s="11">
        <f>Table1[[#This Row],[original_price]]* (Table1[[#This Row],[Markdown percentage updated]])</f>
        <v>0</v>
      </c>
      <c r="L5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38" s="6">
        <v>174.86</v>
      </c>
      <c r="N5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38" s="7">
        <v>45875</v>
      </c>
      <c r="P538">
        <v>15</v>
      </c>
      <c r="Q538" s="16" t="str">
        <f>IF(Table1[[#This Row],[stock_quantity]]=0,"NO STOCK",
IF(Table1[[#This Row],[stock_quantity]]&lt;=10,"LOW STOCK",
"IN STOCK"))</f>
        <v>IN STOCK</v>
      </c>
      <c r="R538" s="1">
        <f t="shared" si="34"/>
        <v>1.7</v>
      </c>
      <c r="S538">
        <v>1.7</v>
      </c>
      <c r="T538" t="b">
        <v>0</v>
      </c>
      <c r="U538" t="str">
        <f t="shared" si="35"/>
        <v>No Return</v>
      </c>
    </row>
    <row r="539" spans="1:22" hidden="1" x14ac:dyDescent="0.3">
      <c r="A539" t="s">
        <v>592</v>
      </c>
      <c r="B539" t="s">
        <v>15</v>
      </c>
      <c r="C539" t="s">
        <v>22</v>
      </c>
      <c r="D539" t="s">
        <v>17</v>
      </c>
      <c r="E539" t="str">
        <f t="shared" si="32"/>
        <v>XL</v>
      </c>
      <c r="F539" t="s">
        <v>24</v>
      </c>
      <c r="G539" t="s">
        <v>66</v>
      </c>
      <c r="H539" s="8">
        <v>217.89</v>
      </c>
      <c r="I539" s="3">
        <f t="shared" si="33"/>
        <v>0.49399999999999999</v>
      </c>
      <c r="J539" s="4">
        <v>49.4</v>
      </c>
      <c r="K539" s="11">
        <f>Table1[[#This Row],[original_price]]* (Table1[[#This Row],[Markdown percentage updated]])</f>
        <v>107.63766</v>
      </c>
      <c r="L5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39" s="6">
        <v>110.25</v>
      </c>
      <c r="N5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39" s="7">
        <v>45623</v>
      </c>
      <c r="P539">
        <v>42</v>
      </c>
      <c r="Q539" s="16" t="str">
        <f>IF(Table1[[#This Row],[stock_quantity]]=0,"NO STOCK",
IF(Table1[[#This Row],[stock_quantity]]&lt;=10,"LOW STOCK",
"IN STOCK"))</f>
        <v>IN STOCK</v>
      </c>
      <c r="R539" s="1">
        <f t="shared" si="34"/>
        <v>2.9</v>
      </c>
      <c r="S539">
        <v>2.9</v>
      </c>
      <c r="T539" t="b">
        <v>0</v>
      </c>
      <c r="U539" t="str">
        <f t="shared" si="35"/>
        <v>No Return</v>
      </c>
    </row>
    <row r="540" spans="1:22" hidden="1" x14ac:dyDescent="0.3">
      <c r="A540" t="s">
        <v>593</v>
      </c>
      <c r="B540" t="s">
        <v>30</v>
      </c>
      <c r="C540" t="s">
        <v>43</v>
      </c>
      <c r="D540" t="s">
        <v>23</v>
      </c>
      <c r="E540" t="str">
        <f t="shared" si="32"/>
        <v>S</v>
      </c>
      <c r="F540" t="s">
        <v>24</v>
      </c>
      <c r="G540" t="s">
        <v>28</v>
      </c>
      <c r="H540" s="8">
        <v>123.14</v>
      </c>
      <c r="I540" s="3">
        <f t="shared" si="33"/>
        <v>0</v>
      </c>
      <c r="J540" s="4">
        <v>0</v>
      </c>
      <c r="K540" s="11">
        <f>Table1[[#This Row],[original_price]]* (Table1[[#This Row],[Markdown percentage updated]])</f>
        <v>0</v>
      </c>
      <c r="L5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40" s="6">
        <v>123.14</v>
      </c>
      <c r="N5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40" s="7">
        <v>45875</v>
      </c>
      <c r="P540">
        <v>15</v>
      </c>
      <c r="Q540" s="16" t="str">
        <f>IF(Table1[[#This Row],[stock_quantity]]=0,"NO STOCK",
IF(Table1[[#This Row],[stock_quantity]]&lt;=10,"LOW STOCK",
"IN STOCK"))</f>
        <v>IN STOCK</v>
      </c>
      <c r="R540" s="1">
        <f t="shared" si="34"/>
        <v>1.8</v>
      </c>
      <c r="S540">
        <v>1.8</v>
      </c>
      <c r="T540" t="b">
        <v>1</v>
      </c>
      <c r="U540" s="13" t="str">
        <f t="shared" si="35"/>
        <v>Wrong Item</v>
      </c>
      <c r="V540" t="s">
        <v>125</v>
      </c>
    </row>
    <row r="541" spans="1:22" hidden="1" x14ac:dyDescent="0.3">
      <c r="A541" t="s">
        <v>594</v>
      </c>
      <c r="B541" t="s">
        <v>21</v>
      </c>
      <c r="C541" t="s">
        <v>53</v>
      </c>
      <c r="D541" t="s">
        <v>23</v>
      </c>
      <c r="E541" t="str">
        <f t="shared" si="32"/>
        <v>XXL</v>
      </c>
      <c r="F541" t="s">
        <v>18</v>
      </c>
      <c r="G541" t="s">
        <v>64</v>
      </c>
      <c r="H541" s="8">
        <v>103.96</v>
      </c>
      <c r="I541" s="3">
        <f t="shared" si="33"/>
        <v>0</v>
      </c>
      <c r="J541" s="4">
        <v>0</v>
      </c>
      <c r="K541" s="11">
        <f>Table1[[#This Row],[original_price]]* (Table1[[#This Row],[Markdown percentage updated]])</f>
        <v>0</v>
      </c>
      <c r="L5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41" s="6">
        <v>103.96</v>
      </c>
      <c r="N5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41" s="7">
        <v>45875</v>
      </c>
      <c r="P541">
        <v>23</v>
      </c>
      <c r="Q541" s="16" t="str">
        <f>IF(Table1[[#This Row],[stock_quantity]]=0,"NO STOCK",
IF(Table1[[#This Row],[stock_quantity]]&lt;=10,"LOW STOCK",
"IN STOCK"))</f>
        <v>IN STOCK</v>
      </c>
      <c r="R541" s="1">
        <f t="shared" si="34"/>
        <v>3.3</v>
      </c>
      <c r="S541">
        <v>3.3</v>
      </c>
      <c r="T541" t="b">
        <v>0</v>
      </c>
      <c r="U541" t="str">
        <f t="shared" si="35"/>
        <v>No Return</v>
      </c>
    </row>
    <row r="542" spans="1:22" hidden="1" x14ac:dyDescent="0.3">
      <c r="A542" t="s">
        <v>595</v>
      </c>
      <c r="B542" t="s">
        <v>42</v>
      </c>
      <c r="C542" t="s">
        <v>48</v>
      </c>
      <c r="D542" t="s">
        <v>17</v>
      </c>
      <c r="E542" t="str">
        <f t="shared" si="32"/>
        <v>L</v>
      </c>
      <c r="F542" t="s">
        <v>18</v>
      </c>
      <c r="G542" t="s">
        <v>44</v>
      </c>
      <c r="H542" s="8">
        <v>138.44999999999999</v>
      </c>
      <c r="I542" s="3">
        <f t="shared" si="33"/>
        <v>0</v>
      </c>
      <c r="J542" s="4">
        <v>0</v>
      </c>
      <c r="K542" s="11">
        <f>Table1[[#This Row],[original_price]]* (Table1[[#This Row],[Markdown percentage updated]])</f>
        <v>0</v>
      </c>
      <c r="L5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42" s="6">
        <v>138.44999999999999</v>
      </c>
      <c r="N5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42" s="7">
        <v>45744</v>
      </c>
      <c r="P542">
        <v>18</v>
      </c>
      <c r="Q542" s="16" t="str">
        <f>IF(Table1[[#This Row],[stock_quantity]]=0,"NO STOCK",
IF(Table1[[#This Row],[stock_quantity]]&lt;=10,"LOW STOCK",
"IN STOCK"))</f>
        <v>IN STOCK</v>
      </c>
      <c r="R542" s="1">
        <f t="shared" si="34"/>
        <v>3.3</v>
      </c>
      <c r="S542">
        <v>3.3</v>
      </c>
      <c r="T542" t="b">
        <v>0</v>
      </c>
      <c r="U542" t="str">
        <f t="shared" si="35"/>
        <v>No Return</v>
      </c>
    </row>
    <row r="543" spans="1:22" hidden="1" x14ac:dyDescent="0.3">
      <c r="A543" t="s">
        <v>596</v>
      </c>
      <c r="B543" t="s">
        <v>30</v>
      </c>
      <c r="C543" t="s">
        <v>61</v>
      </c>
      <c r="D543" t="s">
        <v>62</v>
      </c>
      <c r="E543" t="str">
        <f t="shared" si="32"/>
        <v>M</v>
      </c>
      <c r="F543" t="s">
        <v>39</v>
      </c>
      <c r="G543" t="s">
        <v>28</v>
      </c>
      <c r="H543" s="8">
        <v>165.1</v>
      </c>
      <c r="I543" s="3">
        <f t="shared" si="33"/>
        <v>0</v>
      </c>
      <c r="J543" s="4">
        <v>0</v>
      </c>
      <c r="K543" s="11">
        <f>Table1[[#This Row],[original_price]]* (Table1[[#This Row],[Markdown percentage updated]])</f>
        <v>0</v>
      </c>
      <c r="L5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43" s="6">
        <v>165.1</v>
      </c>
      <c r="N5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43" s="7">
        <v>45875</v>
      </c>
      <c r="P543">
        <v>7</v>
      </c>
      <c r="Q543" s="17" t="str">
        <f>IF(Table1[[#This Row],[stock_quantity]]=0,"NO STOCK",
IF(Table1[[#This Row],[stock_quantity]]&lt;=10,"LOW STOCK",
"IN STOCK"))</f>
        <v>LOW STOCK</v>
      </c>
      <c r="R543" s="1">
        <f t="shared" si="34"/>
        <v>0</v>
      </c>
      <c r="T543" t="b">
        <v>0</v>
      </c>
      <c r="U543" t="str">
        <f t="shared" si="35"/>
        <v>No Return</v>
      </c>
    </row>
    <row r="544" spans="1:22" hidden="1" x14ac:dyDescent="0.3">
      <c r="A544" t="s">
        <v>597</v>
      </c>
      <c r="B544" t="s">
        <v>30</v>
      </c>
      <c r="C544" t="s">
        <v>61</v>
      </c>
      <c r="D544" t="s">
        <v>23</v>
      </c>
      <c r="E544" t="str">
        <f t="shared" si="32"/>
        <v>OS</v>
      </c>
      <c r="F544" t="s">
        <v>49</v>
      </c>
      <c r="G544" t="s">
        <v>40</v>
      </c>
      <c r="H544" s="8">
        <v>147.25</v>
      </c>
      <c r="I544" s="3">
        <f t="shared" si="33"/>
        <v>0</v>
      </c>
      <c r="J544" s="4">
        <v>0</v>
      </c>
      <c r="K544" s="11">
        <f>Table1[[#This Row],[original_price]]* (Table1[[#This Row],[Markdown percentage updated]])</f>
        <v>0</v>
      </c>
      <c r="L5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44" s="6">
        <v>147.25</v>
      </c>
      <c r="N5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44" s="7">
        <v>45875</v>
      </c>
      <c r="P544">
        <v>15</v>
      </c>
      <c r="Q544" s="16" t="str">
        <f>IF(Table1[[#This Row],[stock_quantity]]=0,"NO STOCK",
IF(Table1[[#This Row],[stock_quantity]]&lt;=10,"LOW STOCK",
"IN STOCK"))</f>
        <v>IN STOCK</v>
      </c>
      <c r="R544" s="1">
        <f t="shared" si="34"/>
        <v>2.7</v>
      </c>
      <c r="S544">
        <v>2.7</v>
      </c>
      <c r="T544" t="b">
        <v>0</v>
      </c>
      <c r="U544" t="str">
        <f t="shared" si="35"/>
        <v>No Return</v>
      </c>
    </row>
    <row r="545" spans="1:22" hidden="1" x14ac:dyDescent="0.3">
      <c r="A545" t="s">
        <v>598</v>
      </c>
      <c r="B545" t="s">
        <v>30</v>
      </c>
      <c r="C545" t="s">
        <v>22</v>
      </c>
      <c r="D545" t="s">
        <v>34</v>
      </c>
      <c r="E545" t="str">
        <f t="shared" si="32"/>
        <v>XS</v>
      </c>
      <c r="F545" t="s">
        <v>24</v>
      </c>
      <c r="G545" t="s">
        <v>25</v>
      </c>
      <c r="H545" s="8">
        <v>126.23</v>
      </c>
      <c r="I545" s="3">
        <f t="shared" si="33"/>
        <v>0</v>
      </c>
      <c r="J545" s="4">
        <v>0</v>
      </c>
      <c r="K545" s="11">
        <f>Table1[[#This Row],[original_price]]* (Table1[[#This Row],[Markdown percentage updated]])</f>
        <v>0</v>
      </c>
      <c r="L5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45" s="6">
        <v>126.23</v>
      </c>
      <c r="N5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45" s="7">
        <v>45875</v>
      </c>
      <c r="P545">
        <v>48</v>
      </c>
      <c r="Q545" s="16" t="str">
        <f>IF(Table1[[#This Row],[stock_quantity]]=0,"NO STOCK",
IF(Table1[[#This Row],[stock_quantity]]&lt;=10,"LOW STOCK",
"IN STOCK"))</f>
        <v>IN STOCK</v>
      </c>
      <c r="R545" s="1">
        <f t="shared" si="34"/>
        <v>2.1</v>
      </c>
      <c r="S545">
        <v>2.1</v>
      </c>
      <c r="T545" t="b">
        <v>0</v>
      </c>
      <c r="U545" t="str">
        <f t="shared" si="35"/>
        <v>No Return</v>
      </c>
    </row>
    <row r="546" spans="1:22" hidden="1" x14ac:dyDescent="0.3">
      <c r="A546" t="s">
        <v>599</v>
      </c>
      <c r="B546" t="s">
        <v>15</v>
      </c>
      <c r="C546" t="s">
        <v>53</v>
      </c>
      <c r="D546" t="s">
        <v>34</v>
      </c>
      <c r="E546" t="str">
        <f t="shared" si="32"/>
        <v>OS</v>
      </c>
      <c r="F546" t="s">
        <v>58</v>
      </c>
      <c r="G546" t="s">
        <v>64</v>
      </c>
      <c r="H546" s="8">
        <v>229.04</v>
      </c>
      <c r="I546" s="3">
        <f t="shared" si="33"/>
        <v>0</v>
      </c>
      <c r="J546" s="4">
        <v>0</v>
      </c>
      <c r="K546" s="11">
        <f>Table1[[#This Row],[original_price]]* (Table1[[#This Row],[Markdown percentage updated]])</f>
        <v>0</v>
      </c>
      <c r="L5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46" s="6">
        <v>229.04</v>
      </c>
      <c r="N5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46" s="7">
        <v>45875</v>
      </c>
      <c r="P546">
        <v>5</v>
      </c>
      <c r="Q546" s="17" t="str">
        <f>IF(Table1[[#This Row],[stock_quantity]]=0,"NO STOCK",
IF(Table1[[#This Row],[stock_quantity]]&lt;=10,"LOW STOCK",
"IN STOCK"))</f>
        <v>LOW STOCK</v>
      </c>
      <c r="R546" s="1">
        <f t="shared" si="34"/>
        <v>4.5</v>
      </c>
      <c r="S546">
        <v>4.5</v>
      </c>
      <c r="T546" t="b">
        <v>0</v>
      </c>
      <c r="U546" t="str">
        <f t="shared" si="35"/>
        <v>No Return</v>
      </c>
    </row>
    <row r="547" spans="1:22" hidden="1" x14ac:dyDescent="0.3">
      <c r="A547" t="s">
        <v>600</v>
      </c>
      <c r="B547" t="s">
        <v>27</v>
      </c>
      <c r="C547" t="s">
        <v>53</v>
      </c>
      <c r="D547" t="s">
        <v>23</v>
      </c>
      <c r="E547" t="str">
        <f t="shared" si="32"/>
        <v>M</v>
      </c>
      <c r="G547" t="s">
        <v>40</v>
      </c>
      <c r="H547" s="8">
        <v>38.65</v>
      </c>
      <c r="I547" s="3">
        <f t="shared" si="33"/>
        <v>0.32600000000000001</v>
      </c>
      <c r="J547" s="4">
        <v>32.6</v>
      </c>
      <c r="K547" s="11">
        <f>Table1[[#This Row],[original_price]]* (Table1[[#This Row],[Markdown percentage updated]])</f>
        <v>12.5999</v>
      </c>
      <c r="L5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47" s="6">
        <v>26.05</v>
      </c>
      <c r="N5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547" s="7">
        <v>45875</v>
      </c>
      <c r="P547">
        <v>46</v>
      </c>
      <c r="Q547" s="16" t="str">
        <f>IF(Table1[[#This Row],[stock_quantity]]=0,"NO STOCK",
IF(Table1[[#This Row],[stock_quantity]]&lt;=10,"LOW STOCK",
"IN STOCK"))</f>
        <v>IN STOCK</v>
      </c>
      <c r="R547" s="1">
        <f t="shared" si="34"/>
        <v>1.1000000000000001</v>
      </c>
      <c r="S547">
        <v>1.1000000000000001</v>
      </c>
      <c r="T547" t="b">
        <v>0</v>
      </c>
      <c r="U547" t="str">
        <f t="shared" si="35"/>
        <v>No Return</v>
      </c>
    </row>
    <row r="548" spans="1:22" hidden="1" x14ac:dyDescent="0.3">
      <c r="A548" t="s">
        <v>601</v>
      </c>
      <c r="B548" t="s">
        <v>38</v>
      </c>
      <c r="C548" t="s">
        <v>32</v>
      </c>
      <c r="D548" t="s">
        <v>17</v>
      </c>
      <c r="E548" t="str">
        <f t="shared" si="32"/>
        <v>OS</v>
      </c>
      <c r="F548" t="s">
        <v>55</v>
      </c>
      <c r="G548" t="s">
        <v>25</v>
      </c>
      <c r="H548" s="8">
        <v>80.819999999999993</v>
      </c>
      <c r="I548" s="3">
        <f t="shared" si="33"/>
        <v>0</v>
      </c>
      <c r="J548" s="4">
        <v>0</v>
      </c>
      <c r="K548" s="11">
        <f>Table1[[#This Row],[original_price]]* (Table1[[#This Row],[Markdown percentage updated]])</f>
        <v>0</v>
      </c>
      <c r="L5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48" s="6">
        <v>80.819999999999993</v>
      </c>
      <c r="N5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48" s="7">
        <v>45699</v>
      </c>
      <c r="P548">
        <v>42</v>
      </c>
      <c r="Q548" s="16" t="str">
        <f>IF(Table1[[#This Row],[stock_quantity]]=0,"NO STOCK",
IF(Table1[[#This Row],[stock_quantity]]&lt;=10,"LOW STOCK",
"IN STOCK"))</f>
        <v>IN STOCK</v>
      </c>
      <c r="R548" s="1">
        <f t="shared" si="34"/>
        <v>0</v>
      </c>
      <c r="T548" t="b">
        <v>0</v>
      </c>
      <c r="U548" t="str">
        <f t="shared" si="35"/>
        <v>No Return</v>
      </c>
    </row>
    <row r="549" spans="1:22" hidden="1" x14ac:dyDescent="0.3">
      <c r="A549" t="s">
        <v>602</v>
      </c>
      <c r="B549" t="s">
        <v>27</v>
      </c>
      <c r="C549" t="s">
        <v>22</v>
      </c>
      <c r="D549" t="s">
        <v>17</v>
      </c>
      <c r="E549" t="str">
        <f t="shared" si="32"/>
        <v>L</v>
      </c>
      <c r="G549" t="s">
        <v>56</v>
      </c>
      <c r="H549" s="8">
        <v>56.44</v>
      </c>
      <c r="I549" s="3">
        <f t="shared" si="33"/>
        <v>0</v>
      </c>
      <c r="J549" s="4">
        <v>0</v>
      </c>
      <c r="K549" s="11">
        <f>Table1[[#This Row],[original_price]]* (Table1[[#This Row],[Markdown percentage updated]])</f>
        <v>0</v>
      </c>
      <c r="L5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49" s="6">
        <v>56.44</v>
      </c>
      <c r="N5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49" s="7">
        <v>45734</v>
      </c>
      <c r="P549">
        <v>35</v>
      </c>
      <c r="Q549" s="16" t="str">
        <f>IF(Table1[[#This Row],[stock_quantity]]=0,"NO STOCK",
IF(Table1[[#This Row],[stock_quantity]]&lt;=10,"LOW STOCK",
"IN STOCK"))</f>
        <v>IN STOCK</v>
      </c>
      <c r="R549" s="1">
        <f t="shared" si="34"/>
        <v>4</v>
      </c>
      <c r="S549">
        <v>4</v>
      </c>
      <c r="T549" t="b">
        <v>0</v>
      </c>
      <c r="U549" t="str">
        <f t="shared" si="35"/>
        <v>No Return</v>
      </c>
    </row>
    <row r="550" spans="1:22" hidden="1" x14ac:dyDescent="0.3">
      <c r="A550" t="s">
        <v>603</v>
      </c>
      <c r="B550" t="s">
        <v>42</v>
      </c>
      <c r="C550" t="s">
        <v>16</v>
      </c>
      <c r="D550" t="s">
        <v>34</v>
      </c>
      <c r="E550" t="str">
        <f t="shared" si="32"/>
        <v>XXL</v>
      </c>
      <c r="F550" t="s">
        <v>58</v>
      </c>
      <c r="G550" t="s">
        <v>56</v>
      </c>
      <c r="H550" s="8">
        <v>121.3</v>
      </c>
      <c r="I550" s="3">
        <f t="shared" si="33"/>
        <v>0</v>
      </c>
      <c r="J550" s="4">
        <v>0</v>
      </c>
      <c r="K550" s="11">
        <f>Table1[[#This Row],[original_price]]* (Table1[[#This Row],[Markdown percentage updated]])</f>
        <v>0</v>
      </c>
      <c r="L5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50" s="6">
        <v>121.3</v>
      </c>
      <c r="N5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50" s="7">
        <v>45875</v>
      </c>
      <c r="P550">
        <v>33</v>
      </c>
      <c r="Q550" s="16" t="str">
        <f>IF(Table1[[#This Row],[stock_quantity]]=0,"NO STOCK",
IF(Table1[[#This Row],[stock_quantity]]&lt;=10,"LOW STOCK",
"IN STOCK"))</f>
        <v>IN STOCK</v>
      </c>
      <c r="R550" s="1">
        <f t="shared" si="34"/>
        <v>2.2999999999999998</v>
      </c>
      <c r="S550">
        <v>2.2999999999999998</v>
      </c>
      <c r="T550" t="b">
        <v>0</v>
      </c>
      <c r="U550" t="str">
        <f t="shared" si="35"/>
        <v>No Return</v>
      </c>
    </row>
    <row r="551" spans="1:22" hidden="1" x14ac:dyDescent="0.3">
      <c r="A551" t="s">
        <v>604</v>
      </c>
      <c r="B551" t="s">
        <v>38</v>
      </c>
      <c r="C551" t="s">
        <v>61</v>
      </c>
      <c r="D551" t="s">
        <v>34</v>
      </c>
      <c r="E551" t="str">
        <f t="shared" si="32"/>
        <v>L</v>
      </c>
      <c r="G551" t="s">
        <v>28</v>
      </c>
      <c r="H551" s="8">
        <v>101.98</v>
      </c>
      <c r="I551" s="3">
        <f t="shared" si="33"/>
        <v>0.28399999999999997</v>
      </c>
      <c r="J551" s="4">
        <v>28.4</v>
      </c>
      <c r="K551" s="11">
        <f>Table1[[#This Row],[original_price]]* (Table1[[#This Row],[Markdown percentage updated]])</f>
        <v>28.962319999999998</v>
      </c>
      <c r="L5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551" s="6">
        <v>73.02</v>
      </c>
      <c r="N5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51" s="7">
        <v>45875</v>
      </c>
      <c r="P551">
        <v>40</v>
      </c>
      <c r="Q551" s="16" t="str">
        <f>IF(Table1[[#This Row],[stock_quantity]]=0,"NO STOCK",
IF(Table1[[#This Row],[stock_quantity]]&lt;=10,"LOW STOCK",
"IN STOCK"))</f>
        <v>IN STOCK</v>
      </c>
      <c r="R551" s="1">
        <f t="shared" si="34"/>
        <v>4.5</v>
      </c>
      <c r="S551">
        <v>4.5</v>
      </c>
      <c r="T551" t="b">
        <v>0</v>
      </c>
      <c r="U551" t="str">
        <f t="shared" si="35"/>
        <v>No Return</v>
      </c>
    </row>
    <row r="552" spans="1:22" hidden="1" x14ac:dyDescent="0.3">
      <c r="A552" t="s">
        <v>605</v>
      </c>
      <c r="B552" t="s">
        <v>38</v>
      </c>
      <c r="C552" t="s">
        <v>32</v>
      </c>
      <c r="D552" t="s">
        <v>17</v>
      </c>
      <c r="E552" t="str">
        <f t="shared" si="32"/>
        <v>XL</v>
      </c>
      <c r="F552" t="s">
        <v>24</v>
      </c>
      <c r="G552" t="s">
        <v>19</v>
      </c>
      <c r="H552" s="8">
        <v>89.99</v>
      </c>
      <c r="I552" s="3">
        <f t="shared" si="33"/>
        <v>0</v>
      </c>
      <c r="J552" s="4">
        <v>0</v>
      </c>
      <c r="K552" s="11">
        <f>Table1[[#This Row],[original_price]]* (Table1[[#This Row],[Markdown percentage updated]])</f>
        <v>0</v>
      </c>
      <c r="L5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52" s="6">
        <v>89.99</v>
      </c>
      <c r="N5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52" s="7">
        <v>45716</v>
      </c>
      <c r="P552">
        <v>26</v>
      </c>
      <c r="Q552" s="16" t="str">
        <f>IF(Table1[[#This Row],[stock_quantity]]=0,"NO STOCK",
IF(Table1[[#This Row],[stock_quantity]]&lt;=10,"LOW STOCK",
"IN STOCK"))</f>
        <v>IN STOCK</v>
      </c>
      <c r="R552" s="1">
        <f t="shared" si="34"/>
        <v>4.0999999999999996</v>
      </c>
      <c r="S552">
        <v>4.0999999999999996</v>
      </c>
      <c r="T552" t="b">
        <v>0</v>
      </c>
      <c r="U552" t="str">
        <f t="shared" si="35"/>
        <v>No Return</v>
      </c>
    </row>
    <row r="553" spans="1:22" hidden="1" x14ac:dyDescent="0.3">
      <c r="A553" t="s">
        <v>606</v>
      </c>
      <c r="B553" t="s">
        <v>30</v>
      </c>
      <c r="C553" t="s">
        <v>75</v>
      </c>
      <c r="D553" t="s">
        <v>62</v>
      </c>
      <c r="E553" t="str">
        <f t="shared" si="32"/>
        <v>XS</v>
      </c>
      <c r="F553" t="s">
        <v>49</v>
      </c>
      <c r="G553" t="s">
        <v>46</v>
      </c>
      <c r="H553" s="8">
        <v>64.31</v>
      </c>
      <c r="I553" s="3">
        <f t="shared" si="33"/>
        <v>0.34499999999999997</v>
      </c>
      <c r="J553" s="4">
        <v>34.5</v>
      </c>
      <c r="K553" s="11">
        <f>Table1[[#This Row],[original_price]]* (Table1[[#This Row],[Markdown percentage updated]])</f>
        <v>22.18695</v>
      </c>
      <c r="L5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53" s="6">
        <v>42.12</v>
      </c>
      <c r="N5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53" s="7">
        <v>45875</v>
      </c>
      <c r="P553">
        <v>48</v>
      </c>
      <c r="Q553" s="16" t="str">
        <f>IF(Table1[[#This Row],[stock_quantity]]=0,"NO STOCK",
IF(Table1[[#This Row],[stock_quantity]]&lt;=10,"LOW STOCK",
"IN STOCK"))</f>
        <v>IN STOCK</v>
      </c>
      <c r="R553" s="1">
        <f t="shared" si="34"/>
        <v>4.5</v>
      </c>
      <c r="S553">
        <v>4.5</v>
      </c>
      <c r="T553" t="b">
        <v>0</v>
      </c>
      <c r="U553" t="str">
        <f t="shared" si="35"/>
        <v>No Return</v>
      </c>
    </row>
    <row r="554" spans="1:22" hidden="1" x14ac:dyDescent="0.3">
      <c r="A554" t="s">
        <v>607</v>
      </c>
      <c r="B554" t="s">
        <v>42</v>
      </c>
      <c r="C554" t="s">
        <v>16</v>
      </c>
      <c r="D554" t="s">
        <v>17</v>
      </c>
      <c r="E554" t="str">
        <f t="shared" si="32"/>
        <v>XS</v>
      </c>
      <c r="F554" t="s">
        <v>24</v>
      </c>
      <c r="G554" t="s">
        <v>56</v>
      </c>
      <c r="H554" s="8">
        <v>168.92</v>
      </c>
      <c r="I554" s="3">
        <f t="shared" si="33"/>
        <v>0</v>
      </c>
      <c r="J554" s="4">
        <v>0</v>
      </c>
      <c r="K554" s="11">
        <f>Table1[[#This Row],[original_price]]* (Table1[[#This Row],[Markdown percentage updated]])</f>
        <v>0</v>
      </c>
      <c r="L5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54" s="6">
        <v>168.92</v>
      </c>
      <c r="N5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54" s="7">
        <v>45852</v>
      </c>
      <c r="P554">
        <v>11</v>
      </c>
      <c r="Q554" s="16" t="str">
        <f>IF(Table1[[#This Row],[stock_quantity]]=0,"NO STOCK",
IF(Table1[[#This Row],[stock_quantity]]&lt;=10,"LOW STOCK",
"IN STOCK"))</f>
        <v>IN STOCK</v>
      </c>
      <c r="R554" s="1">
        <f t="shared" si="34"/>
        <v>4.4000000000000004</v>
      </c>
      <c r="S554">
        <v>4.4000000000000004</v>
      </c>
      <c r="T554" t="b">
        <v>0</v>
      </c>
      <c r="U554" t="str">
        <f t="shared" si="35"/>
        <v>No Return</v>
      </c>
    </row>
    <row r="555" spans="1:22" hidden="1" x14ac:dyDescent="0.3">
      <c r="A555" t="s">
        <v>608</v>
      </c>
      <c r="B555" t="s">
        <v>38</v>
      </c>
      <c r="C555" t="s">
        <v>61</v>
      </c>
      <c r="D555" t="s">
        <v>62</v>
      </c>
      <c r="E555" t="str">
        <f t="shared" si="32"/>
        <v>OS</v>
      </c>
      <c r="F555" t="s">
        <v>18</v>
      </c>
      <c r="G555" t="s">
        <v>64</v>
      </c>
      <c r="H555" s="8">
        <v>86.46</v>
      </c>
      <c r="I555" s="3">
        <f t="shared" si="33"/>
        <v>0.495</v>
      </c>
      <c r="J555" s="4">
        <v>49.5</v>
      </c>
      <c r="K555" s="11">
        <f>Table1[[#This Row],[original_price]]* (Table1[[#This Row],[Markdown percentage updated]])</f>
        <v>42.797699999999999</v>
      </c>
      <c r="L5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55" s="6">
        <v>43.66</v>
      </c>
      <c r="N5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55" s="7">
        <v>45875</v>
      </c>
      <c r="P555">
        <v>19</v>
      </c>
      <c r="Q555" s="16" t="str">
        <f>IF(Table1[[#This Row],[stock_quantity]]=0,"NO STOCK",
IF(Table1[[#This Row],[stock_quantity]]&lt;=10,"LOW STOCK",
"IN STOCK"))</f>
        <v>IN STOCK</v>
      </c>
      <c r="R555" s="1">
        <f t="shared" si="34"/>
        <v>4.3</v>
      </c>
      <c r="S555">
        <v>4.3</v>
      </c>
      <c r="T555" t="b">
        <v>0</v>
      </c>
      <c r="U555" t="str">
        <f t="shared" si="35"/>
        <v>No Return</v>
      </c>
    </row>
    <row r="556" spans="1:22" hidden="1" x14ac:dyDescent="0.3">
      <c r="A556" t="s">
        <v>609</v>
      </c>
      <c r="B556" t="s">
        <v>21</v>
      </c>
      <c r="C556" t="s">
        <v>75</v>
      </c>
      <c r="D556" t="s">
        <v>23</v>
      </c>
      <c r="E556" t="str">
        <f t="shared" si="32"/>
        <v>M</v>
      </c>
      <c r="F556" t="s">
        <v>55</v>
      </c>
      <c r="G556" t="s">
        <v>19</v>
      </c>
      <c r="H556" s="8">
        <v>36.840000000000003</v>
      </c>
      <c r="I556" s="3">
        <f t="shared" si="33"/>
        <v>0.18899999999999997</v>
      </c>
      <c r="J556" s="4">
        <v>18.899999999999999</v>
      </c>
      <c r="K556" s="11">
        <f>Table1[[#This Row],[original_price]]* (Table1[[#This Row],[Markdown percentage updated]])</f>
        <v>6.9627599999999994</v>
      </c>
      <c r="L5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556" s="6">
        <v>29.88</v>
      </c>
      <c r="N5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556" s="7">
        <v>45875</v>
      </c>
      <c r="P556">
        <v>39</v>
      </c>
      <c r="Q556" s="16" t="str">
        <f>IF(Table1[[#This Row],[stock_quantity]]=0,"NO STOCK",
IF(Table1[[#This Row],[stock_quantity]]&lt;=10,"LOW STOCK",
"IN STOCK"))</f>
        <v>IN STOCK</v>
      </c>
      <c r="R556" s="1">
        <f t="shared" si="34"/>
        <v>1.2</v>
      </c>
      <c r="S556">
        <v>1.2</v>
      </c>
      <c r="T556" t="b">
        <v>0</v>
      </c>
      <c r="U556" t="str">
        <f t="shared" si="35"/>
        <v>No Return</v>
      </c>
    </row>
    <row r="557" spans="1:22" hidden="1" x14ac:dyDescent="0.3">
      <c r="A557" t="s">
        <v>610</v>
      </c>
      <c r="B557" t="s">
        <v>21</v>
      </c>
      <c r="C557" t="s">
        <v>53</v>
      </c>
      <c r="D557" t="s">
        <v>17</v>
      </c>
      <c r="E557" t="str">
        <f t="shared" si="32"/>
        <v>S</v>
      </c>
      <c r="F557" t="s">
        <v>55</v>
      </c>
      <c r="G557" t="s">
        <v>25</v>
      </c>
      <c r="H557" s="8">
        <v>38.5</v>
      </c>
      <c r="I557" s="3">
        <f t="shared" si="33"/>
        <v>0</v>
      </c>
      <c r="J557" s="4">
        <v>0</v>
      </c>
      <c r="K557" s="11">
        <f>Table1[[#This Row],[original_price]]* (Table1[[#This Row],[Markdown percentage updated]])</f>
        <v>0</v>
      </c>
      <c r="L5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57" s="6">
        <v>38.5</v>
      </c>
      <c r="N5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57" s="7">
        <v>45722</v>
      </c>
      <c r="P557">
        <v>2</v>
      </c>
      <c r="Q557" s="17" t="str">
        <f>IF(Table1[[#This Row],[stock_quantity]]=0,"NO STOCK",
IF(Table1[[#This Row],[stock_quantity]]&lt;=10,"LOW STOCK",
"IN STOCK"))</f>
        <v>LOW STOCK</v>
      </c>
      <c r="R557" s="1">
        <f t="shared" si="34"/>
        <v>3.2</v>
      </c>
      <c r="S557">
        <v>3.2</v>
      </c>
      <c r="T557" t="b">
        <v>0</v>
      </c>
      <c r="U557" t="str">
        <f t="shared" si="35"/>
        <v>No Return</v>
      </c>
    </row>
    <row r="558" spans="1:22" hidden="1" x14ac:dyDescent="0.3">
      <c r="A558" t="s">
        <v>611</v>
      </c>
      <c r="B558" t="s">
        <v>38</v>
      </c>
      <c r="C558" t="s">
        <v>43</v>
      </c>
      <c r="D558" t="s">
        <v>23</v>
      </c>
      <c r="E558" t="str">
        <f t="shared" si="32"/>
        <v>L</v>
      </c>
      <c r="G558" t="s">
        <v>56</v>
      </c>
      <c r="H558" s="8">
        <v>68.02</v>
      </c>
      <c r="I558" s="3">
        <f t="shared" si="33"/>
        <v>0.377</v>
      </c>
      <c r="J558" s="4">
        <v>37.700000000000003</v>
      </c>
      <c r="K558" s="11">
        <f>Table1[[#This Row],[original_price]]* (Table1[[#This Row],[Markdown percentage updated]])</f>
        <v>25.643539999999998</v>
      </c>
      <c r="L5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58" s="6">
        <v>42.38</v>
      </c>
      <c r="N5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58" s="7">
        <v>45875</v>
      </c>
      <c r="P558">
        <v>40</v>
      </c>
      <c r="Q558" s="16" t="str">
        <f>IF(Table1[[#This Row],[stock_quantity]]=0,"NO STOCK",
IF(Table1[[#This Row],[stock_quantity]]&lt;=10,"LOW STOCK",
"IN STOCK"))</f>
        <v>IN STOCK</v>
      </c>
      <c r="R558" s="1">
        <f t="shared" si="34"/>
        <v>2.1</v>
      </c>
      <c r="S558">
        <v>2.1</v>
      </c>
      <c r="T558" t="b">
        <v>0</v>
      </c>
      <c r="U558" t="str">
        <f t="shared" si="35"/>
        <v>No Return</v>
      </c>
    </row>
    <row r="559" spans="1:22" x14ac:dyDescent="0.3">
      <c r="A559" t="s">
        <v>612</v>
      </c>
      <c r="B559" t="s">
        <v>42</v>
      </c>
      <c r="C559" t="s">
        <v>22</v>
      </c>
      <c r="D559" t="s">
        <v>34</v>
      </c>
      <c r="E559" t="str">
        <f t="shared" si="32"/>
        <v>M</v>
      </c>
      <c r="F559" t="s">
        <v>58</v>
      </c>
      <c r="G559" t="s">
        <v>70</v>
      </c>
      <c r="H559" s="8">
        <v>117.23</v>
      </c>
      <c r="I559" s="3">
        <f t="shared" si="33"/>
        <v>0</v>
      </c>
      <c r="J559" s="4">
        <v>0</v>
      </c>
      <c r="K559" s="11">
        <f>Table1[[#This Row],[original_price]]* (Table1[[#This Row],[Markdown percentage updated]])</f>
        <v>0</v>
      </c>
      <c r="L5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59" s="6">
        <v>117.23</v>
      </c>
      <c r="N5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59" s="7">
        <v>45875</v>
      </c>
      <c r="P559">
        <v>30</v>
      </c>
      <c r="Q559" s="16" t="str">
        <f>IF(Table1[[#This Row],[stock_quantity]]=0,"NO STOCK",
IF(Table1[[#This Row],[stock_quantity]]&lt;=10,"LOW STOCK",
"IN STOCK"))</f>
        <v>IN STOCK</v>
      </c>
      <c r="R559" s="1">
        <f t="shared" si="34"/>
        <v>0</v>
      </c>
      <c r="T559" t="b">
        <v>1</v>
      </c>
      <c r="U559" s="13" t="str">
        <f t="shared" si="35"/>
        <v>Changed Mind</v>
      </c>
      <c r="V559" t="s">
        <v>115</v>
      </c>
    </row>
    <row r="560" spans="1:22" x14ac:dyDescent="0.3">
      <c r="A560" t="s">
        <v>613</v>
      </c>
      <c r="B560" t="s">
        <v>21</v>
      </c>
      <c r="C560" t="s">
        <v>53</v>
      </c>
      <c r="D560" t="s">
        <v>17</v>
      </c>
      <c r="E560" t="str">
        <f t="shared" si="32"/>
        <v>L</v>
      </c>
      <c r="F560" t="s">
        <v>39</v>
      </c>
      <c r="G560" t="s">
        <v>64</v>
      </c>
      <c r="H560" s="8">
        <v>79.33</v>
      </c>
      <c r="I560" s="3">
        <f t="shared" si="33"/>
        <v>0</v>
      </c>
      <c r="J560" s="4">
        <v>0</v>
      </c>
      <c r="K560" s="11">
        <f>Table1[[#This Row],[original_price]]* (Table1[[#This Row],[Markdown percentage updated]])</f>
        <v>0</v>
      </c>
      <c r="L5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60" s="6">
        <v>79.33</v>
      </c>
      <c r="N5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60" s="7">
        <v>45687</v>
      </c>
      <c r="P560">
        <v>10</v>
      </c>
      <c r="Q560" s="17" t="str">
        <f>IF(Table1[[#This Row],[stock_quantity]]=0,"NO STOCK",
IF(Table1[[#This Row],[stock_quantity]]&lt;=10,"LOW STOCK",
"IN STOCK"))</f>
        <v>LOW STOCK</v>
      </c>
      <c r="R560" s="1">
        <f t="shared" si="34"/>
        <v>3.4</v>
      </c>
      <c r="S560">
        <v>3.4</v>
      </c>
      <c r="T560" t="b">
        <v>1</v>
      </c>
      <c r="U560" s="13" t="str">
        <f t="shared" si="35"/>
        <v>Changed Mind</v>
      </c>
      <c r="V560" t="s">
        <v>115</v>
      </c>
    </row>
    <row r="561" spans="1:22" hidden="1" x14ac:dyDescent="0.3">
      <c r="A561" t="s">
        <v>614</v>
      </c>
      <c r="B561" t="s">
        <v>38</v>
      </c>
      <c r="C561" t="s">
        <v>43</v>
      </c>
      <c r="D561" t="s">
        <v>62</v>
      </c>
      <c r="E561" t="str">
        <f t="shared" si="32"/>
        <v>L</v>
      </c>
      <c r="F561" t="s">
        <v>24</v>
      </c>
      <c r="G561" t="s">
        <v>46</v>
      </c>
      <c r="H561" s="8">
        <v>75.819999999999993</v>
      </c>
      <c r="I561" s="3">
        <f t="shared" si="33"/>
        <v>0.42700000000000005</v>
      </c>
      <c r="J561" s="4">
        <v>42.7</v>
      </c>
      <c r="K561" s="11">
        <f>Table1[[#This Row],[original_price]]* (Table1[[#This Row],[Markdown percentage updated]])</f>
        <v>32.375140000000002</v>
      </c>
      <c r="L5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61" s="6">
        <v>43.44</v>
      </c>
      <c r="N5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61" s="7">
        <v>45875</v>
      </c>
      <c r="P561">
        <v>11</v>
      </c>
      <c r="Q561" s="16" t="str">
        <f>IF(Table1[[#This Row],[stock_quantity]]=0,"NO STOCK",
IF(Table1[[#This Row],[stock_quantity]]&lt;=10,"LOW STOCK",
"IN STOCK"))</f>
        <v>IN STOCK</v>
      </c>
      <c r="R561" s="1">
        <f t="shared" si="34"/>
        <v>2</v>
      </c>
      <c r="S561">
        <v>2</v>
      </c>
      <c r="T561" t="b">
        <v>0</v>
      </c>
      <c r="U561" t="str">
        <f t="shared" si="35"/>
        <v>No Return</v>
      </c>
    </row>
    <row r="562" spans="1:22" hidden="1" x14ac:dyDescent="0.3">
      <c r="A562" t="s">
        <v>615</v>
      </c>
      <c r="B562" t="s">
        <v>42</v>
      </c>
      <c r="C562" t="s">
        <v>53</v>
      </c>
      <c r="D562" t="s">
        <v>17</v>
      </c>
      <c r="E562" t="str">
        <f t="shared" si="32"/>
        <v>XS</v>
      </c>
      <c r="F562" t="s">
        <v>58</v>
      </c>
      <c r="G562" t="s">
        <v>35</v>
      </c>
      <c r="H562" s="8">
        <v>141.41999999999999</v>
      </c>
      <c r="I562" s="3">
        <f t="shared" si="33"/>
        <v>0</v>
      </c>
      <c r="J562" s="4">
        <v>0</v>
      </c>
      <c r="K562" s="11">
        <f>Table1[[#This Row],[original_price]]* (Table1[[#This Row],[Markdown percentage updated]])</f>
        <v>0</v>
      </c>
      <c r="L5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62" s="6">
        <v>141.41999999999999</v>
      </c>
      <c r="N5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62" s="7">
        <v>45741</v>
      </c>
      <c r="P562">
        <v>10</v>
      </c>
      <c r="Q562" s="17" t="str">
        <f>IF(Table1[[#This Row],[stock_quantity]]=0,"NO STOCK",
IF(Table1[[#This Row],[stock_quantity]]&lt;=10,"LOW STOCK",
"IN STOCK"))</f>
        <v>LOW STOCK</v>
      </c>
      <c r="R562" s="1">
        <f t="shared" si="34"/>
        <v>2.5</v>
      </c>
      <c r="S562">
        <v>2.5</v>
      </c>
      <c r="T562" t="b">
        <v>0</v>
      </c>
      <c r="U562" t="str">
        <f t="shared" si="35"/>
        <v>No Return</v>
      </c>
    </row>
    <row r="563" spans="1:22" hidden="1" x14ac:dyDescent="0.3">
      <c r="A563" t="s">
        <v>616</v>
      </c>
      <c r="B563" t="s">
        <v>30</v>
      </c>
      <c r="C563" t="s">
        <v>22</v>
      </c>
      <c r="D563" t="s">
        <v>17</v>
      </c>
      <c r="E563" t="str">
        <f t="shared" si="32"/>
        <v>M</v>
      </c>
      <c r="F563" t="s">
        <v>24</v>
      </c>
      <c r="G563" t="s">
        <v>28</v>
      </c>
      <c r="H563" s="8">
        <v>124.2</v>
      </c>
      <c r="I563" s="3">
        <f t="shared" si="33"/>
        <v>0</v>
      </c>
      <c r="J563" s="4">
        <v>0</v>
      </c>
      <c r="K563" s="11">
        <f>Table1[[#This Row],[original_price]]* (Table1[[#This Row],[Markdown percentage updated]])</f>
        <v>0</v>
      </c>
      <c r="L5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63" s="6">
        <v>124.2</v>
      </c>
      <c r="N5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63" s="7">
        <v>45532</v>
      </c>
      <c r="P563">
        <v>24</v>
      </c>
      <c r="Q563" s="16" t="str">
        <f>IF(Table1[[#This Row],[stock_quantity]]=0,"NO STOCK",
IF(Table1[[#This Row],[stock_quantity]]&lt;=10,"LOW STOCK",
"IN STOCK"))</f>
        <v>IN STOCK</v>
      </c>
      <c r="R563" s="1">
        <f t="shared" si="34"/>
        <v>1</v>
      </c>
      <c r="S563">
        <v>1</v>
      </c>
      <c r="T563" t="b">
        <v>0</v>
      </c>
      <c r="U563" t="str">
        <f t="shared" si="35"/>
        <v>No Return</v>
      </c>
    </row>
    <row r="564" spans="1:22" hidden="1" x14ac:dyDescent="0.3">
      <c r="A564" t="s">
        <v>617</v>
      </c>
      <c r="B564" t="s">
        <v>38</v>
      </c>
      <c r="C564" t="s">
        <v>75</v>
      </c>
      <c r="D564" t="s">
        <v>23</v>
      </c>
      <c r="E564" t="str">
        <f t="shared" si="32"/>
        <v>XL</v>
      </c>
      <c r="F564" t="s">
        <v>24</v>
      </c>
      <c r="G564" t="s">
        <v>64</v>
      </c>
      <c r="H564" s="8">
        <v>48.42</v>
      </c>
      <c r="I564" s="3">
        <f t="shared" si="33"/>
        <v>0</v>
      </c>
      <c r="J564" s="4">
        <v>0</v>
      </c>
      <c r="K564" s="11">
        <f>Table1[[#This Row],[original_price]]* (Table1[[#This Row],[Markdown percentage updated]])</f>
        <v>0</v>
      </c>
      <c r="L5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64" s="6">
        <v>48.42</v>
      </c>
      <c r="N5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64" s="7">
        <v>45875</v>
      </c>
      <c r="P564">
        <v>6</v>
      </c>
      <c r="Q564" s="17" t="str">
        <f>IF(Table1[[#This Row],[stock_quantity]]=0,"NO STOCK",
IF(Table1[[#This Row],[stock_quantity]]&lt;=10,"LOW STOCK",
"IN STOCK"))</f>
        <v>LOW STOCK</v>
      </c>
      <c r="R564" s="1">
        <f t="shared" si="34"/>
        <v>4.3</v>
      </c>
      <c r="S564">
        <v>4.3</v>
      </c>
      <c r="T564" t="b">
        <v>0</v>
      </c>
      <c r="U564" t="str">
        <f t="shared" si="35"/>
        <v>No Return</v>
      </c>
    </row>
    <row r="565" spans="1:22" hidden="1" x14ac:dyDescent="0.3">
      <c r="A565" t="s">
        <v>618</v>
      </c>
      <c r="B565" t="s">
        <v>42</v>
      </c>
      <c r="C565" t="s">
        <v>48</v>
      </c>
      <c r="D565" t="s">
        <v>34</v>
      </c>
      <c r="E565" t="str">
        <f t="shared" si="32"/>
        <v>S</v>
      </c>
      <c r="F565" t="s">
        <v>55</v>
      </c>
      <c r="G565" t="s">
        <v>40</v>
      </c>
      <c r="H565" s="8">
        <v>119.4</v>
      </c>
      <c r="I565" s="3">
        <f t="shared" si="33"/>
        <v>0</v>
      </c>
      <c r="J565" s="4">
        <v>0</v>
      </c>
      <c r="K565" s="11">
        <f>Table1[[#This Row],[original_price]]* (Table1[[#This Row],[Markdown percentage updated]])</f>
        <v>0</v>
      </c>
      <c r="L5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65" s="6">
        <v>119.4</v>
      </c>
      <c r="N5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65" s="7">
        <v>45875</v>
      </c>
      <c r="P565">
        <v>45</v>
      </c>
      <c r="Q565" s="16" t="str">
        <f>IF(Table1[[#This Row],[stock_quantity]]=0,"NO STOCK",
IF(Table1[[#This Row],[stock_quantity]]&lt;=10,"LOW STOCK",
"IN STOCK"))</f>
        <v>IN STOCK</v>
      </c>
      <c r="R565" s="1">
        <f t="shared" si="34"/>
        <v>4.2</v>
      </c>
      <c r="S565">
        <v>4.2</v>
      </c>
      <c r="T565" t="b">
        <v>0</v>
      </c>
      <c r="U565" t="str">
        <f t="shared" si="35"/>
        <v>No Return</v>
      </c>
    </row>
    <row r="566" spans="1:22" hidden="1" x14ac:dyDescent="0.3">
      <c r="A566" t="s">
        <v>619</v>
      </c>
      <c r="B566" t="s">
        <v>30</v>
      </c>
      <c r="C566" t="s">
        <v>43</v>
      </c>
      <c r="D566" t="s">
        <v>62</v>
      </c>
      <c r="E566" t="str">
        <f t="shared" si="32"/>
        <v>OS</v>
      </c>
      <c r="F566" t="s">
        <v>58</v>
      </c>
      <c r="G566" t="s">
        <v>70</v>
      </c>
      <c r="H566" s="8">
        <v>186.07</v>
      </c>
      <c r="I566" s="3">
        <f t="shared" si="33"/>
        <v>0</v>
      </c>
      <c r="J566" s="4">
        <v>0</v>
      </c>
      <c r="K566" s="11">
        <f>Table1[[#This Row],[original_price]]* (Table1[[#This Row],[Markdown percentage updated]])</f>
        <v>0</v>
      </c>
      <c r="L5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66" s="6">
        <v>186.07</v>
      </c>
      <c r="N5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66" s="7">
        <v>45875</v>
      </c>
      <c r="P566">
        <v>41</v>
      </c>
      <c r="Q566" s="16" t="str">
        <f>IF(Table1[[#This Row],[stock_quantity]]=0,"NO STOCK",
IF(Table1[[#This Row],[stock_quantity]]&lt;=10,"LOW STOCK",
"IN STOCK"))</f>
        <v>IN STOCK</v>
      </c>
      <c r="R566" s="1">
        <f t="shared" si="34"/>
        <v>2.6</v>
      </c>
      <c r="S566">
        <v>2.6</v>
      </c>
      <c r="T566" t="b">
        <v>0</v>
      </c>
      <c r="U566" t="str">
        <f t="shared" si="35"/>
        <v>No Return</v>
      </c>
    </row>
    <row r="567" spans="1:22" hidden="1" x14ac:dyDescent="0.3">
      <c r="A567" t="s">
        <v>620</v>
      </c>
      <c r="B567" t="s">
        <v>30</v>
      </c>
      <c r="C567" t="s">
        <v>43</v>
      </c>
      <c r="D567" t="s">
        <v>62</v>
      </c>
      <c r="E567" t="str">
        <f t="shared" si="32"/>
        <v>S</v>
      </c>
      <c r="F567" t="s">
        <v>18</v>
      </c>
      <c r="G567" t="s">
        <v>70</v>
      </c>
      <c r="H567" s="8">
        <v>109.46</v>
      </c>
      <c r="I567" s="3">
        <f t="shared" si="33"/>
        <v>0</v>
      </c>
      <c r="J567" s="4">
        <v>0</v>
      </c>
      <c r="K567" s="11">
        <f>Table1[[#This Row],[original_price]]* (Table1[[#This Row],[Markdown percentage updated]])</f>
        <v>0</v>
      </c>
      <c r="L5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67" s="6">
        <v>109.46</v>
      </c>
      <c r="N5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67" s="7">
        <v>45875</v>
      </c>
      <c r="P567">
        <v>38</v>
      </c>
      <c r="Q567" s="16" t="str">
        <f>IF(Table1[[#This Row],[stock_quantity]]=0,"NO STOCK",
IF(Table1[[#This Row],[stock_quantity]]&lt;=10,"LOW STOCK",
"IN STOCK"))</f>
        <v>IN STOCK</v>
      </c>
      <c r="R567" s="1">
        <f t="shared" si="34"/>
        <v>4.0999999999999996</v>
      </c>
      <c r="S567">
        <v>4.0999999999999996</v>
      </c>
      <c r="T567" t="b">
        <v>0</v>
      </c>
      <c r="U567" t="str">
        <f t="shared" si="35"/>
        <v>No Return</v>
      </c>
    </row>
    <row r="568" spans="1:22" hidden="1" x14ac:dyDescent="0.3">
      <c r="A568" t="s">
        <v>621</v>
      </c>
      <c r="B568" t="s">
        <v>42</v>
      </c>
      <c r="C568" t="s">
        <v>61</v>
      </c>
      <c r="D568" t="s">
        <v>23</v>
      </c>
      <c r="E568" t="str">
        <f t="shared" si="32"/>
        <v>OS</v>
      </c>
      <c r="F568" t="s">
        <v>39</v>
      </c>
      <c r="G568" t="s">
        <v>40</v>
      </c>
      <c r="H568" s="8">
        <v>116.18</v>
      </c>
      <c r="I568" s="3">
        <f t="shared" si="33"/>
        <v>0.42700000000000005</v>
      </c>
      <c r="J568" s="4">
        <v>42.7</v>
      </c>
      <c r="K568" s="11">
        <f>Table1[[#This Row],[original_price]]* (Table1[[#This Row],[Markdown percentage updated]])</f>
        <v>49.608860000000007</v>
      </c>
      <c r="L5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68" s="6">
        <v>66.569999999999993</v>
      </c>
      <c r="N5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68" s="7">
        <v>45875</v>
      </c>
      <c r="P568">
        <v>3</v>
      </c>
      <c r="Q568" s="17" t="str">
        <f>IF(Table1[[#This Row],[stock_quantity]]=0,"NO STOCK",
IF(Table1[[#This Row],[stock_quantity]]&lt;=10,"LOW STOCK",
"IN STOCK"))</f>
        <v>LOW STOCK</v>
      </c>
      <c r="R568" s="1">
        <f t="shared" si="34"/>
        <v>3.5</v>
      </c>
      <c r="S568">
        <v>3.5</v>
      </c>
      <c r="T568" t="b">
        <v>0</v>
      </c>
      <c r="U568" t="str">
        <f t="shared" si="35"/>
        <v>No Return</v>
      </c>
    </row>
    <row r="569" spans="1:22" hidden="1" x14ac:dyDescent="0.3">
      <c r="A569" t="s">
        <v>622</v>
      </c>
      <c r="B569" t="s">
        <v>27</v>
      </c>
      <c r="C569" t="s">
        <v>16</v>
      </c>
      <c r="D569" t="s">
        <v>23</v>
      </c>
      <c r="E569" t="str">
        <f t="shared" si="32"/>
        <v>M</v>
      </c>
      <c r="G569" t="s">
        <v>46</v>
      </c>
      <c r="H569" s="8">
        <v>41.29</v>
      </c>
      <c r="I569" s="3">
        <f t="shared" si="33"/>
        <v>0.26300000000000001</v>
      </c>
      <c r="J569" s="4">
        <v>26.3</v>
      </c>
      <c r="K569" s="11">
        <f>Table1[[#This Row],[original_price]]* (Table1[[#This Row],[Markdown percentage updated]])</f>
        <v>10.85927</v>
      </c>
      <c r="L5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569" s="6">
        <v>30.43</v>
      </c>
      <c r="N5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569" s="7">
        <v>45875</v>
      </c>
      <c r="P569">
        <v>5</v>
      </c>
      <c r="Q569" s="17" t="str">
        <f>IF(Table1[[#This Row],[stock_quantity]]=0,"NO STOCK",
IF(Table1[[#This Row],[stock_quantity]]&lt;=10,"LOW STOCK",
"IN STOCK"))</f>
        <v>LOW STOCK</v>
      </c>
      <c r="R569" s="1">
        <f t="shared" si="34"/>
        <v>4.7</v>
      </c>
      <c r="S569">
        <v>4.7</v>
      </c>
      <c r="T569" t="b">
        <v>0</v>
      </c>
      <c r="U569" t="str">
        <f t="shared" si="35"/>
        <v>No Return</v>
      </c>
    </row>
    <row r="570" spans="1:22" hidden="1" x14ac:dyDescent="0.3">
      <c r="A570" t="s">
        <v>623</v>
      </c>
      <c r="B570" t="s">
        <v>21</v>
      </c>
      <c r="C570" t="s">
        <v>22</v>
      </c>
      <c r="D570" t="s">
        <v>23</v>
      </c>
      <c r="E570" t="str">
        <f t="shared" si="32"/>
        <v>XS</v>
      </c>
      <c r="F570" t="s">
        <v>39</v>
      </c>
      <c r="G570" t="s">
        <v>46</v>
      </c>
      <c r="H570" s="8">
        <v>94.68</v>
      </c>
      <c r="I570" s="3">
        <f t="shared" si="33"/>
        <v>0.45</v>
      </c>
      <c r="J570" s="4">
        <v>45</v>
      </c>
      <c r="K570" s="11">
        <f>Table1[[#This Row],[original_price]]* (Table1[[#This Row],[Markdown percentage updated]])</f>
        <v>42.606000000000002</v>
      </c>
      <c r="L5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70" s="6">
        <v>52.07</v>
      </c>
      <c r="N5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70" s="7">
        <v>45875</v>
      </c>
      <c r="P570">
        <v>47</v>
      </c>
      <c r="Q570" s="16" t="str">
        <f>IF(Table1[[#This Row],[stock_quantity]]=0,"NO STOCK",
IF(Table1[[#This Row],[stock_quantity]]&lt;=10,"LOW STOCK",
"IN STOCK"))</f>
        <v>IN STOCK</v>
      </c>
      <c r="R570" s="1">
        <f t="shared" si="34"/>
        <v>2.6</v>
      </c>
      <c r="S570">
        <v>2.6</v>
      </c>
      <c r="T570" t="b">
        <v>0</v>
      </c>
      <c r="U570" t="str">
        <f t="shared" si="35"/>
        <v>No Return</v>
      </c>
    </row>
    <row r="571" spans="1:22" hidden="1" x14ac:dyDescent="0.3">
      <c r="A571" t="s">
        <v>624</v>
      </c>
      <c r="B571" t="s">
        <v>27</v>
      </c>
      <c r="C571" t="s">
        <v>16</v>
      </c>
      <c r="D571" t="s">
        <v>17</v>
      </c>
      <c r="E571" t="str">
        <f t="shared" si="32"/>
        <v>XL</v>
      </c>
      <c r="G571" t="s">
        <v>35</v>
      </c>
      <c r="H571" s="8">
        <v>48.55</v>
      </c>
      <c r="I571" s="3">
        <f t="shared" si="33"/>
        <v>0.32700000000000001</v>
      </c>
      <c r="J571" s="4">
        <v>32.700000000000003</v>
      </c>
      <c r="K571" s="11">
        <f>Table1[[#This Row],[original_price]]* (Table1[[#This Row],[Markdown percentage updated]])</f>
        <v>15.87585</v>
      </c>
      <c r="L5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71" s="6">
        <v>32.67</v>
      </c>
      <c r="N5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571" s="7">
        <v>45566</v>
      </c>
      <c r="P571">
        <v>39</v>
      </c>
      <c r="Q571" s="16" t="str">
        <f>IF(Table1[[#This Row],[stock_quantity]]=0,"NO STOCK",
IF(Table1[[#This Row],[stock_quantity]]&lt;=10,"LOW STOCK",
"IN STOCK"))</f>
        <v>IN STOCK</v>
      </c>
      <c r="R571" s="1">
        <f t="shared" si="34"/>
        <v>2.8</v>
      </c>
      <c r="S571">
        <v>2.8</v>
      </c>
      <c r="T571" t="b">
        <v>0</v>
      </c>
      <c r="U571" t="str">
        <f t="shared" si="35"/>
        <v>No Return</v>
      </c>
    </row>
    <row r="572" spans="1:22" hidden="1" x14ac:dyDescent="0.3">
      <c r="A572" t="s">
        <v>625</v>
      </c>
      <c r="B572" t="s">
        <v>21</v>
      </c>
      <c r="C572" t="s">
        <v>61</v>
      </c>
      <c r="D572" t="s">
        <v>62</v>
      </c>
      <c r="E572" t="str">
        <f t="shared" si="32"/>
        <v>S</v>
      </c>
      <c r="F572" t="s">
        <v>58</v>
      </c>
      <c r="G572" t="s">
        <v>66</v>
      </c>
      <c r="H572" s="8">
        <v>75.22</v>
      </c>
      <c r="I572" s="3">
        <f t="shared" si="33"/>
        <v>0</v>
      </c>
      <c r="J572" s="4">
        <v>0</v>
      </c>
      <c r="K572" s="11">
        <f>Table1[[#This Row],[original_price]]* (Table1[[#This Row],[Markdown percentage updated]])</f>
        <v>0</v>
      </c>
      <c r="L5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72" s="6">
        <v>75.22</v>
      </c>
      <c r="N5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72" s="7">
        <v>45875</v>
      </c>
      <c r="P572">
        <v>22</v>
      </c>
      <c r="Q572" s="16" t="str">
        <f>IF(Table1[[#This Row],[stock_quantity]]=0,"NO STOCK",
IF(Table1[[#This Row],[stock_quantity]]&lt;=10,"LOW STOCK",
"IN STOCK"))</f>
        <v>IN STOCK</v>
      </c>
      <c r="R572" s="1">
        <f t="shared" si="34"/>
        <v>2.1</v>
      </c>
      <c r="S572">
        <v>2.1</v>
      </c>
      <c r="T572" t="b">
        <v>1</v>
      </c>
      <c r="U572" s="13" t="str">
        <f t="shared" si="35"/>
        <v>Size Issue</v>
      </c>
      <c r="V572" t="s">
        <v>73</v>
      </c>
    </row>
    <row r="573" spans="1:22" hidden="1" x14ac:dyDescent="0.3">
      <c r="A573" t="s">
        <v>626</v>
      </c>
      <c r="B573" t="s">
        <v>30</v>
      </c>
      <c r="C573" t="s">
        <v>48</v>
      </c>
      <c r="D573" t="s">
        <v>62</v>
      </c>
      <c r="E573" t="str">
        <f t="shared" si="32"/>
        <v>OS</v>
      </c>
      <c r="F573" t="s">
        <v>55</v>
      </c>
      <c r="G573" t="s">
        <v>35</v>
      </c>
      <c r="H573" s="8">
        <v>98.95</v>
      </c>
      <c r="I573" s="3">
        <f t="shared" si="33"/>
        <v>0.30299999999999999</v>
      </c>
      <c r="J573" s="4">
        <v>30.3</v>
      </c>
      <c r="K573" s="11">
        <f>Table1[[#This Row],[original_price]]* (Table1[[#This Row],[Markdown percentage updated]])</f>
        <v>29.981850000000001</v>
      </c>
      <c r="L5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73" s="6">
        <v>68.97</v>
      </c>
      <c r="N5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73" s="7">
        <v>45875</v>
      </c>
      <c r="P573">
        <v>16</v>
      </c>
      <c r="Q573" s="16" t="str">
        <f>IF(Table1[[#This Row],[stock_quantity]]=0,"NO STOCK",
IF(Table1[[#This Row],[stock_quantity]]&lt;=10,"LOW STOCK",
"IN STOCK"))</f>
        <v>IN STOCK</v>
      </c>
      <c r="R573" s="1">
        <f t="shared" si="34"/>
        <v>0</v>
      </c>
      <c r="T573" t="b">
        <v>0</v>
      </c>
      <c r="U573" t="str">
        <f t="shared" si="35"/>
        <v>No Return</v>
      </c>
    </row>
    <row r="574" spans="1:22" hidden="1" x14ac:dyDescent="0.3">
      <c r="A574" t="s">
        <v>627</v>
      </c>
      <c r="B574" t="s">
        <v>21</v>
      </c>
      <c r="C574" t="s">
        <v>48</v>
      </c>
      <c r="D574" t="s">
        <v>17</v>
      </c>
      <c r="E574" t="str">
        <f t="shared" si="32"/>
        <v>M</v>
      </c>
      <c r="F574" t="s">
        <v>18</v>
      </c>
      <c r="G574" t="s">
        <v>70</v>
      </c>
      <c r="H574" s="8">
        <v>39.56</v>
      </c>
      <c r="I574" s="3">
        <f t="shared" si="33"/>
        <v>0</v>
      </c>
      <c r="J574" s="4">
        <v>0</v>
      </c>
      <c r="K574" s="11">
        <f>Table1[[#This Row],[original_price]]* (Table1[[#This Row],[Markdown percentage updated]])</f>
        <v>0</v>
      </c>
      <c r="L5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74" s="6">
        <v>39.56</v>
      </c>
      <c r="N5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74" s="7">
        <v>45678</v>
      </c>
      <c r="P574">
        <v>15</v>
      </c>
      <c r="Q574" s="16" t="str">
        <f>IF(Table1[[#This Row],[stock_quantity]]=0,"NO STOCK",
IF(Table1[[#This Row],[stock_quantity]]&lt;=10,"LOW STOCK",
"IN STOCK"))</f>
        <v>IN STOCK</v>
      </c>
      <c r="R574" s="1">
        <f t="shared" si="34"/>
        <v>0</v>
      </c>
      <c r="T574" t="b">
        <v>0</v>
      </c>
      <c r="U574" t="str">
        <f t="shared" si="35"/>
        <v>No Return</v>
      </c>
    </row>
    <row r="575" spans="1:22" hidden="1" x14ac:dyDescent="0.3">
      <c r="A575" t="s">
        <v>628</v>
      </c>
      <c r="B575" t="s">
        <v>15</v>
      </c>
      <c r="C575" t="s">
        <v>22</v>
      </c>
      <c r="D575" t="s">
        <v>23</v>
      </c>
      <c r="E575" t="str">
        <f t="shared" si="32"/>
        <v>XXL</v>
      </c>
      <c r="F575" t="s">
        <v>39</v>
      </c>
      <c r="G575" t="s">
        <v>35</v>
      </c>
      <c r="H575" s="8">
        <v>153.88</v>
      </c>
      <c r="I575" s="3">
        <f t="shared" si="33"/>
        <v>0</v>
      </c>
      <c r="J575" s="4">
        <v>0</v>
      </c>
      <c r="K575" s="11">
        <f>Table1[[#This Row],[original_price]]* (Table1[[#This Row],[Markdown percentage updated]])</f>
        <v>0</v>
      </c>
      <c r="L5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75" s="6">
        <v>153.88</v>
      </c>
      <c r="N5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75" s="7">
        <v>45875</v>
      </c>
      <c r="P575">
        <v>42</v>
      </c>
      <c r="Q575" s="16" t="str">
        <f>IF(Table1[[#This Row],[stock_quantity]]=0,"NO STOCK",
IF(Table1[[#This Row],[stock_quantity]]&lt;=10,"LOW STOCK",
"IN STOCK"))</f>
        <v>IN STOCK</v>
      </c>
      <c r="R575" s="1">
        <f t="shared" si="34"/>
        <v>2.2000000000000002</v>
      </c>
      <c r="S575">
        <v>2.2000000000000002</v>
      </c>
      <c r="T575" t="b">
        <v>0</v>
      </c>
      <c r="U575" t="str">
        <f t="shared" si="35"/>
        <v>No Return</v>
      </c>
    </row>
    <row r="576" spans="1:22" hidden="1" x14ac:dyDescent="0.3">
      <c r="A576" t="s">
        <v>629</v>
      </c>
      <c r="B576" t="s">
        <v>27</v>
      </c>
      <c r="C576" t="s">
        <v>53</v>
      </c>
      <c r="D576" t="s">
        <v>62</v>
      </c>
      <c r="E576" t="str">
        <f t="shared" si="32"/>
        <v>OS</v>
      </c>
      <c r="G576" t="s">
        <v>56</v>
      </c>
      <c r="H576" s="8">
        <v>68.87</v>
      </c>
      <c r="I576" s="3">
        <f t="shared" si="33"/>
        <v>0</v>
      </c>
      <c r="J576" s="4">
        <v>0</v>
      </c>
      <c r="K576" s="11">
        <f>Table1[[#This Row],[original_price]]* (Table1[[#This Row],[Markdown percentage updated]])</f>
        <v>0</v>
      </c>
      <c r="L5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76" s="6">
        <v>68.87</v>
      </c>
      <c r="N5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76" s="7">
        <v>45875</v>
      </c>
      <c r="P576">
        <v>9</v>
      </c>
      <c r="Q576" s="17" t="str">
        <f>IF(Table1[[#This Row],[stock_quantity]]=0,"NO STOCK",
IF(Table1[[#This Row],[stock_quantity]]&lt;=10,"LOW STOCK",
"IN STOCK"))</f>
        <v>LOW STOCK</v>
      </c>
      <c r="R576" s="1">
        <f t="shared" si="34"/>
        <v>1.1000000000000001</v>
      </c>
      <c r="S576">
        <v>1.1000000000000001</v>
      </c>
      <c r="T576" t="b">
        <v>0</v>
      </c>
      <c r="U576" t="str">
        <f t="shared" si="35"/>
        <v>No Return</v>
      </c>
    </row>
    <row r="577" spans="1:22" hidden="1" x14ac:dyDescent="0.3">
      <c r="A577" t="s">
        <v>630</v>
      </c>
      <c r="B577" t="s">
        <v>38</v>
      </c>
      <c r="C577" t="s">
        <v>53</v>
      </c>
      <c r="D577" t="s">
        <v>34</v>
      </c>
      <c r="E577" t="str">
        <f t="shared" si="32"/>
        <v>M</v>
      </c>
      <c r="F577" t="s">
        <v>58</v>
      </c>
      <c r="G577" t="s">
        <v>25</v>
      </c>
      <c r="H577" s="8">
        <v>25.56</v>
      </c>
      <c r="I577" s="3">
        <f t="shared" si="33"/>
        <v>0.38900000000000001</v>
      </c>
      <c r="J577" s="4">
        <v>38.9</v>
      </c>
      <c r="K577" s="11">
        <f>Table1[[#This Row],[original_price]]* (Table1[[#This Row],[Markdown percentage updated]])</f>
        <v>9.9428400000000003</v>
      </c>
      <c r="L5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77" s="6">
        <v>15.62</v>
      </c>
      <c r="N5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577" s="7">
        <v>45875</v>
      </c>
      <c r="P577">
        <v>48</v>
      </c>
      <c r="Q577" s="16" t="str">
        <f>IF(Table1[[#This Row],[stock_quantity]]=0,"NO STOCK",
IF(Table1[[#This Row],[stock_quantity]]&lt;=10,"LOW STOCK",
"IN STOCK"))</f>
        <v>IN STOCK</v>
      </c>
      <c r="R577" s="1">
        <f t="shared" si="34"/>
        <v>0</v>
      </c>
      <c r="T577" t="b">
        <v>0</v>
      </c>
      <c r="U577" t="str">
        <f t="shared" si="35"/>
        <v>No Return</v>
      </c>
    </row>
    <row r="578" spans="1:22" hidden="1" x14ac:dyDescent="0.3">
      <c r="A578" t="s">
        <v>631</v>
      </c>
      <c r="B578" t="s">
        <v>15</v>
      </c>
      <c r="C578" t="s">
        <v>48</v>
      </c>
      <c r="D578" t="s">
        <v>34</v>
      </c>
      <c r="E578" t="str">
        <f t="shared" ref="E578:E641" si="36">IF(ISBLANK(F581),"OS",F581)</f>
        <v>M</v>
      </c>
      <c r="F578" t="s">
        <v>49</v>
      </c>
      <c r="G578" t="s">
        <v>35</v>
      </c>
      <c r="H578" s="8">
        <v>246.49</v>
      </c>
      <c r="I578" s="3">
        <f t="shared" ref="I578:I641" si="37">J578/100</f>
        <v>0</v>
      </c>
      <c r="J578" s="4">
        <v>0</v>
      </c>
      <c r="K578" s="11">
        <f>Table1[[#This Row],[original_price]]* (Table1[[#This Row],[Markdown percentage updated]])</f>
        <v>0</v>
      </c>
      <c r="L5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78" s="6">
        <v>246.49</v>
      </c>
      <c r="N5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78" s="7">
        <v>45875</v>
      </c>
      <c r="P578">
        <v>20</v>
      </c>
      <c r="Q578" s="16" t="str">
        <f>IF(Table1[[#This Row],[stock_quantity]]=0,"NO STOCK",
IF(Table1[[#This Row],[stock_quantity]]&lt;=10,"LOW STOCK",
"IN STOCK"))</f>
        <v>IN STOCK</v>
      </c>
      <c r="R578" s="1">
        <f t="shared" si="34"/>
        <v>4.8</v>
      </c>
      <c r="S578">
        <v>4.8</v>
      </c>
      <c r="T578" t="b">
        <v>0</v>
      </c>
      <c r="U578" t="str">
        <f t="shared" si="35"/>
        <v>No Return</v>
      </c>
    </row>
    <row r="579" spans="1:22" hidden="1" x14ac:dyDescent="0.3">
      <c r="A579" t="s">
        <v>632</v>
      </c>
      <c r="B579" t="s">
        <v>27</v>
      </c>
      <c r="C579" t="s">
        <v>48</v>
      </c>
      <c r="D579" t="s">
        <v>34</v>
      </c>
      <c r="E579" t="str">
        <f t="shared" si="36"/>
        <v>M</v>
      </c>
      <c r="G579" t="s">
        <v>46</v>
      </c>
      <c r="H579" s="8">
        <v>52.41</v>
      </c>
      <c r="I579" s="3">
        <f t="shared" si="37"/>
        <v>0</v>
      </c>
      <c r="J579" s="4">
        <v>0</v>
      </c>
      <c r="K579" s="11">
        <f>Table1[[#This Row],[original_price]]* (Table1[[#This Row],[Markdown percentage updated]])</f>
        <v>0</v>
      </c>
      <c r="L5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79" s="6">
        <v>52.41</v>
      </c>
      <c r="N5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79" s="7">
        <v>45875</v>
      </c>
      <c r="P579">
        <v>14</v>
      </c>
      <c r="Q579" s="16" t="str">
        <f>IF(Table1[[#This Row],[stock_quantity]]=0,"NO STOCK",
IF(Table1[[#This Row],[stock_quantity]]&lt;=10,"LOW STOCK",
"IN STOCK"))</f>
        <v>IN STOCK</v>
      </c>
      <c r="R579" s="1">
        <f t="shared" ref="R579:R642" si="38">IF(ISBLANK(S579), 0, S579)</f>
        <v>0</v>
      </c>
      <c r="T579" t="b">
        <v>0</v>
      </c>
      <c r="U579" t="str">
        <f t="shared" ref="U579:U642" si="39">IF(V579="","No Return",V579)</f>
        <v>No Return</v>
      </c>
    </row>
    <row r="580" spans="1:22" hidden="1" x14ac:dyDescent="0.3">
      <c r="A580" t="s">
        <v>633</v>
      </c>
      <c r="B580" t="s">
        <v>21</v>
      </c>
      <c r="C580" t="s">
        <v>16</v>
      </c>
      <c r="D580" t="s">
        <v>62</v>
      </c>
      <c r="E580" t="str">
        <f t="shared" si="36"/>
        <v>M</v>
      </c>
      <c r="F580" t="s">
        <v>58</v>
      </c>
      <c r="G580" t="s">
        <v>64</v>
      </c>
      <c r="H580" s="8">
        <v>33.770000000000003</v>
      </c>
      <c r="I580" s="3">
        <f t="shared" si="37"/>
        <v>0</v>
      </c>
      <c r="J580" s="4">
        <v>0</v>
      </c>
      <c r="K580" s="11">
        <f>Table1[[#This Row],[original_price]]* (Table1[[#This Row],[Markdown percentage updated]])</f>
        <v>0</v>
      </c>
      <c r="L5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80" s="6">
        <v>33.770000000000003</v>
      </c>
      <c r="N5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80" s="7">
        <v>45875</v>
      </c>
      <c r="P580">
        <v>12</v>
      </c>
      <c r="Q580" s="16" t="str">
        <f>IF(Table1[[#This Row],[stock_quantity]]=0,"NO STOCK",
IF(Table1[[#This Row],[stock_quantity]]&lt;=10,"LOW STOCK",
"IN STOCK"))</f>
        <v>IN STOCK</v>
      </c>
      <c r="R580" s="1">
        <f t="shared" si="38"/>
        <v>3.8</v>
      </c>
      <c r="S580">
        <v>3.8</v>
      </c>
      <c r="T580" t="b">
        <v>0</v>
      </c>
      <c r="U580" t="str">
        <f t="shared" si="39"/>
        <v>No Return</v>
      </c>
    </row>
    <row r="581" spans="1:22" hidden="1" x14ac:dyDescent="0.3">
      <c r="A581" t="s">
        <v>634</v>
      </c>
      <c r="B581" t="s">
        <v>30</v>
      </c>
      <c r="C581" t="s">
        <v>48</v>
      </c>
      <c r="D581" t="s">
        <v>62</v>
      </c>
      <c r="E581" t="str">
        <f t="shared" si="36"/>
        <v>XL</v>
      </c>
      <c r="F581" t="s">
        <v>58</v>
      </c>
      <c r="G581" t="s">
        <v>25</v>
      </c>
      <c r="H581" s="8">
        <v>96.7</v>
      </c>
      <c r="I581" s="3">
        <f t="shared" si="37"/>
        <v>0</v>
      </c>
      <c r="J581" s="4">
        <v>0</v>
      </c>
      <c r="K581" s="11">
        <f>Table1[[#This Row],[original_price]]* (Table1[[#This Row],[Markdown percentage updated]])</f>
        <v>0</v>
      </c>
      <c r="L5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81" s="6">
        <v>96.7</v>
      </c>
      <c r="N5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81" s="7">
        <v>45875</v>
      </c>
      <c r="P581">
        <v>28</v>
      </c>
      <c r="Q581" s="16" t="str">
        <f>IF(Table1[[#This Row],[stock_quantity]]=0,"NO STOCK",
IF(Table1[[#This Row],[stock_quantity]]&lt;=10,"LOW STOCK",
"IN STOCK"))</f>
        <v>IN STOCK</v>
      </c>
      <c r="R581" s="1">
        <f t="shared" si="38"/>
        <v>3</v>
      </c>
      <c r="S581">
        <v>3</v>
      </c>
      <c r="T581" t="b">
        <v>0</v>
      </c>
      <c r="U581" t="str">
        <f t="shared" si="39"/>
        <v>No Return</v>
      </c>
    </row>
    <row r="582" spans="1:22" hidden="1" x14ac:dyDescent="0.3">
      <c r="A582" t="s">
        <v>635</v>
      </c>
      <c r="B582" t="s">
        <v>42</v>
      </c>
      <c r="C582" t="s">
        <v>48</v>
      </c>
      <c r="D582" t="s">
        <v>17</v>
      </c>
      <c r="E582" t="str">
        <f t="shared" si="36"/>
        <v>L</v>
      </c>
      <c r="F582" t="s">
        <v>58</v>
      </c>
      <c r="G582" t="s">
        <v>19</v>
      </c>
      <c r="H582" s="8">
        <v>95.81</v>
      </c>
      <c r="I582" s="3">
        <f t="shared" si="37"/>
        <v>0</v>
      </c>
      <c r="J582" s="4">
        <v>0</v>
      </c>
      <c r="K582" s="11">
        <f>Table1[[#This Row],[original_price]]* (Table1[[#This Row],[Markdown percentage updated]])</f>
        <v>0</v>
      </c>
      <c r="L5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82" s="6">
        <v>95.81</v>
      </c>
      <c r="N5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82" s="7">
        <v>45786</v>
      </c>
      <c r="P582">
        <v>47</v>
      </c>
      <c r="Q582" s="16" t="str">
        <f>IF(Table1[[#This Row],[stock_quantity]]=0,"NO STOCK",
IF(Table1[[#This Row],[stock_quantity]]&lt;=10,"LOW STOCK",
"IN STOCK"))</f>
        <v>IN STOCK</v>
      </c>
      <c r="R582" s="1">
        <f t="shared" si="38"/>
        <v>4.9000000000000004</v>
      </c>
      <c r="S582">
        <v>4.9000000000000004</v>
      </c>
      <c r="T582" t="b">
        <v>0</v>
      </c>
      <c r="U582" t="str">
        <f t="shared" si="39"/>
        <v>No Return</v>
      </c>
    </row>
    <row r="583" spans="1:22" hidden="1" x14ac:dyDescent="0.3">
      <c r="A583" t="s">
        <v>636</v>
      </c>
      <c r="B583" t="s">
        <v>21</v>
      </c>
      <c r="C583" t="s">
        <v>61</v>
      </c>
      <c r="D583" t="s">
        <v>34</v>
      </c>
      <c r="E583" t="str">
        <f t="shared" si="36"/>
        <v>L</v>
      </c>
      <c r="F583" t="s">
        <v>58</v>
      </c>
      <c r="G583" t="s">
        <v>70</v>
      </c>
      <c r="H583" s="8">
        <v>41.58</v>
      </c>
      <c r="I583" s="3">
        <f t="shared" si="37"/>
        <v>0</v>
      </c>
      <c r="J583" s="4">
        <v>0</v>
      </c>
      <c r="K583" s="11">
        <f>Table1[[#This Row],[original_price]]* (Table1[[#This Row],[Markdown percentage updated]])</f>
        <v>0</v>
      </c>
      <c r="L5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83" s="6">
        <v>41.58</v>
      </c>
      <c r="N5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83" s="7">
        <v>45875</v>
      </c>
      <c r="P583">
        <v>3</v>
      </c>
      <c r="Q583" s="17" t="str">
        <f>IF(Table1[[#This Row],[stock_quantity]]=0,"NO STOCK",
IF(Table1[[#This Row],[stock_quantity]]&lt;=10,"LOW STOCK",
"IN STOCK"))</f>
        <v>LOW STOCK</v>
      </c>
      <c r="R583" s="1">
        <f t="shared" si="38"/>
        <v>1.6</v>
      </c>
      <c r="S583">
        <v>1.6</v>
      </c>
      <c r="T583" t="b">
        <v>0</v>
      </c>
      <c r="U583" t="str">
        <f t="shared" si="39"/>
        <v>No Return</v>
      </c>
    </row>
    <row r="584" spans="1:22" hidden="1" x14ac:dyDescent="0.3">
      <c r="A584" t="s">
        <v>637</v>
      </c>
      <c r="B584" t="s">
        <v>21</v>
      </c>
      <c r="C584" t="s">
        <v>22</v>
      </c>
      <c r="D584" t="s">
        <v>62</v>
      </c>
      <c r="E584" t="str">
        <f t="shared" si="36"/>
        <v>XXL</v>
      </c>
      <c r="F584" t="s">
        <v>18</v>
      </c>
      <c r="G584" t="s">
        <v>40</v>
      </c>
      <c r="H584" s="8">
        <v>46.67</v>
      </c>
      <c r="I584" s="3">
        <f t="shared" si="37"/>
        <v>6.6000000000000003E-2</v>
      </c>
      <c r="J584" s="4">
        <v>6.6</v>
      </c>
      <c r="K584" s="11">
        <f>Table1[[#This Row],[original_price]]* (Table1[[#This Row],[Markdown percentage updated]])</f>
        <v>3.0802200000000002</v>
      </c>
      <c r="L5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584" s="6">
        <v>43.59</v>
      </c>
      <c r="N5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584" s="7">
        <v>45875</v>
      </c>
      <c r="P584">
        <v>35</v>
      </c>
      <c r="Q584" s="16" t="str">
        <f>IF(Table1[[#This Row],[stock_quantity]]=0,"NO STOCK",
IF(Table1[[#This Row],[stock_quantity]]&lt;=10,"LOW STOCK",
"IN STOCK"))</f>
        <v>IN STOCK</v>
      </c>
      <c r="R584" s="1">
        <f t="shared" si="38"/>
        <v>1.3</v>
      </c>
      <c r="S584">
        <v>1.3</v>
      </c>
      <c r="T584" t="b">
        <v>1</v>
      </c>
      <c r="U584" s="13" t="str">
        <f t="shared" si="39"/>
        <v>Quality Issue</v>
      </c>
      <c r="V584" t="s">
        <v>83</v>
      </c>
    </row>
    <row r="585" spans="1:22" hidden="1" x14ac:dyDescent="0.3">
      <c r="A585" t="s">
        <v>638</v>
      </c>
      <c r="B585" t="s">
        <v>38</v>
      </c>
      <c r="C585" t="s">
        <v>16</v>
      </c>
      <c r="D585" t="s">
        <v>23</v>
      </c>
      <c r="E585" t="str">
        <f t="shared" si="36"/>
        <v>OS</v>
      </c>
      <c r="F585" t="s">
        <v>24</v>
      </c>
      <c r="G585" t="s">
        <v>56</v>
      </c>
      <c r="H585" s="8">
        <v>25.98</v>
      </c>
      <c r="I585" s="3">
        <f t="shared" si="37"/>
        <v>0.59399999999999997</v>
      </c>
      <c r="J585" s="4">
        <v>59.4</v>
      </c>
      <c r="K585" s="11">
        <f>Table1[[#This Row],[original_price]]* (Table1[[#This Row],[Markdown percentage updated]])</f>
        <v>15.432119999999999</v>
      </c>
      <c r="L5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85" s="6">
        <v>10.55</v>
      </c>
      <c r="N5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585" s="7">
        <v>45875</v>
      </c>
      <c r="P585">
        <v>40</v>
      </c>
      <c r="Q585" s="16" t="str">
        <f>IF(Table1[[#This Row],[stock_quantity]]=0,"NO STOCK",
IF(Table1[[#This Row],[stock_quantity]]&lt;=10,"LOW STOCK",
"IN STOCK"))</f>
        <v>IN STOCK</v>
      </c>
      <c r="R585" s="1">
        <f t="shared" si="38"/>
        <v>0</v>
      </c>
      <c r="T585" t="b">
        <v>0</v>
      </c>
      <c r="U585" t="str">
        <f t="shared" si="39"/>
        <v>No Return</v>
      </c>
    </row>
    <row r="586" spans="1:22" hidden="1" x14ac:dyDescent="0.3">
      <c r="A586" t="s">
        <v>639</v>
      </c>
      <c r="B586" t="s">
        <v>15</v>
      </c>
      <c r="C586" t="s">
        <v>22</v>
      </c>
      <c r="D586" t="s">
        <v>62</v>
      </c>
      <c r="E586" t="str">
        <f t="shared" si="36"/>
        <v>M</v>
      </c>
      <c r="F586" t="s">
        <v>24</v>
      </c>
      <c r="G586" t="s">
        <v>56</v>
      </c>
      <c r="H586" s="8">
        <v>204.82</v>
      </c>
      <c r="I586" s="3">
        <f t="shared" si="37"/>
        <v>0.14000000000000001</v>
      </c>
      <c r="J586" s="4">
        <v>14</v>
      </c>
      <c r="K586" s="11">
        <f>Table1[[#This Row],[original_price]]* (Table1[[#This Row],[Markdown percentage updated]])</f>
        <v>28.674800000000001</v>
      </c>
      <c r="L5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586" s="6">
        <v>176.15</v>
      </c>
      <c r="N5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86" s="7">
        <v>45875</v>
      </c>
      <c r="P586">
        <v>27</v>
      </c>
      <c r="Q586" s="16" t="str">
        <f>IF(Table1[[#This Row],[stock_quantity]]=0,"NO STOCK",
IF(Table1[[#This Row],[stock_quantity]]&lt;=10,"LOW STOCK",
"IN STOCK"))</f>
        <v>IN STOCK</v>
      </c>
      <c r="R586" s="1">
        <f t="shared" si="38"/>
        <v>3.8</v>
      </c>
      <c r="S586">
        <v>3.8</v>
      </c>
      <c r="T586" t="b">
        <v>0</v>
      </c>
      <c r="U586" t="str">
        <f t="shared" si="39"/>
        <v>No Return</v>
      </c>
    </row>
    <row r="587" spans="1:22" hidden="1" x14ac:dyDescent="0.3">
      <c r="A587" t="s">
        <v>640</v>
      </c>
      <c r="B587" t="s">
        <v>21</v>
      </c>
      <c r="C587" t="s">
        <v>16</v>
      </c>
      <c r="D587" t="s">
        <v>23</v>
      </c>
      <c r="E587" t="str">
        <f t="shared" si="36"/>
        <v>OS</v>
      </c>
      <c r="F587" t="s">
        <v>49</v>
      </c>
      <c r="G587" t="s">
        <v>25</v>
      </c>
      <c r="H587" s="8">
        <v>43.43</v>
      </c>
      <c r="I587" s="3">
        <f t="shared" si="37"/>
        <v>0.47100000000000003</v>
      </c>
      <c r="J587" s="4">
        <v>47.1</v>
      </c>
      <c r="K587" s="11">
        <f>Table1[[#This Row],[original_price]]* (Table1[[#This Row],[Markdown percentage updated]])</f>
        <v>20.45553</v>
      </c>
      <c r="L5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87" s="6">
        <v>22.97</v>
      </c>
      <c r="N5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87" s="7">
        <v>45875</v>
      </c>
      <c r="P587">
        <v>44</v>
      </c>
      <c r="Q587" s="16" t="str">
        <f>IF(Table1[[#This Row],[stock_quantity]]=0,"NO STOCK",
IF(Table1[[#This Row],[stock_quantity]]&lt;=10,"LOW STOCK",
"IN STOCK"))</f>
        <v>IN STOCK</v>
      </c>
      <c r="R587" s="1">
        <f t="shared" si="38"/>
        <v>4.7</v>
      </c>
      <c r="S587">
        <v>4.7</v>
      </c>
      <c r="T587" t="b">
        <v>0</v>
      </c>
      <c r="U587" t="str">
        <f t="shared" si="39"/>
        <v>No Return</v>
      </c>
    </row>
    <row r="588" spans="1:22" hidden="1" x14ac:dyDescent="0.3">
      <c r="A588" t="s">
        <v>641</v>
      </c>
      <c r="B588" t="s">
        <v>27</v>
      </c>
      <c r="C588" t="s">
        <v>48</v>
      </c>
      <c r="D588" t="s">
        <v>62</v>
      </c>
      <c r="E588" t="str">
        <f t="shared" si="36"/>
        <v>S</v>
      </c>
      <c r="G588" t="s">
        <v>44</v>
      </c>
      <c r="H588" s="8">
        <v>40.5</v>
      </c>
      <c r="I588" s="3">
        <f t="shared" si="37"/>
        <v>0.40500000000000003</v>
      </c>
      <c r="J588" s="4">
        <v>40.5</v>
      </c>
      <c r="K588" s="11">
        <f>Table1[[#This Row],[original_price]]* (Table1[[#This Row],[Markdown percentage updated]])</f>
        <v>16.4025</v>
      </c>
      <c r="L5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88" s="6">
        <v>24.1</v>
      </c>
      <c r="N5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588" s="7">
        <v>45875</v>
      </c>
      <c r="P588">
        <v>25</v>
      </c>
      <c r="Q588" s="16" t="str">
        <f>IF(Table1[[#This Row],[stock_quantity]]=0,"NO STOCK",
IF(Table1[[#This Row],[stock_quantity]]&lt;=10,"LOW STOCK",
"IN STOCK"))</f>
        <v>IN STOCK</v>
      </c>
      <c r="R588" s="1">
        <f t="shared" si="38"/>
        <v>2.9</v>
      </c>
      <c r="S588">
        <v>2.9</v>
      </c>
      <c r="T588" t="b">
        <v>0</v>
      </c>
      <c r="U588" t="str">
        <f t="shared" si="39"/>
        <v>No Return</v>
      </c>
    </row>
    <row r="589" spans="1:22" hidden="1" x14ac:dyDescent="0.3">
      <c r="A589" t="s">
        <v>642</v>
      </c>
      <c r="B589" t="s">
        <v>38</v>
      </c>
      <c r="C589" t="s">
        <v>75</v>
      </c>
      <c r="D589" t="s">
        <v>23</v>
      </c>
      <c r="E589" t="str">
        <f t="shared" si="36"/>
        <v>XS</v>
      </c>
      <c r="F589" t="s">
        <v>58</v>
      </c>
      <c r="G589" t="s">
        <v>19</v>
      </c>
      <c r="H589" s="8">
        <v>73.59</v>
      </c>
      <c r="I589" s="3">
        <f t="shared" si="37"/>
        <v>0.16600000000000001</v>
      </c>
      <c r="J589" s="4">
        <v>16.600000000000001</v>
      </c>
      <c r="K589" s="11">
        <f>Table1[[#This Row],[original_price]]* (Table1[[#This Row],[Markdown percentage updated]])</f>
        <v>12.215940000000002</v>
      </c>
      <c r="L5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589" s="6">
        <v>61.37</v>
      </c>
      <c r="N5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589" s="7">
        <v>45875</v>
      </c>
      <c r="P589">
        <v>34</v>
      </c>
      <c r="Q589" s="16" t="str">
        <f>IF(Table1[[#This Row],[stock_quantity]]=0,"NO STOCK",
IF(Table1[[#This Row],[stock_quantity]]&lt;=10,"LOW STOCK",
"IN STOCK"))</f>
        <v>IN STOCK</v>
      </c>
      <c r="R589" s="1">
        <f t="shared" si="38"/>
        <v>4</v>
      </c>
      <c r="S589">
        <v>4</v>
      </c>
      <c r="T589" t="b">
        <v>0</v>
      </c>
      <c r="U589" t="str">
        <f t="shared" si="39"/>
        <v>No Return</v>
      </c>
    </row>
    <row r="590" spans="1:22" hidden="1" x14ac:dyDescent="0.3">
      <c r="A590" t="s">
        <v>643</v>
      </c>
      <c r="B590" t="s">
        <v>27</v>
      </c>
      <c r="C590" t="s">
        <v>53</v>
      </c>
      <c r="D590" t="s">
        <v>62</v>
      </c>
      <c r="E590" t="str">
        <f t="shared" si="36"/>
        <v>OS</v>
      </c>
      <c r="G590" t="s">
        <v>64</v>
      </c>
      <c r="H590" s="8">
        <v>17.670000000000002</v>
      </c>
      <c r="I590" s="3">
        <f t="shared" si="37"/>
        <v>0</v>
      </c>
      <c r="J590" s="4">
        <v>0</v>
      </c>
      <c r="K590" s="11">
        <f>Table1[[#This Row],[original_price]]* (Table1[[#This Row],[Markdown percentage updated]])</f>
        <v>0</v>
      </c>
      <c r="L5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90" s="6">
        <v>17.670000000000002</v>
      </c>
      <c r="N5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90" s="7">
        <v>45875</v>
      </c>
      <c r="P590">
        <v>29</v>
      </c>
      <c r="Q590" s="16" t="str">
        <f>IF(Table1[[#This Row],[stock_quantity]]=0,"NO STOCK",
IF(Table1[[#This Row],[stock_quantity]]&lt;=10,"LOW STOCK",
"IN STOCK"))</f>
        <v>IN STOCK</v>
      </c>
      <c r="R590" s="1">
        <f t="shared" si="38"/>
        <v>4.3</v>
      </c>
      <c r="S590">
        <v>4.3</v>
      </c>
      <c r="T590" t="b">
        <v>0</v>
      </c>
      <c r="U590" t="str">
        <f t="shared" si="39"/>
        <v>No Return</v>
      </c>
    </row>
    <row r="591" spans="1:22" hidden="1" x14ac:dyDescent="0.3">
      <c r="A591" t="s">
        <v>644</v>
      </c>
      <c r="B591" t="s">
        <v>42</v>
      </c>
      <c r="C591" t="s">
        <v>61</v>
      </c>
      <c r="D591" t="s">
        <v>23</v>
      </c>
      <c r="E591" t="str">
        <f t="shared" si="36"/>
        <v>XXL</v>
      </c>
      <c r="F591" t="s">
        <v>39</v>
      </c>
      <c r="G591" t="s">
        <v>46</v>
      </c>
      <c r="H591" s="8">
        <v>70.010000000000005</v>
      </c>
      <c r="I591" s="3">
        <f t="shared" si="37"/>
        <v>0.28000000000000003</v>
      </c>
      <c r="J591" s="4">
        <v>28</v>
      </c>
      <c r="K591" s="11">
        <f>Table1[[#This Row],[original_price]]* (Table1[[#This Row],[Markdown percentage updated]])</f>
        <v>19.602800000000002</v>
      </c>
      <c r="L5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591" s="6">
        <v>50.41</v>
      </c>
      <c r="N5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591" s="7">
        <v>45875</v>
      </c>
      <c r="P591">
        <v>23</v>
      </c>
      <c r="Q591" s="16" t="str">
        <f>IF(Table1[[#This Row],[stock_quantity]]=0,"NO STOCK",
IF(Table1[[#This Row],[stock_quantity]]&lt;=10,"LOW STOCK",
"IN STOCK"))</f>
        <v>IN STOCK</v>
      </c>
      <c r="R591" s="1">
        <f t="shared" si="38"/>
        <v>0</v>
      </c>
      <c r="T591" t="b">
        <v>0</v>
      </c>
      <c r="U591" t="str">
        <f t="shared" si="39"/>
        <v>No Return</v>
      </c>
    </row>
    <row r="592" spans="1:22" hidden="1" x14ac:dyDescent="0.3">
      <c r="A592" t="s">
        <v>645</v>
      </c>
      <c r="B592" t="s">
        <v>30</v>
      </c>
      <c r="C592" t="s">
        <v>43</v>
      </c>
      <c r="D592" t="s">
        <v>34</v>
      </c>
      <c r="E592" t="str">
        <f t="shared" si="36"/>
        <v>XXL</v>
      </c>
      <c r="F592" t="s">
        <v>55</v>
      </c>
      <c r="G592" t="s">
        <v>19</v>
      </c>
      <c r="H592" s="8">
        <v>79.319999999999993</v>
      </c>
      <c r="I592" s="3">
        <f t="shared" si="37"/>
        <v>0.33700000000000002</v>
      </c>
      <c r="J592" s="4">
        <v>33.700000000000003</v>
      </c>
      <c r="K592" s="11">
        <f>Table1[[#This Row],[original_price]]* (Table1[[#This Row],[Markdown percentage updated]])</f>
        <v>26.730840000000001</v>
      </c>
      <c r="L5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92" s="6">
        <v>52.59</v>
      </c>
      <c r="N5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592" s="7">
        <v>45875</v>
      </c>
      <c r="P592">
        <v>38</v>
      </c>
      <c r="Q592" s="16" t="str">
        <f>IF(Table1[[#This Row],[stock_quantity]]=0,"NO STOCK",
IF(Table1[[#This Row],[stock_quantity]]&lt;=10,"LOW STOCK",
"IN STOCK"))</f>
        <v>IN STOCK</v>
      </c>
      <c r="R592" s="1">
        <f t="shared" si="38"/>
        <v>3</v>
      </c>
      <c r="S592">
        <v>3</v>
      </c>
      <c r="T592" t="b">
        <v>1</v>
      </c>
      <c r="U592" s="13" t="str">
        <f t="shared" si="39"/>
        <v>Size Issue</v>
      </c>
      <c r="V592" t="s">
        <v>73</v>
      </c>
    </row>
    <row r="593" spans="1:22" hidden="1" x14ac:dyDescent="0.3">
      <c r="A593" t="s">
        <v>646</v>
      </c>
      <c r="B593" t="s">
        <v>27</v>
      </c>
      <c r="C593" t="s">
        <v>16</v>
      </c>
      <c r="D593" t="s">
        <v>62</v>
      </c>
      <c r="E593" t="str">
        <f t="shared" si="36"/>
        <v>M</v>
      </c>
      <c r="G593" t="s">
        <v>56</v>
      </c>
      <c r="H593" s="8">
        <v>45.24</v>
      </c>
      <c r="I593" s="3">
        <f t="shared" si="37"/>
        <v>0</v>
      </c>
      <c r="J593" s="4">
        <v>0</v>
      </c>
      <c r="K593" s="11">
        <f>Table1[[#This Row],[original_price]]* (Table1[[#This Row],[Markdown percentage updated]])</f>
        <v>0</v>
      </c>
      <c r="L5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93" s="6">
        <v>45.24</v>
      </c>
      <c r="N5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93" s="7">
        <v>45875</v>
      </c>
      <c r="P593">
        <v>20</v>
      </c>
      <c r="Q593" s="16" t="str">
        <f>IF(Table1[[#This Row],[stock_quantity]]=0,"NO STOCK",
IF(Table1[[#This Row],[stock_quantity]]&lt;=10,"LOW STOCK",
"IN STOCK"))</f>
        <v>IN STOCK</v>
      </c>
      <c r="R593" s="1">
        <f t="shared" si="38"/>
        <v>3</v>
      </c>
      <c r="S593">
        <v>3</v>
      </c>
      <c r="T593" t="b">
        <v>1</v>
      </c>
      <c r="U593" s="13" t="str">
        <f t="shared" si="39"/>
        <v>Quality Issue</v>
      </c>
      <c r="V593" t="s">
        <v>83</v>
      </c>
    </row>
    <row r="594" spans="1:22" hidden="1" x14ac:dyDescent="0.3">
      <c r="A594" t="s">
        <v>647</v>
      </c>
      <c r="B594" t="s">
        <v>21</v>
      </c>
      <c r="C594" t="s">
        <v>48</v>
      </c>
      <c r="D594" t="s">
        <v>62</v>
      </c>
      <c r="E594" t="str">
        <f t="shared" si="36"/>
        <v>OS</v>
      </c>
      <c r="F594" t="s">
        <v>49</v>
      </c>
      <c r="G594" t="s">
        <v>19</v>
      </c>
      <c r="H594" s="8">
        <v>63.51</v>
      </c>
      <c r="I594" s="3">
        <f t="shared" si="37"/>
        <v>0.13600000000000001</v>
      </c>
      <c r="J594" s="4">
        <v>13.6</v>
      </c>
      <c r="K594" s="11">
        <f>Table1[[#This Row],[original_price]]* (Table1[[#This Row],[Markdown percentage updated]])</f>
        <v>8.637360000000001</v>
      </c>
      <c r="L5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594" s="6">
        <v>54.87</v>
      </c>
      <c r="N5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594" s="7">
        <v>45875</v>
      </c>
      <c r="P594">
        <v>19</v>
      </c>
      <c r="Q594" s="16" t="str">
        <f>IF(Table1[[#This Row],[stock_quantity]]=0,"NO STOCK",
IF(Table1[[#This Row],[stock_quantity]]&lt;=10,"LOW STOCK",
"IN STOCK"))</f>
        <v>IN STOCK</v>
      </c>
      <c r="R594" s="1">
        <f t="shared" si="38"/>
        <v>0</v>
      </c>
      <c r="T594" t="b">
        <v>0</v>
      </c>
      <c r="U594" t="str">
        <f t="shared" si="39"/>
        <v>No Return</v>
      </c>
    </row>
    <row r="595" spans="1:22" hidden="1" x14ac:dyDescent="0.3">
      <c r="A595" t="s">
        <v>648</v>
      </c>
      <c r="B595" t="s">
        <v>38</v>
      </c>
      <c r="C595" t="s">
        <v>53</v>
      </c>
      <c r="D595" t="s">
        <v>23</v>
      </c>
      <c r="E595" t="str">
        <f t="shared" si="36"/>
        <v>XL</v>
      </c>
      <c r="F595" t="s">
        <v>49</v>
      </c>
      <c r="G595" t="s">
        <v>35</v>
      </c>
      <c r="H595" s="8">
        <v>55.23</v>
      </c>
      <c r="I595" s="3">
        <f t="shared" si="37"/>
        <v>0.33600000000000002</v>
      </c>
      <c r="J595" s="4">
        <v>33.6</v>
      </c>
      <c r="K595" s="11">
        <f>Table1[[#This Row],[original_price]]* (Table1[[#This Row],[Markdown percentage updated]])</f>
        <v>18.557279999999999</v>
      </c>
      <c r="L5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595" s="6">
        <v>36.67</v>
      </c>
      <c r="N5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595" s="7">
        <v>45875</v>
      </c>
      <c r="P595">
        <v>9</v>
      </c>
      <c r="Q595" s="17" t="str">
        <f>IF(Table1[[#This Row],[stock_quantity]]=0,"NO STOCK",
IF(Table1[[#This Row],[stock_quantity]]&lt;=10,"LOW STOCK",
"IN STOCK"))</f>
        <v>LOW STOCK</v>
      </c>
      <c r="R595" s="1">
        <f t="shared" si="38"/>
        <v>0</v>
      </c>
      <c r="T595" t="b">
        <v>0</v>
      </c>
      <c r="U595" t="str">
        <f t="shared" si="39"/>
        <v>No Return</v>
      </c>
    </row>
    <row r="596" spans="1:22" hidden="1" x14ac:dyDescent="0.3">
      <c r="A596" t="s">
        <v>649</v>
      </c>
      <c r="B596" t="s">
        <v>42</v>
      </c>
      <c r="C596" t="s">
        <v>32</v>
      </c>
      <c r="D596" t="s">
        <v>34</v>
      </c>
      <c r="E596" t="str">
        <f t="shared" si="36"/>
        <v>M</v>
      </c>
      <c r="F596" t="s">
        <v>58</v>
      </c>
      <c r="G596" t="s">
        <v>64</v>
      </c>
      <c r="H596" s="8">
        <v>137.59</v>
      </c>
      <c r="I596" s="3">
        <f t="shared" si="37"/>
        <v>0</v>
      </c>
      <c r="J596" s="4">
        <v>0</v>
      </c>
      <c r="K596" s="11">
        <f>Table1[[#This Row],[original_price]]* (Table1[[#This Row],[Markdown percentage updated]])</f>
        <v>0</v>
      </c>
      <c r="L5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96" s="6">
        <v>137.59</v>
      </c>
      <c r="N5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96" s="7">
        <v>45875</v>
      </c>
      <c r="P596">
        <v>18</v>
      </c>
      <c r="Q596" s="16" t="str">
        <f>IF(Table1[[#This Row],[stock_quantity]]=0,"NO STOCK",
IF(Table1[[#This Row],[stock_quantity]]&lt;=10,"LOW STOCK",
"IN STOCK"))</f>
        <v>IN STOCK</v>
      </c>
      <c r="R596" s="1">
        <f t="shared" si="38"/>
        <v>0</v>
      </c>
      <c r="T596" t="b">
        <v>0</v>
      </c>
      <c r="U596" t="str">
        <f t="shared" si="39"/>
        <v>No Return</v>
      </c>
    </row>
    <row r="597" spans="1:22" hidden="1" x14ac:dyDescent="0.3">
      <c r="A597" t="s">
        <v>650</v>
      </c>
      <c r="B597" t="s">
        <v>30</v>
      </c>
      <c r="C597" t="s">
        <v>48</v>
      </c>
      <c r="D597" t="s">
        <v>34</v>
      </c>
      <c r="E597" t="str">
        <f t="shared" si="36"/>
        <v>L</v>
      </c>
      <c r="G597" t="s">
        <v>35</v>
      </c>
      <c r="H597" s="8">
        <v>65.8</v>
      </c>
      <c r="I597" s="3">
        <f t="shared" si="37"/>
        <v>0</v>
      </c>
      <c r="J597" s="4">
        <v>0</v>
      </c>
      <c r="K597" s="11">
        <f>Table1[[#This Row],[original_price]]* (Table1[[#This Row],[Markdown percentage updated]])</f>
        <v>0</v>
      </c>
      <c r="L5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97" s="6">
        <v>65.8</v>
      </c>
      <c r="N5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97" s="7">
        <v>45875</v>
      </c>
      <c r="P597">
        <v>46</v>
      </c>
      <c r="Q597" s="16" t="str">
        <f>IF(Table1[[#This Row],[stock_quantity]]=0,"NO STOCK",
IF(Table1[[#This Row],[stock_quantity]]&lt;=10,"LOW STOCK",
"IN STOCK"))</f>
        <v>IN STOCK</v>
      </c>
      <c r="R597" s="1">
        <f t="shared" si="38"/>
        <v>3.2</v>
      </c>
      <c r="S597">
        <v>3.2</v>
      </c>
      <c r="T597" t="b">
        <v>0</v>
      </c>
      <c r="U597" t="str">
        <f t="shared" si="39"/>
        <v>No Return</v>
      </c>
    </row>
    <row r="598" spans="1:22" hidden="1" x14ac:dyDescent="0.3">
      <c r="A598" t="s">
        <v>651</v>
      </c>
      <c r="B598" t="s">
        <v>30</v>
      </c>
      <c r="C598" t="s">
        <v>22</v>
      </c>
      <c r="D598" t="s">
        <v>23</v>
      </c>
      <c r="E598" t="str">
        <f t="shared" si="36"/>
        <v>L</v>
      </c>
      <c r="F598" t="s">
        <v>18</v>
      </c>
      <c r="G598" t="s">
        <v>44</v>
      </c>
      <c r="H598" s="8">
        <v>88.42</v>
      </c>
      <c r="I598" s="3">
        <f t="shared" si="37"/>
        <v>0</v>
      </c>
      <c r="J598" s="4">
        <v>0</v>
      </c>
      <c r="K598" s="11">
        <f>Table1[[#This Row],[original_price]]* (Table1[[#This Row],[Markdown percentage updated]])</f>
        <v>0</v>
      </c>
      <c r="L5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98" s="6">
        <v>88.42</v>
      </c>
      <c r="N5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98" s="7">
        <v>45875</v>
      </c>
      <c r="P598">
        <v>44</v>
      </c>
      <c r="Q598" s="16" t="str">
        <f>IF(Table1[[#This Row],[stock_quantity]]=0,"NO STOCK",
IF(Table1[[#This Row],[stock_quantity]]&lt;=10,"LOW STOCK",
"IN STOCK"))</f>
        <v>IN STOCK</v>
      </c>
      <c r="R598" s="1">
        <f t="shared" si="38"/>
        <v>3.4</v>
      </c>
      <c r="S598">
        <v>3.4</v>
      </c>
      <c r="T598" t="b">
        <v>1</v>
      </c>
      <c r="U598" s="13" t="str">
        <f t="shared" si="39"/>
        <v>Damaged</v>
      </c>
      <c r="V598" t="s">
        <v>78</v>
      </c>
    </row>
    <row r="599" spans="1:22" hidden="1" x14ac:dyDescent="0.3">
      <c r="A599" t="s">
        <v>652</v>
      </c>
      <c r="B599" t="s">
        <v>42</v>
      </c>
      <c r="C599" t="s">
        <v>43</v>
      </c>
      <c r="D599" t="s">
        <v>34</v>
      </c>
      <c r="E599" t="str">
        <f t="shared" si="36"/>
        <v>M</v>
      </c>
      <c r="F599" t="s">
        <v>58</v>
      </c>
      <c r="G599" t="s">
        <v>19</v>
      </c>
      <c r="H599" s="8">
        <v>75.540000000000006</v>
      </c>
      <c r="I599" s="3">
        <f t="shared" si="37"/>
        <v>0</v>
      </c>
      <c r="J599" s="4">
        <v>0</v>
      </c>
      <c r="K599" s="11">
        <f>Table1[[#This Row],[original_price]]* (Table1[[#This Row],[Markdown percentage updated]])</f>
        <v>0</v>
      </c>
      <c r="L5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599" s="6">
        <v>75.540000000000006</v>
      </c>
      <c r="N5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599" s="7">
        <v>45875</v>
      </c>
      <c r="P599">
        <v>6</v>
      </c>
      <c r="Q599" s="17" t="str">
        <f>IF(Table1[[#This Row],[stock_quantity]]=0,"NO STOCK",
IF(Table1[[#This Row],[stock_quantity]]&lt;=10,"LOW STOCK",
"IN STOCK"))</f>
        <v>LOW STOCK</v>
      </c>
      <c r="R599" s="1">
        <f t="shared" si="38"/>
        <v>4.5999999999999996</v>
      </c>
      <c r="S599">
        <v>4.5999999999999996</v>
      </c>
      <c r="T599" t="b">
        <v>0</v>
      </c>
      <c r="U599" t="str">
        <f t="shared" si="39"/>
        <v>No Return</v>
      </c>
    </row>
    <row r="600" spans="1:22" hidden="1" x14ac:dyDescent="0.3">
      <c r="A600" t="s">
        <v>653</v>
      </c>
      <c r="B600" t="s">
        <v>30</v>
      </c>
      <c r="C600" t="s">
        <v>48</v>
      </c>
      <c r="D600" t="s">
        <v>17</v>
      </c>
      <c r="E600" t="str">
        <f t="shared" si="36"/>
        <v>OS</v>
      </c>
      <c r="F600" t="s">
        <v>24</v>
      </c>
      <c r="G600" t="s">
        <v>35</v>
      </c>
      <c r="H600" s="8">
        <v>185.13</v>
      </c>
      <c r="I600" s="3">
        <f t="shared" si="37"/>
        <v>0</v>
      </c>
      <c r="J600" s="4">
        <v>0</v>
      </c>
      <c r="K600" s="11">
        <f>Table1[[#This Row],[original_price]]* (Table1[[#This Row],[Markdown percentage updated]])</f>
        <v>0</v>
      </c>
      <c r="L6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00" s="6">
        <v>185.13</v>
      </c>
      <c r="N6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00" s="7">
        <v>45786</v>
      </c>
      <c r="P600">
        <v>49</v>
      </c>
      <c r="Q600" s="16" t="str">
        <f>IF(Table1[[#This Row],[stock_quantity]]=0,"NO STOCK",
IF(Table1[[#This Row],[stock_quantity]]&lt;=10,"LOW STOCK",
"IN STOCK"))</f>
        <v>IN STOCK</v>
      </c>
      <c r="R600" s="1">
        <f t="shared" si="38"/>
        <v>4.9000000000000004</v>
      </c>
      <c r="S600">
        <v>4.9000000000000004</v>
      </c>
      <c r="T600" t="b">
        <v>0</v>
      </c>
      <c r="U600" t="str">
        <f t="shared" si="39"/>
        <v>No Return</v>
      </c>
    </row>
    <row r="601" spans="1:22" hidden="1" x14ac:dyDescent="0.3">
      <c r="A601" t="s">
        <v>654</v>
      </c>
      <c r="B601" t="s">
        <v>15</v>
      </c>
      <c r="C601" t="s">
        <v>43</v>
      </c>
      <c r="D601" t="s">
        <v>34</v>
      </c>
      <c r="E601" t="str">
        <f t="shared" si="36"/>
        <v>L</v>
      </c>
      <c r="F601" t="s">
        <v>24</v>
      </c>
      <c r="G601" t="s">
        <v>28</v>
      </c>
      <c r="H601" s="8">
        <v>132.58000000000001</v>
      </c>
      <c r="I601" s="3">
        <f t="shared" si="37"/>
        <v>0</v>
      </c>
      <c r="J601" s="4">
        <v>0</v>
      </c>
      <c r="K601" s="11">
        <f>Table1[[#This Row],[original_price]]* (Table1[[#This Row],[Markdown percentage updated]])</f>
        <v>0</v>
      </c>
      <c r="L6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01" s="6">
        <v>132.58000000000001</v>
      </c>
      <c r="N6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01" s="7">
        <v>45875</v>
      </c>
      <c r="P601">
        <v>45</v>
      </c>
      <c r="Q601" s="16" t="str">
        <f>IF(Table1[[#This Row],[stock_quantity]]=0,"NO STOCK",
IF(Table1[[#This Row],[stock_quantity]]&lt;=10,"LOW STOCK",
"IN STOCK"))</f>
        <v>IN STOCK</v>
      </c>
      <c r="R601" s="1">
        <f t="shared" si="38"/>
        <v>1.6</v>
      </c>
      <c r="S601">
        <v>1.6</v>
      </c>
      <c r="T601" t="b">
        <v>0</v>
      </c>
      <c r="U601" t="str">
        <f t="shared" si="39"/>
        <v>No Return</v>
      </c>
    </row>
    <row r="602" spans="1:22" hidden="1" x14ac:dyDescent="0.3">
      <c r="A602" t="s">
        <v>655</v>
      </c>
      <c r="B602" t="s">
        <v>38</v>
      </c>
      <c r="C602" t="s">
        <v>16</v>
      </c>
      <c r="D602" t="s">
        <v>34</v>
      </c>
      <c r="E602" t="str">
        <f t="shared" si="36"/>
        <v>XXL</v>
      </c>
      <c r="F602" t="s">
        <v>58</v>
      </c>
      <c r="G602" t="s">
        <v>35</v>
      </c>
      <c r="H602" s="8">
        <v>93.38</v>
      </c>
      <c r="I602" s="3">
        <f t="shared" si="37"/>
        <v>0</v>
      </c>
      <c r="J602" s="4">
        <v>0</v>
      </c>
      <c r="K602" s="11">
        <f>Table1[[#This Row],[original_price]]* (Table1[[#This Row],[Markdown percentage updated]])</f>
        <v>0</v>
      </c>
      <c r="L6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02" s="6">
        <v>93.38</v>
      </c>
      <c r="N6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02" s="7">
        <v>45875</v>
      </c>
      <c r="P602">
        <v>7</v>
      </c>
      <c r="Q602" s="17" t="str">
        <f>IF(Table1[[#This Row],[stock_quantity]]=0,"NO STOCK",
IF(Table1[[#This Row],[stock_quantity]]&lt;=10,"LOW STOCK",
"IN STOCK"))</f>
        <v>LOW STOCK</v>
      </c>
      <c r="R602" s="1">
        <f t="shared" si="38"/>
        <v>3.5</v>
      </c>
      <c r="S602">
        <v>3.5</v>
      </c>
      <c r="T602" t="b">
        <v>0</v>
      </c>
      <c r="U602" t="str">
        <f t="shared" si="39"/>
        <v>No Return</v>
      </c>
    </row>
    <row r="603" spans="1:22" hidden="1" x14ac:dyDescent="0.3">
      <c r="A603" t="s">
        <v>656</v>
      </c>
      <c r="B603" t="s">
        <v>27</v>
      </c>
      <c r="C603" t="s">
        <v>53</v>
      </c>
      <c r="D603" t="s">
        <v>34</v>
      </c>
      <c r="E603" t="str">
        <f t="shared" si="36"/>
        <v>OS</v>
      </c>
      <c r="G603" t="s">
        <v>28</v>
      </c>
      <c r="H603" s="8">
        <v>47.28</v>
      </c>
      <c r="I603" s="3">
        <f t="shared" si="37"/>
        <v>0</v>
      </c>
      <c r="J603" s="4">
        <v>0</v>
      </c>
      <c r="K603" s="11">
        <f>Table1[[#This Row],[original_price]]* (Table1[[#This Row],[Markdown percentage updated]])</f>
        <v>0</v>
      </c>
      <c r="L6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03" s="6">
        <v>47.28</v>
      </c>
      <c r="N6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03" s="7">
        <v>45875</v>
      </c>
      <c r="P603">
        <v>38</v>
      </c>
      <c r="Q603" s="16" t="str">
        <f>IF(Table1[[#This Row],[stock_quantity]]=0,"NO STOCK",
IF(Table1[[#This Row],[stock_quantity]]&lt;=10,"LOW STOCK",
"IN STOCK"))</f>
        <v>IN STOCK</v>
      </c>
      <c r="R603" s="1">
        <f t="shared" si="38"/>
        <v>4.2</v>
      </c>
      <c r="S603">
        <v>4.2</v>
      </c>
      <c r="T603" t="b">
        <v>0</v>
      </c>
      <c r="U603" t="str">
        <f t="shared" si="39"/>
        <v>No Return</v>
      </c>
    </row>
    <row r="604" spans="1:22" hidden="1" x14ac:dyDescent="0.3">
      <c r="A604" t="s">
        <v>657</v>
      </c>
      <c r="B604" t="s">
        <v>38</v>
      </c>
      <c r="C604" t="s">
        <v>32</v>
      </c>
      <c r="D604" t="s">
        <v>17</v>
      </c>
      <c r="E604" t="str">
        <f t="shared" si="36"/>
        <v>OS</v>
      </c>
      <c r="F604" t="s">
        <v>24</v>
      </c>
      <c r="G604" t="s">
        <v>46</v>
      </c>
      <c r="H604" s="8">
        <v>59.88</v>
      </c>
      <c r="I604" s="3">
        <f t="shared" si="37"/>
        <v>0</v>
      </c>
      <c r="J604" s="4">
        <v>0</v>
      </c>
      <c r="K604" s="11">
        <f>Table1[[#This Row],[original_price]]* (Table1[[#This Row],[Markdown percentage updated]])</f>
        <v>0</v>
      </c>
      <c r="L6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04" s="6">
        <v>59.88</v>
      </c>
      <c r="N6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04" s="7">
        <v>45577</v>
      </c>
      <c r="P604">
        <v>33</v>
      </c>
      <c r="Q604" s="16" t="str">
        <f>IF(Table1[[#This Row],[stock_quantity]]=0,"NO STOCK",
IF(Table1[[#This Row],[stock_quantity]]&lt;=10,"LOW STOCK",
"IN STOCK"))</f>
        <v>IN STOCK</v>
      </c>
      <c r="R604" s="1">
        <f t="shared" si="38"/>
        <v>2.9</v>
      </c>
      <c r="S604">
        <v>2.9</v>
      </c>
      <c r="T604" t="b">
        <v>0</v>
      </c>
      <c r="U604" t="str">
        <f t="shared" si="39"/>
        <v>No Return</v>
      </c>
    </row>
    <row r="605" spans="1:22" hidden="1" x14ac:dyDescent="0.3">
      <c r="A605" t="s">
        <v>658</v>
      </c>
      <c r="B605" t="s">
        <v>42</v>
      </c>
      <c r="C605" t="s">
        <v>48</v>
      </c>
      <c r="D605" t="s">
        <v>23</v>
      </c>
      <c r="E605" t="str">
        <f t="shared" si="36"/>
        <v>OS</v>
      </c>
      <c r="F605" t="s">
        <v>49</v>
      </c>
      <c r="G605" t="s">
        <v>28</v>
      </c>
      <c r="H605" s="8">
        <v>140.07</v>
      </c>
      <c r="I605" s="3">
        <f t="shared" si="37"/>
        <v>0</v>
      </c>
      <c r="J605" s="4">
        <v>0</v>
      </c>
      <c r="K605" s="11">
        <f>Table1[[#This Row],[original_price]]* (Table1[[#This Row],[Markdown percentage updated]])</f>
        <v>0</v>
      </c>
      <c r="L6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05" s="6">
        <v>140.07</v>
      </c>
      <c r="N6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05" s="7">
        <v>45875</v>
      </c>
      <c r="P605">
        <v>15</v>
      </c>
      <c r="Q605" s="16" t="str">
        <f>IF(Table1[[#This Row],[stock_quantity]]=0,"NO STOCK",
IF(Table1[[#This Row],[stock_quantity]]&lt;=10,"LOW STOCK",
"IN STOCK"))</f>
        <v>IN STOCK</v>
      </c>
      <c r="R605" s="1">
        <f t="shared" si="38"/>
        <v>2.7</v>
      </c>
      <c r="S605">
        <v>2.7</v>
      </c>
      <c r="T605" t="b">
        <v>0</v>
      </c>
      <c r="U605" t="str">
        <f t="shared" si="39"/>
        <v>No Return</v>
      </c>
    </row>
    <row r="606" spans="1:22" hidden="1" x14ac:dyDescent="0.3">
      <c r="A606" t="s">
        <v>659</v>
      </c>
      <c r="B606" t="s">
        <v>27</v>
      </c>
      <c r="C606" t="s">
        <v>22</v>
      </c>
      <c r="D606" t="s">
        <v>23</v>
      </c>
      <c r="E606" t="str">
        <f t="shared" si="36"/>
        <v>M</v>
      </c>
      <c r="G606" t="s">
        <v>28</v>
      </c>
      <c r="H606" s="8">
        <v>66.599999999999994</v>
      </c>
      <c r="I606" s="3">
        <f t="shared" si="37"/>
        <v>0</v>
      </c>
      <c r="J606" s="4">
        <v>0</v>
      </c>
      <c r="K606" s="11">
        <f>Table1[[#This Row],[original_price]]* (Table1[[#This Row],[Markdown percentage updated]])</f>
        <v>0</v>
      </c>
      <c r="L6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06" s="6">
        <v>66.599999999999994</v>
      </c>
      <c r="N6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06" s="7">
        <v>45875</v>
      </c>
      <c r="P606">
        <v>47</v>
      </c>
      <c r="Q606" s="16" t="str">
        <f>IF(Table1[[#This Row],[stock_quantity]]=0,"NO STOCK",
IF(Table1[[#This Row],[stock_quantity]]&lt;=10,"LOW STOCK",
"IN STOCK"))</f>
        <v>IN STOCK</v>
      </c>
      <c r="R606" s="1">
        <f t="shared" si="38"/>
        <v>4</v>
      </c>
      <c r="S606">
        <v>4</v>
      </c>
      <c r="T606" t="b">
        <v>0</v>
      </c>
      <c r="U606" t="str">
        <f t="shared" si="39"/>
        <v>No Return</v>
      </c>
    </row>
    <row r="607" spans="1:22" hidden="1" x14ac:dyDescent="0.3">
      <c r="A607" t="s">
        <v>660</v>
      </c>
      <c r="B607" t="s">
        <v>27</v>
      </c>
      <c r="C607" t="s">
        <v>61</v>
      </c>
      <c r="D607" t="s">
        <v>62</v>
      </c>
      <c r="E607" t="str">
        <f t="shared" si="36"/>
        <v>OS</v>
      </c>
      <c r="G607" t="s">
        <v>66</v>
      </c>
      <c r="H607" s="8">
        <v>39.82</v>
      </c>
      <c r="I607" s="3">
        <f t="shared" si="37"/>
        <v>0.35399999999999998</v>
      </c>
      <c r="J607" s="4">
        <v>35.4</v>
      </c>
      <c r="K607" s="11">
        <f>Table1[[#This Row],[original_price]]* (Table1[[#This Row],[Markdown percentage updated]])</f>
        <v>14.09628</v>
      </c>
      <c r="L6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07" s="6">
        <v>25.72</v>
      </c>
      <c r="N6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607" s="7">
        <v>45875</v>
      </c>
      <c r="P607">
        <v>9</v>
      </c>
      <c r="Q607" s="17" t="str">
        <f>IF(Table1[[#This Row],[stock_quantity]]=0,"NO STOCK",
IF(Table1[[#This Row],[stock_quantity]]&lt;=10,"LOW STOCK",
"IN STOCK"))</f>
        <v>LOW STOCK</v>
      </c>
      <c r="R607" s="1">
        <f t="shared" si="38"/>
        <v>4.5999999999999996</v>
      </c>
      <c r="S607">
        <v>4.5999999999999996</v>
      </c>
      <c r="T607" t="b">
        <v>0</v>
      </c>
      <c r="U607" t="str">
        <f t="shared" si="39"/>
        <v>No Return</v>
      </c>
    </row>
    <row r="608" spans="1:22" hidden="1" x14ac:dyDescent="0.3">
      <c r="A608" t="s">
        <v>661</v>
      </c>
      <c r="B608" t="s">
        <v>27</v>
      </c>
      <c r="C608" t="s">
        <v>16</v>
      </c>
      <c r="D608" t="s">
        <v>34</v>
      </c>
      <c r="E608" t="str">
        <f t="shared" si="36"/>
        <v>XL</v>
      </c>
      <c r="G608" t="s">
        <v>19</v>
      </c>
      <c r="H608" s="8">
        <v>70.739999999999995</v>
      </c>
      <c r="I608" s="3">
        <f t="shared" si="37"/>
        <v>0</v>
      </c>
      <c r="J608" s="4">
        <v>0</v>
      </c>
      <c r="K608" s="11">
        <f>Table1[[#This Row],[original_price]]* (Table1[[#This Row],[Markdown percentage updated]])</f>
        <v>0</v>
      </c>
      <c r="L6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08" s="6">
        <v>70.739999999999995</v>
      </c>
      <c r="N6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08" s="7">
        <v>45875</v>
      </c>
      <c r="P608">
        <v>49</v>
      </c>
      <c r="Q608" s="16" t="str">
        <f>IF(Table1[[#This Row],[stock_quantity]]=0,"NO STOCK",
IF(Table1[[#This Row],[stock_quantity]]&lt;=10,"LOW STOCK",
"IN STOCK"))</f>
        <v>IN STOCK</v>
      </c>
      <c r="R608" s="1">
        <f t="shared" si="38"/>
        <v>1.8</v>
      </c>
      <c r="S608">
        <v>1.8</v>
      </c>
      <c r="T608" t="b">
        <v>0</v>
      </c>
      <c r="U608" t="str">
        <f t="shared" si="39"/>
        <v>No Return</v>
      </c>
    </row>
    <row r="609" spans="1:22" hidden="1" x14ac:dyDescent="0.3">
      <c r="A609" t="s">
        <v>662</v>
      </c>
      <c r="B609" t="s">
        <v>42</v>
      </c>
      <c r="C609" t="s">
        <v>16</v>
      </c>
      <c r="D609" t="s">
        <v>17</v>
      </c>
      <c r="E609" t="str">
        <f t="shared" si="36"/>
        <v>XL</v>
      </c>
      <c r="F609" t="s">
        <v>58</v>
      </c>
      <c r="G609" t="s">
        <v>19</v>
      </c>
      <c r="H609" s="8">
        <v>95.33</v>
      </c>
      <c r="I609" s="3">
        <f t="shared" si="37"/>
        <v>0</v>
      </c>
      <c r="J609" s="4">
        <v>0</v>
      </c>
      <c r="K609" s="11">
        <f>Table1[[#This Row],[original_price]]* (Table1[[#This Row],[Markdown percentage updated]])</f>
        <v>0</v>
      </c>
      <c r="L6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09" s="6">
        <v>95.33</v>
      </c>
      <c r="N6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09" s="7">
        <v>45815</v>
      </c>
      <c r="P609">
        <v>36</v>
      </c>
      <c r="Q609" s="16" t="str">
        <f>IF(Table1[[#This Row],[stock_quantity]]=0,"NO STOCK",
IF(Table1[[#This Row],[stock_quantity]]&lt;=10,"LOW STOCK",
"IN STOCK"))</f>
        <v>IN STOCK</v>
      </c>
      <c r="R609" s="1">
        <f t="shared" si="38"/>
        <v>0</v>
      </c>
      <c r="T609" t="b">
        <v>1</v>
      </c>
      <c r="U609" s="13" t="str">
        <f t="shared" si="39"/>
        <v>Quality Issue</v>
      </c>
      <c r="V609" t="s">
        <v>83</v>
      </c>
    </row>
    <row r="610" spans="1:22" hidden="1" x14ac:dyDescent="0.3">
      <c r="A610" t="s">
        <v>663</v>
      </c>
      <c r="B610" t="s">
        <v>27</v>
      </c>
      <c r="C610" t="s">
        <v>75</v>
      </c>
      <c r="D610" t="s">
        <v>17</v>
      </c>
      <c r="E610" t="str">
        <f t="shared" si="36"/>
        <v>XXL</v>
      </c>
      <c r="G610" t="s">
        <v>19</v>
      </c>
      <c r="H610" s="8">
        <v>32.619999999999997</v>
      </c>
      <c r="I610" s="3">
        <f t="shared" si="37"/>
        <v>0.29100000000000004</v>
      </c>
      <c r="J610" s="4">
        <v>29.1</v>
      </c>
      <c r="K610" s="11">
        <f>Table1[[#This Row],[original_price]]* (Table1[[#This Row],[Markdown percentage updated]])</f>
        <v>9.492420000000001</v>
      </c>
      <c r="L6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610" s="6">
        <v>23.13</v>
      </c>
      <c r="N6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10" s="7">
        <v>45865</v>
      </c>
      <c r="P610">
        <v>9</v>
      </c>
      <c r="Q610" s="17" t="str">
        <f>IF(Table1[[#This Row],[stock_quantity]]=0,"NO STOCK",
IF(Table1[[#This Row],[stock_quantity]]&lt;=10,"LOW STOCK",
"IN STOCK"))</f>
        <v>LOW STOCK</v>
      </c>
      <c r="R610" s="1">
        <f t="shared" si="38"/>
        <v>1.4</v>
      </c>
      <c r="S610">
        <v>1.4</v>
      </c>
      <c r="T610" t="b">
        <v>0</v>
      </c>
      <c r="U610" t="str">
        <f t="shared" si="39"/>
        <v>No Return</v>
      </c>
    </row>
    <row r="611" spans="1:22" hidden="1" x14ac:dyDescent="0.3">
      <c r="A611" t="s">
        <v>664</v>
      </c>
      <c r="B611" t="s">
        <v>38</v>
      </c>
      <c r="C611" t="s">
        <v>43</v>
      </c>
      <c r="D611" t="s">
        <v>62</v>
      </c>
      <c r="E611" t="str">
        <f t="shared" si="36"/>
        <v>OS</v>
      </c>
      <c r="F611" t="s">
        <v>18</v>
      </c>
      <c r="G611" t="s">
        <v>66</v>
      </c>
      <c r="H611" s="8">
        <v>41.07</v>
      </c>
      <c r="I611" s="3">
        <f t="shared" si="37"/>
        <v>0</v>
      </c>
      <c r="J611" s="4">
        <v>0</v>
      </c>
      <c r="K611" s="11">
        <f>Table1[[#This Row],[original_price]]* (Table1[[#This Row],[Markdown percentage updated]])</f>
        <v>0</v>
      </c>
      <c r="L6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11" s="6">
        <v>41.07</v>
      </c>
      <c r="N6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11" s="7">
        <v>45875</v>
      </c>
      <c r="P611">
        <v>10</v>
      </c>
      <c r="Q611" s="17" t="str">
        <f>IF(Table1[[#This Row],[stock_quantity]]=0,"NO STOCK",
IF(Table1[[#This Row],[stock_quantity]]&lt;=10,"LOW STOCK",
"IN STOCK"))</f>
        <v>LOW STOCK</v>
      </c>
      <c r="R611" s="1">
        <f t="shared" si="38"/>
        <v>4.8</v>
      </c>
      <c r="S611">
        <v>4.8</v>
      </c>
      <c r="T611" t="b">
        <v>0</v>
      </c>
      <c r="U611" t="str">
        <f t="shared" si="39"/>
        <v>No Return</v>
      </c>
    </row>
    <row r="612" spans="1:22" hidden="1" x14ac:dyDescent="0.3">
      <c r="A612" t="s">
        <v>665</v>
      </c>
      <c r="B612" t="s">
        <v>38</v>
      </c>
      <c r="C612" t="s">
        <v>16</v>
      </c>
      <c r="D612" t="s">
        <v>23</v>
      </c>
      <c r="E612" t="str">
        <f t="shared" si="36"/>
        <v>OS</v>
      </c>
      <c r="F612" t="s">
        <v>18</v>
      </c>
      <c r="G612" t="s">
        <v>40</v>
      </c>
      <c r="H612" s="8">
        <v>43.1</v>
      </c>
      <c r="I612" s="3">
        <f t="shared" si="37"/>
        <v>0</v>
      </c>
      <c r="J612" s="4">
        <v>0</v>
      </c>
      <c r="K612" s="11">
        <f>Table1[[#This Row],[original_price]]* (Table1[[#This Row],[Markdown percentage updated]])</f>
        <v>0</v>
      </c>
      <c r="L6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12" s="6">
        <v>43.1</v>
      </c>
      <c r="N6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12" s="7">
        <v>45875</v>
      </c>
      <c r="P612">
        <v>34</v>
      </c>
      <c r="Q612" s="16" t="str">
        <f>IF(Table1[[#This Row],[stock_quantity]]=0,"NO STOCK",
IF(Table1[[#This Row],[stock_quantity]]&lt;=10,"LOW STOCK",
"IN STOCK"))</f>
        <v>IN STOCK</v>
      </c>
      <c r="R612" s="1">
        <f t="shared" si="38"/>
        <v>4.9000000000000004</v>
      </c>
      <c r="S612">
        <v>4.9000000000000004</v>
      </c>
      <c r="T612" t="b">
        <v>0</v>
      </c>
      <c r="U612" t="str">
        <f t="shared" si="39"/>
        <v>No Return</v>
      </c>
    </row>
    <row r="613" spans="1:22" hidden="1" x14ac:dyDescent="0.3">
      <c r="A613" t="s">
        <v>666</v>
      </c>
      <c r="B613" t="s">
        <v>15</v>
      </c>
      <c r="C613" t="s">
        <v>53</v>
      </c>
      <c r="D613" t="s">
        <v>23</v>
      </c>
      <c r="E613" t="str">
        <f t="shared" si="36"/>
        <v>OS</v>
      </c>
      <c r="F613" t="s">
        <v>49</v>
      </c>
      <c r="G613" t="s">
        <v>64</v>
      </c>
      <c r="H613" s="8">
        <v>102.03</v>
      </c>
      <c r="I613" s="3">
        <f t="shared" si="37"/>
        <v>0.27899999999999997</v>
      </c>
      <c r="J613" s="4">
        <v>27.9</v>
      </c>
      <c r="K613" s="11">
        <f>Table1[[#This Row],[original_price]]* (Table1[[#This Row],[Markdown percentage updated]])</f>
        <v>28.466369999999998</v>
      </c>
      <c r="L6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613" s="6">
        <v>73.56</v>
      </c>
      <c r="N6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13" s="7">
        <v>45875</v>
      </c>
      <c r="P613">
        <v>21</v>
      </c>
      <c r="Q613" s="16" t="str">
        <f>IF(Table1[[#This Row],[stock_quantity]]=0,"NO STOCK",
IF(Table1[[#This Row],[stock_quantity]]&lt;=10,"LOW STOCK",
"IN STOCK"))</f>
        <v>IN STOCK</v>
      </c>
      <c r="R613" s="1">
        <f t="shared" si="38"/>
        <v>2.2000000000000002</v>
      </c>
      <c r="S613">
        <v>2.2000000000000002</v>
      </c>
      <c r="T613" t="b">
        <v>1</v>
      </c>
      <c r="U613" s="13" t="str">
        <f t="shared" si="39"/>
        <v>Size Issue</v>
      </c>
      <c r="V613" t="s">
        <v>73</v>
      </c>
    </row>
    <row r="614" spans="1:22" hidden="1" x14ac:dyDescent="0.3">
      <c r="A614" t="s">
        <v>667</v>
      </c>
      <c r="B614" t="s">
        <v>27</v>
      </c>
      <c r="C614" t="s">
        <v>43</v>
      </c>
      <c r="D614" t="s">
        <v>23</v>
      </c>
      <c r="E614" t="str">
        <f t="shared" si="36"/>
        <v>M</v>
      </c>
      <c r="G614" t="s">
        <v>19</v>
      </c>
      <c r="H614" s="8">
        <v>54.11</v>
      </c>
      <c r="I614" s="3">
        <f t="shared" si="37"/>
        <v>0</v>
      </c>
      <c r="J614" s="4">
        <v>0</v>
      </c>
      <c r="K614" s="11">
        <f>Table1[[#This Row],[original_price]]* (Table1[[#This Row],[Markdown percentage updated]])</f>
        <v>0</v>
      </c>
      <c r="L6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14" s="6">
        <v>54.11</v>
      </c>
      <c r="N6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14" s="7">
        <v>45875</v>
      </c>
      <c r="P614">
        <v>15</v>
      </c>
      <c r="Q614" s="16" t="str">
        <f>IF(Table1[[#This Row],[stock_quantity]]=0,"NO STOCK",
IF(Table1[[#This Row],[stock_quantity]]&lt;=10,"LOW STOCK",
"IN STOCK"))</f>
        <v>IN STOCK</v>
      </c>
      <c r="R614" s="1">
        <f t="shared" si="38"/>
        <v>2.6</v>
      </c>
      <c r="S614">
        <v>2.6</v>
      </c>
      <c r="T614" t="b">
        <v>0</v>
      </c>
      <c r="U614" t="str">
        <f t="shared" si="39"/>
        <v>No Return</v>
      </c>
    </row>
    <row r="615" spans="1:22" hidden="1" x14ac:dyDescent="0.3">
      <c r="A615" t="s">
        <v>668</v>
      </c>
      <c r="B615" t="s">
        <v>27</v>
      </c>
      <c r="C615" t="s">
        <v>43</v>
      </c>
      <c r="D615" t="s">
        <v>23</v>
      </c>
      <c r="E615" t="str">
        <f t="shared" si="36"/>
        <v>OS</v>
      </c>
      <c r="G615" t="s">
        <v>66</v>
      </c>
      <c r="H615" s="8">
        <v>43.5</v>
      </c>
      <c r="I615" s="3">
        <f t="shared" si="37"/>
        <v>0</v>
      </c>
      <c r="J615" s="4">
        <v>0</v>
      </c>
      <c r="K615" s="11">
        <f>Table1[[#This Row],[original_price]]* (Table1[[#This Row],[Markdown percentage updated]])</f>
        <v>0</v>
      </c>
      <c r="L6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15" s="6">
        <v>43.5</v>
      </c>
      <c r="N6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15" s="7">
        <v>45875</v>
      </c>
      <c r="P615">
        <v>35</v>
      </c>
      <c r="Q615" s="16" t="str">
        <f>IF(Table1[[#This Row],[stock_quantity]]=0,"NO STOCK",
IF(Table1[[#This Row],[stock_quantity]]&lt;=10,"LOW STOCK",
"IN STOCK"))</f>
        <v>IN STOCK</v>
      </c>
      <c r="R615" s="1">
        <f t="shared" si="38"/>
        <v>2.8</v>
      </c>
      <c r="S615">
        <v>2.8</v>
      </c>
      <c r="T615" t="b">
        <v>0</v>
      </c>
      <c r="U615" t="str">
        <f t="shared" si="39"/>
        <v>No Return</v>
      </c>
    </row>
    <row r="616" spans="1:22" hidden="1" x14ac:dyDescent="0.3">
      <c r="A616" t="s">
        <v>669</v>
      </c>
      <c r="B616" t="s">
        <v>27</v>
      </c>
      <c r="C616" t="s">
        <v>32</v>
      </c>
      <c r="D616" t="s">
        <v>23</v>
      </c>
      <c r="E616" t="str">
        <f t="shared" si="36"/>
        <v>XS</v>
      </c>
      <c r="G616" t="s">
        <v>25</v>
      </c>
      <c r="H616" s="8">
        <v>66</v>
      </c>
      <c r="I616" s="3">
        <f t="shared" si="37"/>
        <v>0</v>
      </c>
      <c r="J616" s="4">
        <v>0</v>
      </c>
      <c r="K616" s="11">
        <f>Table1[[#This Row],[original_price]]* (Table1[[#This Row],[Markdown percentage updated]])</f>
        <v>0</v>
      </c>
      <c r="L6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16" s="6">
        <v>66</v>
      </c>
      <c r="N6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16" s="7">
        <v>45875</v>
      </c>
      <c r="P616">
        <v>19</v>
      </c>
      <c r="Q616" s="16" t="str">
        <f>IF(Table1[[#This Row],[stock_quantity]]=0,"NO STOCK",
IF(Table1[[#This Row],[stock_quantity]]&lt;=10,"LOW STOCK",
"IN STOCK"))</f>
        <v>IN STOCK</v>
      </c>
      <c r="R616" s="1">
        <f t="shared" si="38"/>
        <v>2.6</v>
      </c>
      <c r="S616">
        <v>2.6</v>
      </c>
      <c r="T616" t="b">
        <v>0</v>
      </c>
      <c r="U616" t="str">
        <f t="shared" si="39"/>
        <v>No Return</v>
      </c>
    </row>
    <row r="617" spans="1:22" hidden="1" x14ac:dyDescent="0.3">
      <c r="A617" t="s">
        <v>670</v>
      </c>
      <c r="B617" t="s">
        <v>38</v>
      </c>
      <c r="C617" t="s">
        <v>32</v>
      </c>
      <c r="D617" t="s">
        <v>62</v>
      </c>
      <c r="E617" t="str">
        <f t="shared" si="36"/>
        <v>XL</v>
      </c>
      <c r="F617" t="s">
        <v>58</v>
      </c>
      <c r="G617" t="s">
        <v>35</v>
      </c>
      <c r="H617" s="8">
        <v>38.85</v>
      </c>
      <c r="I617" s="3">
        <f t="shared" si="37"/>
        <v>0</v>
      </c>
      <c r="J617" s="4">
        <v>0</v>
      </c>
      <c r="K617" s="11">
        <f>Table1[[#This Row],[original_price]]* (Table1[[#This Row],[Markdown percentage updated]])</f>
        <v>0</v>
      </c>
      <c r="L6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17" s="6">
        <v>38.85</v>
      </c>
      <c r="N6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17" s="7">
        <v>45875</v>
      </c>
      <c r="P617">
        <v>10</v>
      </c>
      <c r="Q617" s="17" t="str">
        <f>IF(Table1[[#This Row],[stock_quantity]]=0,"NO STOCK",
IF(Table1[[#This Row],[stock_quantity]]&lt;=10,"LOW STOCK",
"IN STOCK"))</f>
        <v>LOW STOCK</v>
      </c>
      <c r="R617" s="1">
        <f t="shared" si="38"/>
        <v>3.8</v>
      </c>
      <c r="S617">
        <v>3.8</v>
      </c>
      <c r="T617" t="b">
        <v>0</v>
      </c>
      <c r="U617" t="str">
        <f t="shared" si="39"/>
        <v>No Return</v>
      </c>
    </row>
    <row r="618" spans="1:22" hidden="1" x14ac:dyDescent="0.3">
      <c r="A618" t="s">
        <v>671</v>
      </c>
      <c r="B618" t="s">
        <v>27</v>
      </c>
      <c r="C618" t="s">
        <v>16</v>
      </c>
      <c r="D618" t="s">
        <v>62</v>
      </c>
      <c r="E618" t="str">
        <f t="shared" si="36"/>
        <v>XXL</v>
      </c>
      <c r="G618" t="s">
        <v>56</v>
      </c>
      <c r="H618" s="8">
        <v>61.29</v>
      </c>
      <c r="I618" s="3">
        <f t="shared" si="37"/>
        <v>0</v>
      </c>
      <c r="J618" s="4">
        <v>0</v>
      </c>
      <c r="K618" s="11">
        <f>Table1[[#This Row],[original_price]]* (Table1[[#This Row],[Markdown percentage updated]])</f>
        <v>0</v>
      </c>
      <c r="L6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18" s="6">
        <v>61.29</v>
      </c>
      <c r="N6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18" s="7">
        <v>45875</v>
      </c>
      <c r="P618">
        <v>15</v>
      </c>
      <c r="Q618" s="16" t="str">
        <f>IF(Table1[[#This Row],[stock_quantity]]=0,"NO STOCK",
IF(Table1[[#This Row],[stock_quantity]]&lt;=10,"LOW STOCK",
"IN STOCK"))</f>
        <v>IN STOCK</v>
      </c>
      <c r="R618" s="1">
        <f t="shared" si="38"/>
        <v>4</v>
      </c>
      <c r="S618">
        <v>4</v>
      </c>
      <c r="T618" t="b">
        <v>0</v>
      </c>
      <c r="U618" t="str">
        <f t="shared" si="39"/>
        <v>No Return</v>
      </c>
    </row>
    <row r="619" spans="1:22" hidden="1" x14ac:dyDescent="0.3">
      <c r="A619" t="s">
        <v>672</v>
      </c>
      <c r="B619" t="s">
        <v>38</v>
      </c>
      <c r="C619" t="s">
        <v>48</v>
      </c>
      <c r="D619" t="s">
        <v>17</v>
      </c>
      <c r="E619" t="str">
        <f t="shared" si="36"/>
        <v>XS</v>
      </c>
      <c r="F619" t="s">
        <v>55</v>
      </c>
      <c r="G619" t="s">
        <v>56</v>
      </c>
      <c r="H619" s="8">
        <v>90.66</v>
      </c>
      <c r="I619" s="3">
        <f t="shared" si="37"/>
        <v>0</v>
      </c>
      <c r="J619" s="4">
        <v>0</v>
      </c>
      <c r="K619" s="11">
        <f>Table1[[#This Row],[original_price]]* (Table1[[#This Row],[Markdown percentage updated]])</f>
        <v>0</v>
      </c>
      <c r="L6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19" s="6">
        <v>90.66</v>
      </c>
      <c r="N6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19" s="7">
        <v>45736</v>
      </c>
      <c r="P619">
        <v>49</v>
      </c>
      <c r="Q619" s="16" t="str">
        <f>IF(Table1[[#This Row],[stock_quantity]]=0,"NO STOCK",
IF(Table1[[#This Row],[stock_quantity]]&lt;=10,"LOW STOCK",
"IN STOCK"))</f>
        <v>IN STOCK</v>
      </c>
      <c r="R619" s="1">
        <f t="shared" si="38"/>
        <v>2.4</v>
      </c>
      <c r="S619">
        <v>2.4</v>
      </c>
      <c r="T619" t="b">
        <v>1</v>
      </c>
      <c r="U619" s="13" t="str">
        <f t="shared" si="39"/>
        <v>Color Mismatch</v>
      </c>
      <c r="V619" t="s">
        <v>36</v>
      </c>
    </row>
    <row r="620" spans="1:22" hidden="1" x14ac:dyDescent="0.3">
      <c r="A620" t="s">
        <v>673</v>
      </c>
      <c r="B620" t="s">
        <v>42</v>
      </c>
      <c r="C620" t="s">
        <v>43</v>
      </c>
      <c r="D620" t="s">
        <v>34</v>
      </c>
      <c r="E620" t="str">
        <f t="shared" si="36"/>
        <v>OS</v>
      </c>
      <c r="F620" t="s">
        <v>18</v>
      </c>
      <c r="G620" t="s">
        <v>46</v>
      </c>
      <c r="H620" s="8">
        <v>119.96</v>
      </c>
      <c r="I620" s="3">
        <f t="shared" si="37"/>
        <v>0</v>
      </c>
      <c r="J620" s="4">
        <v>0</v>
      </c>
      <c r="K620" s="11">
        <f>Table1[[#This Row],[original_price]]* (Table1[[#This Row],[Markdown percentage updated]])</f>
        <v>0</v>
      </c>
      <c r="L6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20" s="6">
        <v>119.96</v>
      </c>
      <c r="N6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20" s="7">
        <v>45875</v>
      </c>
      <c r="P620">
        <v>5</v>
      </c>
      <c r="Q620" s="17" t="str">
        <f>IF(Table1[[#This Row],[stock_quantity]]=0,"NO STOCK",
IF(Table1[[#This Row],[stock_quantity]]&lt;=10,"LOW STOCK",
"IN STOCK"))</f>
        <v>LOW STOCK</v>
      </c>
      <c r="R620" s="1">
        <f t="shared" si="38"/>
        <v>5</v>
      </c>
      <c r="S620">
        <v>5</v>
      </c>
      <c r="T620" t="b">
        <v>0</v>
      </c>
      <c r="U620" t="str">
        <f t="shared" si="39"/>
        <v>No Return</v>
      </c>
    </row>
    <row r="621" spans="1:22" hidden="1" x14ac:dyDescent="0.3">
      <c r="A621" t="s">
        <v>674</v>
      </c>
      <c r="B621" t="s">
        <v>30</v>
      </c>
      <c r="C621" t="s">
        <v>75</v>
      </c>
      <c r="D621" t="s">
        <v>34</v>
      </c>
      <c r="E621" t="str">
        <f t="shared" si="36"/>
        <v>OS</v>
      </c>
      <c r="F621" t="s">
        <v>49</v>
      </c>
      <c r="G621" t="s">
        <v>19</v>
      </c>
      <c r="H621" s="8">
        <v>130.21</v>
      </c>
      <c r="I621" s="3">
        <f t="shared" si="37"/>
        <v>0</v>
      </c>
      <c r="J621" s="4">
        <v>0</v>
      </c>
      <c r="K621" s="11">
        <f>Table1[[#This Row],[original_price]]* (Table1[[#This Row],[Markdown percentage updated]])</f>
        <v>0</v>
      </c>
      <c r="L6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21" s="6">
        <v>130.21</v>
      </c>
      <c r="N6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21" s="7">
        <v>45875</v>
      </c>
      <c r="P621">
        <v>50</v>
      </c>
      <c r="Q621" s="16" t="str">
        <f>IF(Table1[[#This Row],[stock_quantity]]=0,"NO STOCK",
IF(Table1[[#This Row],[stock_quantity]]&lt;=10,"LOW STOCK",
"IN STOCK"))</f>
        <v>IN STOCK</v>
      </c>
      <c r="R621" s="1">
        <f t="shared" si="38"/>
        <v>4.7</v>
      </c>
      <c r="S621">
        <v>4.7</v>
      </c>
      <c r="T621" t="b">
        <v>0</v>
      </c>
      <c r="U621" t="str">
        <f t="shared" si="39"/>
        <v>No Return</v>
      </c>
    </row>
    <row r="622" spans="1:22" hidden="1" x14ac:dyDescent="0.3">
      <c r="A622" t="s">
        <v>675</v>
      </c>
      <c r="B622" t="s">
        <v>21</v>
      </c>
      <c r="C622" t="s">
        <v>32</v>
      </c>
      <c r="D622" t="s">
        <v>23</v>
      </c>
      <c r="E622" t="str">
        <f t="shared" si="36"/>
        <v>OS</v>
      </c>
      <c r="F622" t="s">
        <v>55</v>
      </c>
      <c r="G622" t="s">
        <v>19</v>
      </c>
      <c r="H622" s="8">
        <v>49.68</v>
      </c>
      <c r="I622" s="3">
        <f t="shared" si="37"/>
        <v>0</v>
      </c>
      <c r="J622" s="4">
        <v>0</v>
      </c>
      <c r="K622" s="11">
        <f>Table1[[#This Row],[original_price]]* (Table1[[#This Row],[Markdown percentage updated]])</f>
        <v>0</v>
      </c>
      <c r="L6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22" s="6">
        <v>49.68</v>
      </c>
      <c r="N6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22" s="7">
        <v>45875</v>
      </c>
      <c r="P622">
        <v>15</v>
      </c>
      <c r="Q622" s="16" t="str">
        <f>IF(Table1[[#This Row],[stock_quantity]]=0,"NO STOCK",
IF(Table1[[#This Row],[stock_quantity]]&lt;=10,"LOW STOCK",
"IN STOCK"))</f>
        <v>IN STOCK</v>
      </c>
      <c r="R622" s="1">
        <f t="shared" si="38"/>
        <v>2.8</v>
      </c>
      <c r="S622">
        <v>2.8</v>
      </c>
      <c r="T622" t="b">
        <v>0</v>
      </c>
      <c r="U622" t="str">
        <f t="shared" si="39"/>
        <v>No Return</v>
      </c>
    </row>
    <row r="623" spans="1:22" hidden="1" x14ac:dyDescent="0.3">
      <c r="A623" t="s">
        <v>676</v>
      </c>
      <c r="B623" t="s">
        <v>27</v>
      </c>
      <c r="C623" t="s">
        <v>16</v>
      </c>
      <c r="D623" t="s">
        <v>17</v>
      </c>
      <c r="E623" t="str">
        <f t="shared" si="36"/>
        <v>S</v>
      </c>
      <c r="G623" t="s">
        <v>66</v>
      </c>
      <c r="H623" s="8">
        <v>46.58</v>
      </c>
      <c r="I623" s="3">
        <f t="shared" si="37"/>
        <v>0</v>
      </c>
      <c r="J623" s="4">
        <v>0</v>
      </c>
      <c r="K623" s="11">
        <f>Table1[[#This Row],[original_price]]* (Table1[[#This Row],[Markdown percentage updated]])</f>
        <v>0</v>
      </c>
      <c r="L6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23" s="6">
        <v>46.58</v>
      </c>
      <c r="N6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23" s="7">
        <v>45560</v>
      </c>
      <c r="P623">
        <v>42</v>
      </c>
      <c r="Q623" s="16" t="str">
        <f>IF(Table1[[#This Row],[stock_quantity]]=0,"NO STOCK",
IF(Table1[[#This Row],[stock_quantity]]&lt;=10,"LOW STOCK",
"IN STOCK"))</f>
        <v>IN STOCK</v>
      </c>
      <c r="R623" s="1">
        <f t="shared" si="38"/>
        <v>1.7</v>
      </c>
      <c r="S623">
        <v>1.7</v>
      </c>
      <c r="T623" t="b">
        <v>0</v>
      </c>
      <c r="U623" t="str">
        <f t="shared" si="39"/>
        <v>No Return</v>
      </c>
    </row>
    <row r="624" spans="1:22" hidden="1" x14ac:dyDescent="0.3">
      <c r="A624" t="s">
        <v>677</v>
      </c>
      <c r="B624" t="s">
        <v>27</v>
      </c>
      <c r="C624" t="s">
        <v>43</v>
      </c>
      <c r="D624" t="s">
        <v>62</v>
      </c>
      <c r="E624" t="str">
        <f t="shared" si="36"/>
        <v>M</v>
      </c>
      <c r="G624" t="s">
        <v>70</v>
      </c>
      <c r="H624" s="8">
        <v>69.88</v>
      </c>
      <c r="I624" s="3">
        <f t="shared" si="37"/>
        <v>0</v>
      </c>
      <c r="J624" s="4">
        <v>0</v>
      </c>
      <c r="K624" s="11">
        <f>Table1[[#This Row],[original_price]]* (Table1[[#This Row],[Markdown percentage updated]])</f>
        <v>0</v>
      </c>
      <c r="L6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24" s="6">
        <v>69.88</v>
      </c>
      <c r="N6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24" s="7">
        <v>45875</v>
      </c>
      <c r="P624">
        <v>8</v>
      </c>
      <c r="Q624" s="17" t="str">
        <f>IF(Table1[[#This Row],[stock_quantity]]=0,"NO STOCK",
IF(Table1[[#This Row],[stock_quantity]]&lt;=10,"LOW STOCK",
"IN STOCK"))</f>
        <v>LOW STOCK</v>
      </c>
      <c r="R624" s="1">
        <f t="shared" si="38"/>
        <v>2.8</v>
      </c>
      <c r="S624">
        <v>2.8</v>
      </c>
      <c r="T624" t="b">
        <v>0</v>
      </c>
      <c r="U624" t="str">
        <f t="shared" si="39"/>
        <v>No Return</v>
      </c>
    </row>
    <row r="625" spans="1:22" hidden="1" x14ac:dyDescent="0.3">
      <c r="A625" t="s">
        <v>678</v>
      </c>
      <c r="B625" t="s">
        <v>27</v>
      </c>
      <c r="C625" t="s">
        <v>75</v>
      </c>
      <c r="D625" t="s">
        <v>34</v>
      </c>
      <c r="E625" t="str">
        <f t="shared" si="36"/>
        <v>S</v>
      </c>
      <c r="G625" t="s">
        <v>46</v>
      </c>
      <c r="H625" s="8">
        <v>32.15</v>
      </c>
      <c r="I625" s="3">
        <f t="shared" si="37"/>
        <v>0</v>
      </c>
      <c r="J625" s="4">
        <v>0</v>
      </c>
      <c r="K625" s="11">
        <f>Table1[[#This Row],[original_price]]* (Table1[[#This Row],[Markdown percentage updated]])</f>
        <v>0</v>
      </c>
      <c r="L6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25" s="6">
        <v>32.15</v>
      </c>
      <c r="N6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25" s="7">
        <v>45875</v>
      </c>
      <c r="P625">
        <v>17</v>
      </c>
      <c r="Q625" s="16" t="str">
        <f>IF(Table1[[#This Row],[stock_quantity]]=0,"NO STOCK",
IF(Table1[[#This Row],[stock_quantity]]&lt;=10,"LOW STOCK",
"IN STOCK"))</f>
        <v>IN STOCK</v>
      </c>
      <c r="R625" s="1">
        <f t="shared" si="38"/>
        <v>1.9</v>
      </c>
      <c r="S625">
        <v>1.9</v>
      </c>
      <c r="T625" t="b">
        <v>1</v>
      </c>
      <c r="U625" s="13" t="str">
        <f t="shared" si="39"/>
        <v>Quality Issue</v>
      </c>
      <c r="V625" t="s">
        <v>83</v>
      </c>
    </row>
    <row r="626" spans="1:22" hidden="1" x14ac:dyDescent="0.3">
      <c r="A626" t="s">
        <v>679</v>
      </c>
      <c r="B626" t="s">
        <v>38</v>
      </c>
      <c r="C626" t="s">
        <v>75</v>
      </c>
      <c r="D626" t="s">
        <v>62</v>
      </c>
      <c r="E626" t="str">
        <f t="shared" si="36"/>
        <v>M</v>
      </c>
      <c r="F626" t="s">
        <v>39</v>
      </c>
      <c r="G626" t="s">
        <v>28</v>
      </c>
      <c r="H626" s="8">
        <v>36.340000000000003</v>
      </c>
      <c r="I626" s="3">
        <f t="shared" si="37"/>
        <v>0</v>
      </c>
      <c r="J626" s="4">
        <v>0</v>
      </c>
      <c r="K626" s="11">
        <f>Table1[[#This Row],[original_price]]* (Table1[[#This Row],[Markdown percentage updated]])</f>
        <v>0</v>
      </c>
      <c r="L6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26" s="6">
        <v>36.340000000000003</v>
      </c>
      <c r="N6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26" s="7">
        <v>45875</v>
      </c>
      <c r="P626">
        <v>6</v>
      </c>
      <c r="Q626" s="17" t="str">
        <f>IF(Table1[[#This Row],[stock_quantity]]=0,"NO STOCK",
IF(Table1[[#This Row],[stock_quantity]]&lt;=10,"LOW STOCK",
"IN STOCK"))</f>
        <v>LOW STOCK</v>
      </c>
      <c r="R626" s="1">
        <f t="shared" si="38"/>
        <v>4.5</v>
      </c>
      <c r="S626">
        <v>4.5</v>
      </c>
      <c r="T626" t="b">
        <v>1</v>
      </c>
      <c r="U626" s="13" t="str">
        <f t="shared" si="39"/>
        <v>Damaged</v>
      </c>
      <c r="V626" t="s">
        <v>78</v>
      </c>
    </row>
    <row r="627" spans="1:22" hidden="1" x14ac:dyDescent="0.3">
      <c r="A627" t="s">
        <v>680</v>
      </c>
      <c r="B627" t="s">
        <v>38</v>
      </c>
      <c r="C627" t="s">
        <v>43</v>
      </c>
      <c r="D627" t="s">
        <v>34</v>
      </c>
      <c r="E627" t="str">
        <f t="shared" si="36"/>
        <v>XL</v>
      </c>
      <c r="F627" t="s">
        <v>58</v>
      </c>
      <c r="G627" t="s">
        <v>56</v>
      </c>
      <c r="H627" s="8">
        <v>93.01</v>
      </c>
      <c r="I627" s="3">
        <f t="shared" si="37"/>
        <v>0</v>
      </c>
      <c r="J627" s="4">
        <v>0</v>
      </c>
      <c r="K627" s="11">
        <f>Table1[[#This Row],[original_price]]* (Table1[[#This Row],[Markdown percentage updated]])</f>
        <v>0</v>
      </c>
      <c r="L6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27" s="6">
        <v>93.01</v>
      </c>
      <c r="N6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27" s="7">
        <v>45875</v>
      </c>
      <c r="P627">
        <v>34</v>
      </c>
      <c r="Q627" s="16" t="str">
        <f>IF(Table1[[#This Row],[stock_quantity]]=0,"NO STOCK",
IF(Table1[[#This Row],[stock_quantity]]&lt;=10,"LOW STOCK",
"IN STOCK"))</f>
        <v>IN STOCK</v>
      </c>
      <c r="R627" s="1">
        <f t="shared" si="38"/>
        <v>1.4</v>
      </c>
      <c r="S627">
        <v>1.4</v>
      </c>
      <c r="T627" t="b">
        <v>0</v>
      </c>
      <c r="U627" t="str">
        <f t="shared" si="39"/>
        <v>No Return</v>
      </c>
    </row>
    <row r="628" spans="1:22" hidden="1" x14ac:dyDescent="0.3">
      <c r="A628" t="s">
        <v>681</v>
      </c>
      <c r="B628" t="s">
        <v>21</v>
      </c>
      <c r="C628" t="s">
        <v>61</v>
      </c>
      <c r="D628" t="s">
        <v>23</v>
      </c>
      <c r="E628" t="str">
        <f t="shared" si="36"/>
        <v>OS</v>
      </c>
      <c r="F628" t="s">
        <v>39</v>
      </c>
      <c r="G628" t="s">
        <v>70</v>
      </c>
      <c r="H628" s="8">
        <v>75</v>
      </c>
      <c r="I628" s="3">
        <f t="shared" si="37"/>
        <v>0</v>
      </c>
      <c r="J628" s="4">
        <v>0</v>
      </c>
      <c r="K628" s="11">
        <f>Table1[[#This Row],[original_price]]* (Table1[[#This Row],[Markdown percentage updated]])</f>
        <v>0</v>
      </c>
      <c r="L6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28" s="6">
        <v>75</v>
      </c>
      <c r="N6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28" s="7">
        <v>45875</v>
      </c>
      <c r="P628">
        <v>19</v>
      </c>
      <c r="Q628" s="16" t="str">
        <f>IF(Table1[[#This Row],[stock_quantity]]=0,"NO STOCK",
IF(Table1[[#This Row],[stock_quantity]]&lt;=10,"LOW STOCK",
"IN STOCK"))</f>
        <v>IN STOCK</v>
      </c>
      <c r="R628" s="1">
        <f t="shared" si="38"/>
        <v>1.6</v>
      </c>
      <c r="S628">
        <v>1.6</v>
      </c>
      <c r="T628" t="b">
        <v>0</v>
      </c>
      <c r="U628" t="str">
        <f t="shared" si="39"/>
        <v>No Return</v>
      </c>
    </row>
    <row r="629" spans="1:22" hidden="1" x14ac:dyDescent="0.3">
      <c r="A629" t="s">
        <v>682</v>
      </c>
      <c r="B629" t="s">
        <v>15</v>
      </c>
      <c r="C629" t="s">
        <v>16</v>
      </c>
      <c r="D629" t="s">
        <v>34</v>
      </c>
      <c r="E629" t="str">
        <f t="shared" si="36"/>
        <v>S</v>
      </c>
      <c r="F629" t="s">
        <v>58</v>
      </c>
      <c r="G629" t="s">
        <v>44</v>
      </c>
      <c r="H629" s="8">
        <v>81.63</v>
      </c>
      <c r="I629" s="3">
        <f t="shared" si="37"/>
        <v>0.124</v>
      </c>
      <c r="J629" s="4">
        <v>12.4</v>
      </c>
      <c r="K629" s="11">
        <f>Table1[[#This Row],[original_price]]* (Table1[[#This Row],[Markdown percentage updated]])</f>
        <v>10.122119999999999</v>
      </c>
      <c r="L6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29" s="6">
        <v>71.510000000000005</v>
      </c>
      <c r="N6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629" s="7">
        <v>45875</v>
      </c>
      <c r="P629">
        <v>3</v>
      </c>
      <c r="Q629" s="17" t="str">
        <f>IF(Table1[[#This Row],[stock_quantity]]=0,"NO STOCK",
IF(Table1[[#This Row],[stock_quantity]]&lt;=10,"LOW STOCK",
"IN STOCK"))</f>
        <v>LOW STOCK</v>
      </c>
      <c r="R629" s="1">
        <f t="shared" si="38"/>
        <v>0</v>
      </c>
      <c r="T629" t="b">
        <v>0</v>
      </c>
      <c r="U629" t="str">
        <f t="shared" si="39"/>
        <v>No Return</v>
      </c>
    </row>
    <row r="630" spans="1:22" hidden="1" x14ac:dyDescent="0.3">
      <c r="A630" t="s">
        <v>683</v>
      </c>
      <c r="B630" t="s">
        <v>38</v>
      </c>
      <c r="C630" t="s">
        <v>22</v>
      </c>
      <c r="D630" t="s">
        <v>17</v>
      </c>
      <c r="E630" t="str">
        <f t="shared" si="36"/>
        <v>XS</v>
      </c>
      <c r="F630" t="s">
        <v>18</v>
      </c>
      <c r="G630" t="s">
        <v>40</v>
      </c>
      <c r="H630" s="8">
        <v>109.81</v>
      </c>
      <c r="I630" s="3">
        <f t="shared" si="37"/>
        <v>0</v>
      </c>
      <c r="J630" s="4">
        <v>0</v>
      </c>
      <c r="K630" s="11">
        <f>Table1[[#This Row],[original_price]]* (Table1[[#This Row],[Markdown percentage updated]])</f>
        <v>0</v>
      </c>
      <c r="L6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30" s="6">
        <v>109.81</v>
      </c>
      <c r="N6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30" s="7">
        <v>45862</v>
      </c>
      <c r="P630">
        <v>17</v>
      </c>
      <c r="Q630" s="16" t="str">
        <f>IF(Table1[[#This Row],[stock_quantity]]=0,"NO STOCK",
IF(Table1[[#This Row],[stock_quantity]]&lt;=10,"LOW STOCK",
"IN STOCK"))</f>
        <v>IN STOCK</v>
      </c>
      <c r="R630" s="1">
        <f t="shared" si="38"/>
        <v>1.9</v>
      </c>
      <c r="S630">
        <v>1.9</v>
      </c>
      <c r="T630" t="b">
        <v>0</v>
      </c>
      <c r="U630" t="str">
        <f t="shared" si="39"/>
        <v>No Return</v>
      </c>
    </row>
    <row r="631" spans="1:22" hidden="1" x14ac:dyDescent="0.3">
      <c r="A631" t="s">
        <v>684</v>
      </c>
      <c r="B631" t="s">
        <v>38</v>
      </c>
      <c r="C631" t="s">
        <v>53</v>
      </c>
      <c r="D631" t="s">
        <v>34</v>
      </c>
      <c r="E631" t="str">
        <f t="shared" si="36"/>
        <v>S</v>
      </c>
      <c r="G631" t="s">
        <v>28</v>
      </c>
      <c r="H631" s="8">
        <v>47.7</v>
      </c>
      <c r="I631" s="3">
        <f t="shared" si="37"/>
        <v>0</v>
      </c>
      <c r="J631" s="4">
        <v>0</v>
      </c>
      <c r="K631" s="11">
        <f>Table1[[#This Row],[original_price]]* (Table1[[#This Row],[Markdown percentage updated]])</f>
        <v>0</v>
      </c>
      <c r="L6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31" s="6">
        <v>47.7</v>
      </c>
      <c r="N6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31" s="7">
        <v>45875</v>
      </c>
      <c r="P631">
        <v>14</v>
      </c>
      <c r="Q631" s="16" t="str">
        <f>IF(Table1[[#This Row],[stock_quantity]]=0,"NO STOCK",
IF(Table1[[#This Row],[stock_quantity]]&lt;=10,"LOW STOCK",
"IN STOCK"))</f>
        <v>IN STOCK</v>
      </c>
      <c r="R631" s="1">
        <f t="shared" si="38"/>
        <v>2.2999999999999998</v>
      </c>
      <c r="S631">
        <v>2.2999999999999998</v>
      </c>
      <c r="T631" t="b">
        <v>0</v>
      </c>
      <c r="U631" t="str">
        <f t="shared" si="39"/>
        <v>No Return</v>
      </c>
    </row>
    <row r="632" spans="1:22" hidden="1" x14ac:dyDescent="0.3">
      <c r="A632" t="s">
        <v>685</v>
      </c>
      <c r="B632" t="s">
        <v>21</v>
      </c>
      <c r="C632" t="s">
        <v>32</v>
      </c>
      <c r="D632" t="s">
        <v>23</v>
      </c>
      <c r="E632" t="str">
        <f t="shared" si="36"/>
        <v>OS</v>
      </c>
      <c r="F632" t="s">
        <v>39</v>
      </c>
      <c r="G632" t="s">
        <v>19</v>
      </c>
      <c r="H632" s="8">
        <v>96.08</v>
      </c>
      <c r="I632" s="3">
        <f t="shared" si="37"/>
        <v>0</v>
      </c>
      <c r="J632" s="4">
        <v>0</v>
      </c>
      <c r="K632" s="11">
        <f>Table1[[#This Row],[original_price]]* (Table1[[#This Row],[Markdown percentage updated]])</f>
        <v>0</v>
      </c>
      <c r="L6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32" s="6">
        <v>96.08</v>
      </c>
      <c r="N6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32" s="7">
        <v>45875</v>
      </c>
      <c r="P632">
        <v>7</v>
      </c>
      <c r="Q632" s="17" t="str">
        <f>IF(Table1[[#This Row],[stock_quantity]]=0,"NO STOCK",
IF(Table1[[#This Row],[stock_quantity]]&lt;=10,"LOW STOCK",
"IN STOCK"))</f>
        <v>LOW STOCK</v>
      </c>
      <c r="R632" s="1">
        <f t="shared" si="38"/>
        <v>2.5</v>
      </c>
      <c r="S632">
        <v>2.5</v>
      </c>
      <c r="T632" t="b">
        <v>0</v>
      </c>
      <c r="U632" t="str">
        <f t="shared" si="39"/>
        <v>No Return</v>
      </c>
    </row>
    <row r="633" spans="1:22" hidden="1" x14ac:dyDescent="0.3">
      <c r="A633" t="s">
        <v>686</v>
      </c>
      <c r="B633" t="s">
        <v>21</v>
      </c>
      <c r="C633" t="s">
        <v>48</v>
      </c>
      <c r="D633" t="s">
        <v>23</v>
      </c>
      <c r="E633" t="str">
        <f t="shared" si="36"/>
        <v>OS</v>
      </c>
      <c r="F633" t="s">
        <v>55</v>
      </c>
      <c r="G633" t="s">
        <v>70</v>
      </c>
      <c r="H633" s="8">
        <v>28</v>
      </c>
      <c r="I633" s="3">
        <f t="shared" si="37"/>
        <v>2.6000000000000002E-2</v>
      </c>
      <c r="J633" s="4">
        <v>2.6</v>
      </c>
      <c r="K633" s="11">
        <f>Table1[[#This Row],[original_price]]* (Table1[[#This Row],[Markdown percentage updated]])</f>
        <v>0.72800000000000009</v>
      </c>
      <c r="L6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33" s="6">
        <v>27.27</v>
      </c>
      <c r="N6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33" s="7">
        <v>45875</v>
      </c>
      <c r="P633">
        <v>2</v>
      </c>
      <c r="Q633" s="17" t="str">
        <f>IF(Table1[[#This Row],[stock_quantity]]=0,"NO STOCK",
IF(Table1[[#This Row],[stock_quantity]]&lt;=10,"LOW STOCK",
"IN STOCK"))</f>
        <v>LOW STOCK</v>
      </c>
      <c r="R633" s="1">
        <f t="shared" si="38"/>
        <v>0</v>
      </c>
      <c r="T633" t="b">
        <v>0</v>
      </c>
      <c r="U633" t="str">
        <f t="shared" si="39"/>
        <v>No Return</v>
      </c>
    </row>
    <row r="634" spans="1:22" hidden="1" x14ac:dyDescent="0.3">
      <c r="A634" t="s">
        <v>687</v>
      </c>
      <c r="B634" t="s">
        <v>38</v>
      </c>
      <c r="C634" t="s">
        <v>16</v>
      </c>
      <c r="D634" t="s">
        <v>23</v>
      </c>
      <c r="E634" t="str">
        <f t="shared" si="36"/>
        <v>XS</v>
      </c>
      <c r="F634" t="s">
        <v>39</v>
      </c>
      <c r="G634" t="s">
        <v>70</v>
      </c>
      <c r="H634" s="8">
        <v>52.43</v>
      </c>
      <c r="I634" s="3">
        <f t="shared" si="37"/>
        <v>6.4000000000000001E-2</v>
      </c>
      <c r="J634" s="4">
        <v>6.4</v>
      </c>
      <c r="K634" s="11">
        <f>Table1[[#This Row],[original_price]]* (Table1[[#This Row],[Markdown percentage updated]])</f>
        <v>3.3555199999999998</v>
      </c>
      <c r="L6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34" s="6">
        <v>49.07</v>
      </c>
      <c r="N6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34" s="7">
        <v>45875</v>
      </c>
      <c r="P634">
        <v>42</v>
      </c>
      <c r="Q634" s="16" t="str">
        <f>IF(Table1[[#This Row],[stock_quantity]]=0,"NO STOCK",
IF(Table1[[#This Row],[stock_quantity]]&lt;=10,"LOW STOCK",
"IN STOCK"))</f>
        <v>IN STOCK</v>
      </c>
      <c r="R634" s="1">
        <f t="shared" si="38"/>
        <v>2.6</v>
      </c>
      <c r="S634">
        <v>2.6</v>
      </c>
      <c r="T634" t="b">
        <v>0</v>
      </c>
      <c r="U634" t="str">
        <f t="shared" si="39"/>
        <v>No Return</v>
      </c>
    </row>
    <row r="635" spans="1:22" hidden="1" x14ac:dyDescent="0.3">
      <c r="A635" t="s">
        <v>688</v>
      </c>
      <c r="B635" t="s">
        <v>27</v>
      </c>
      <c r="C635" t="s">
        <v>61</v>
      </c>
      <c r="D635" t="s">
        <v>62</v>
      </c>
      <c r="E635" t="str">
        <f t="shared" si="36"/>
        <v>XL</v>
      </c>
      <c r="G635" t="s">
        <v>25</v>
      </c>
      <c r="H635" s="8">
        <v>67.95</v>
      </c>
      <c r="I635" s="3">
        <f t="shared" si="37"/>
        <v>0.183</v>
      </c>
      <c r="J635" s="4">
        <v>18.3</v>
      </c>
      <c r="K635" s="11">
        <f>Table1[[#This Row],[original_price]]* (Table1[[#This Row],[Markdown percentage updated]])</f>
        <v>12.434850000000001</v>
      </c>
      <c r="L6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35" s="6">
        <v>55.52</v>
      </c>
      <c r="N6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635" s="7">
        <v>45875</v>
      </c>
      <c r="P635">
        <v>37</v>
      </c>
      <c r="Q635" s="16" t="str">
        <f>IF(Table1[[#This Row],[stock_quantity]]=0,"NO STOCK",
IF(Table1[[#This Row],[stock_quantity]]&lt;=10,"LOW STOCK",
"IN STOCK"))</f>
        <v>IN STOCK</v>
      </c>
      <c r="R635" s="1">
        <f t="shared" si="38"/>
        <v>0</v>
      </c>
      <c r="T635" t="b">
        <v>0</v>
      </c>
      <c r="U635" t="str">
        <f t="shared" si="39"/>
        <v>No Return</v>
      </c>
    </row>
    <row r="636" spans="1:22" hidden="1" x14ac:dyDescent="0.3">
      <c r="A636" t="s">
        <v>689</v>
      </c>
      <c r="B636" t="s">
        <v>42</v>
      </c>
      <c r="C636" t="s">
        <v>53</v>
      </c>
      <c r="D636" t="s">
        <v>34</v>
      </c>
      <c r="E636" t="str">
        <f t="shared" si="36"/>
        <v>L</v>
      </c>
      <c r="G636" t="s">
        <v>19</v>
      </c>
      <c r="H636" s="8">
        <v>131.91999999999999</v>
      </c>
      <c r="I636" s="3">
        <f t="shared" si="37"/>
        <v>0</v>
      </c>
      <c r="J636" s="4">
        <v>0</v>
      </c>
      <c r="K636" s="11">
        <f>Table1[[#This Row],[original_price]]* (Table1[[#This Row],[Markdown percentage updated]])</f>
        <v>0</v>
      </c>
      <c r="L6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36" s="6">
        <v>131.91999999999999</v>
      </c>
      <c r="N6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36" s="7">
        <v>45875</v>
      </c>
      <c r="P636">
        <v>10</v>
      </c>
      <c r="Q636" s="17" t="str">
        <f>IF(Table1[[#This Row],[stock_quantity]]=0,"NO STOCK",
IF(Table1[[#This Row],[stock_quantity]]&lt;=10,"LOW STOCK",
"IN STOCK"))</f>
        <v>LOW STOCK</v>
      </c>
      <c r="R636" s="1">
        <f t="shared" si="38"/>
        <v>2.5</v>
      </c>
      <c r="S636">
        <v>2.5</v>
      </c>
      <c r="T636" t="b">
        <v>0</v>
      </c>
      <c r="U636" t="str">
        <f t="shared" si="39"/>
        <v>No Return</v>
      </c>
    </row>
    <row r="637" spans="1:22" hidden="1" x14ac:dyDescent="0.3">
      <c r="A637" t="s">
        <v>690</v>
      </c>
      <c r="B637" t="s">
        <v>15</v>
      </c>
      <c r="C637" t="s">
        <v>53</v>
      </c>
      <c r="D637" t="s">
        <v>17</v>
      </c>
      <c r="E637" t="str">
        <f t="shared" si="36"/>
        <v>L</v>
      </c>
      <c r="F637" t="s">
        <v>55</v>
      </c>
      <c r="G637" t="s">
        <v>35</v>
      </c>
      <c r="H637" s="8">
        <v>205.77</v>
      </c>
      <c r="I637" s="3">
        <f t="shared" si="37"/>
        <v>0</v>
      </c>
      <c r="J637" s="4">
        <v>0</v>
      </c>
      <c r="K637" s="11">
        <f>Table1[[#This Row],[original_price]]* (Table1[[#This Row],[Markdown percentage updated]])</f>
        <v>0</v>
      </c>
      <c r="L6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37" s="6">
        <v>205.77</v>
      </c>
      <c r="N6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37" s="7">
        <v>45688</v>
      </c>
      <c r="P637">
        <v>38</v>
      </c>
      <c r="Q637" s="16" t="str">
        <f>IF(Table1[[#This Row],[stock_quantity]]=0,"NO STOCK",
IF(Table1[[#This Row],[stock_quantity]]&lt;=10,"LOW STOCK",
"IN STOCK"))</f>
        <v>IN STOCK</v>
      </c>
      <c r="R637" s="1">
        <f t="shared" si="38"/>
        <v>1</v>
      </c>
      <c r="S637">
        <v>1</v>
      </c>
      <c r="T637" t="b">
        <v>0</v>
      </c>
      <c r="U637" t="str">
        <f t="shared" si="39"/>
        <v>No Return</v>
      </c>
    </row>
    <row r="638" spans="1:22" hidden="1" x14ac:dyDescent="0.3">
      <c r="A638" t="s">
        <v>691</v>
      </c>
      <c r="B638" t="s">
        <v>21</v>
      </c>
      <c r="C638" t="s">
        <v>22</v>
      </c>
      <c r="D638" t="s">
        <v>23</v>
      </c>
      <c r="E638" t="str">
        <f t="shared" si="36"/>
        <v>XS</v>
      </c>
      <c r="F638" t="s">
        <v>18</v>
      </c>
      <c r="G638" t="s">
        <v>35</v>
      </c>
      <c r="H638" s="8">
        <v>97.88</v>
      </c>
      <c r="I638" s="3">
        <f t="shared" si="37"/>
        <v>0.113</v>
      </c>
      <c r="J638" s="4">
        <v>11.3</v>
      </c>
      <c r="K638" s="11">
        <f>Table1[[#This Row],[original_price]]* (Table1[[#This Row],[Markdown percentage updated]])</f>
        <v>11.06044</v>
      </c>
      <c r="L6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38" s="6">
        <v>86.82</v>
      </c>
      <c r="N6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638" s="7">
        <v>45875</v>
      </c>
      <c r="P638">
        <v>27</v>
      </c>
      <c r="Q638" s="16" t="str">
        <f>IF(Table1[[#This Row],[stock_quantity]]=0,"NO STOCK",
IF(Table1[[#This Row],[stock_quantity]]&lt;=10,"LOW STOCK",
"IN STOCK"))</f>
        <v>IN STOCK</v>
      </c>
      <c r="R638" s="1">
        <f t="shared" si="38"/>
        <v>1.3</v>
      </c>
      <c r="S638">
        <v>1.3</v>
      </c>
      <c r="T638" t="b">
        <v>0</v>
      </c>
      <c r="U638" t="str">
        <f t="shared" si="39"/>
        <v>No Return</v>
      </c>
    </row>
    <row r="639" spans="1:22" hidden="1" x14ac:dyDescent="0.3">
      <c r="A639" t="s">
        <v>692</v>
      </c>
      <c r="B639" t="s">
        <v>30</v>
      </c>
      <c r="C639" t="s">
        <v>16</v>
      </c>
      <c r="D639" t="s">
        <v>62</v>
      </c>
      <c r="E639" t="str">
        <f t="shared" si="36"/>
        <v>L</v>
      </c>
      <c r="F639" t="s">
        <v>24</v>
      </c>
      <c r="G639" t="s">
        <v>40</v>
      </c>
      <c r="H639" s="8">
        <v>109.55</v>
      </c>
      <c r="I639" s="3">
        <f t="shared" si="37"/>
        <v>0</v>
      </c>
      <c r="J639" s="4">
        <v>0</v>
      </c>
      <c r="K639" s="11">
        <f>Table1[[#This Row],[original_price]]* (Table1[[#This Row],[Markdown percentage updated]])</f>
        <v>0</v>
      </c>
      <c r="L6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39" s="6">
        <v>109.55</v>
      </c>
      <c r="N6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39" s="7">
        <v>45875</v>
      </c>
      <c r="P639">
        <v>32</v>
      </c>
      <c r="Q639" s="16" t="str">
        <f>IF(Table1[[#This Row],[stock_quantity]]=0,"NO STOCK",
IF(Table1[[#This Row],[stock_quantity]]&lt;=10,"LOW STOCK",
"IN STOCK"))</f>
        <v>IN STOCK</v>
      </c>
      <c r="R639" s="1">
        <f t="shared" si="38"/>
        <v>1.4</v>
      </c>
      <c r="S639">
        <v>1.4</v>
      </c>
      <c r="T639" t="b">
        <v>0</v>
      </c>
      <c r="U639" t="str">
        <f t="shared" si="39"/>
        <v>No Return</v>
      </c>
    </row>
    <row r="640" spans="1:22" hidden="1" x14ac:dyDescent="0.3">
      <c r="A640" t="s">
        <v>693</v>
      </c>
      <c r="B640" t="s">
        <v>38</v>
      </c>
      <c r="C640" t="s">
        <v>16</v>
      </c>
      <c r="D640" t="s">
        <v>34</v>
      </c>
      <c r="E640" t="str">
        <f t="shared" si="36"/>
        <v>XS</v>
      </c>
      <c r="F640" t="s">
        <v>24</v>
      </c>
      <c r="G640" t="s">
        <v>40</v>
      </c>
      <c r="H640" s="8">
        <v>52.94</v>
      </c>
      <c r="I640" s="3">
        <f t="shared" si="37"/>
        <v>0.106</v>
      </c>
      <c r="J640" s="4">
        <v>10.6</v>
      </c>
      <c r="K640" s="11">
        <f>Table1[[#This Row],[original_price]]* (Table1[[#This Row],[Markdown percentage updated]])</f>
        <v>5.6116399999999995</v>
      </c>
      <c r="L6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40" s="6">
        <v>47.33</v>
      </c>
      <c r="N6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40" s="7">
        <v>45875</v>
      </c>
      <c r="P640">
        <v>50</v>
      </c>
      <c r="Q640" s="16" t="str">
        <f>IF(Table1[[#This Row],[stock_quantity]]=0,"NO STOCK",
IF(Table1[[#This Row],[stock_quantity]]&lt;=10,"LOW STOCK",
"IN STOCK"))</f>
        <v>IN STOCK</v>
      </c>
      <c r="R640" s="1">
        <f t="shared" si="38"/>
        <v>2.7</v>
      </c>
      <c r="S640">
        <v>2.7</v>
      </c>
      <c r="T640" t="b">
        <v>0</v>
      </c>
      <c r="U640" t="str">
        <f t="shared" si="39"/>
        <v>No Return</v>
      </c>
    </row>
    <row r="641" spans="1:22" hidden="1" x14ac:dyDescent="0.3">
      <c r="A641" t="s">
        <v>694</v>
      </c>
      <c r="B641" t="s">
        <v>38</v>
      </c>
      <c r="C641" t="s">
        <v>32</v>
      </c>
      <c r="D641" t="s">
        <v>23</v>
      </c>
      <c r="E641" t="str">
        <f t="shared" si="36"/>
        <v>S</v>
      </c>
      <c r="F641" t="s">
        <v>55</v>
      </c>
      <c r="G641" t="s">
        <v>25</v>
      </c>
      <c r="H641" s="8">
        <v>70.83</v>
      </c>
      <c r="I641" s="3">
        <f t="shared" si="37"/>
        <v>0.18</v>
      </c>
      <c r="J641" s="4">
        <v>18</v>
      </c>
      <c r="K641" s="11">
        <f>Table1[[#This Row],[original_price]]* (Table1[[#This Row],[Markdown percentage updated]])</f>
        <v>12.7494</v>
      </c>
      <c r="L6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41" s="6">
        <v>58.08</v>
      </c>
      <c r="N6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641" s="7">
        <v>45875</v>
      </c>
      <c r="P641">
        <v>21</v>
      </c>
      <c r="Q641" s="16" t="str">
        <f>IF(Table1[[#This Row],[stock_quantity]]=0,"NO STOCK",
IF(Table1[[#This Row],[stock_quantity]]&lt;=10,"LOW STOCK",
"IN STOCK"))</f>
        <v>IN STOCK</v>
      </c>
      <c r="R641" s="1">
        <f t="shared" si="38"/>
        <v>2.9</v>
      </c>
      <c r="S641">
        <v>2.9</v>
      </c>
      <c r="T641" t="b">
        <v>0</v>
      </c>
      <c r="U641" t="str">
        <f t="shared" si="39"/>
        <v>No Return</v>
      </c>
    </row>
    <row r="642" spans="1:22" x14ac:dyDescent="0.3">
      <c r="A642" t="s">
        <v>695</v>
      </c>
      <c r="B642" t="s">
        <v>42</v>
      </c>
      <c r="C642" t="s">
        <v>43</v>
      </c>
      <c r="D642" t="s">
        <v>34</v>
      </c>
      <c r="E642" t="str">
        <f t="shared" ref="E642:E705" si="40">IF(ISBLANK(F645),"OS",F645)</f>
        <v>S</v>
      </c>
      <c r="F642" t="s">
        <v>24</v>
      </c>
      <c r="G642" t="s">
        <v>64</v>
      </c>
      <c r="H642" s="8">
        <v>53.17</v>
      </c>
      <c r="I642" s="3">
        <f t="shared" ref="I642:I705" si="41">J642/100</f>
        <v>0</v>
      </c>
      <c r="J642" s="4">
        <v>0</v>
      </c>
      <c r="K642" s="11">
        <f>Table1[[#This Row],[original_price]]* (Table1[[#This Row],[Markdown percentage updated]])</f>
        <v>0</v>
      </c>
      <c r="L6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42" s="6">
        <v>53.17</v>
      </c>
      <c r="N6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42" s="7">
        <v>45875</v>
      </c>
      <c r="P642">
        <v>14</v>
      </c>
      <c r="Q642" s="16" t="str">
        <f>IF(Table1[[#This Row],[stock_quantity]]=0,"NO STOCK",
IF(Table1[[#This Row],[stock_quantity]]&lt;=10,"LOW STOCK",
"IN STOCK"))</f>
        <v>IN STOCK</v>
      </c>
      <c r="R642" s="1">
        <f t="shared" si="38"/>
        <v>4.5</v>
      </c>
      <c r="S642">
        <v>4.5</v>
      </c>
      <c r="T642" t="b">
        <v>1</v>
      </c>
      <c r="U642" s="13" t="str">
        <f t="shared" si="39"/>
        <v>Changed Mind</v>
      </c>
      <c r="V642" t="s">
        <v>115</v>
      </c>
    </row>
    <row r="643" spans="1:22" hidden="1" x14ac:dyDescent="0.3">
      <c r="A643" t="s">
        <v>696</v>
      </c>
      <c r="B643" t="s">
        <v>38</v>
      </c>
      <c r="C643" t="s">
        <v>32</v>
      </c>
      <c r="D643" t="s">
        <v>62</v>
      </c>
      <c r="E643" t="str">
        <f t="shared" si="40"/>
        <v>XL</v>
      </c>
      <c r="F643" t="s">
        <v>55</v>
      </c>
      <c r="G643" t="s">
        <v>56</v>
      </c>
      <c r="H643" s="8">
        <v>119.56</v>
      </c>
      <c r="I643" s="3">
        <f t="shared" si="41"/>
        <v>0.46200000000000002</v>
      </c>
      <c r="J643" s="4">
        <v>46.2</v>
      </c>
      <c r="K643" s="11">
        <f>Table1[[#This Row],[original_price]]* (Table1[[#This Row],[Markdown percentage updated]])</f>
        <v>55.236720000000005</v>
      </c>
      <c r="L6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43" s="6">
        <v>64.319999999999993</v>
      </c>
      <c r="N6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43" s="7">
        <v>45875</v>
      </c>
      <c r="P643">
        <v>14</v>
      </c>
      <c r="Q643" s="16" t="str">
        <f>IF(Table1[[#This Row],[stock_quantity]]=0,"NO STOCK",
IF(Table1[[#This Row],[stock_quantity]]&lt;=10,"LOW STOCK",
"IN STOCK"))</f>
        <v>IN STOCK</v>
      </c>
      <c r="R643" s="1">
        <f t="shared" ref="R643:R706" si="42">IF(ISBLANK(S643), 0, S643)</f>
        <v>0</v>
      </c>
      <c r="T643" t="b">
        <v>0</v>
      </c>
      <c r="U643" t="str">
        <f t="shared" ref="U643:U706" si="43">IF(V643="","No Return",V643)</f>
        <v>No Return</v>
      </c>
    </row>
    <row r="644" spans="1:22" hidden="1" x14ac:dyDescent="0.3">
      <c r="A644" t="s">
        <v>697</v>
      </c>
      <c r="B644" t="s">
        <v>42</v>
      </c>
      <c r="C644" t="s">
        <v>43</v>
      </c>
      <c r="D644" t="s">
        <v>23</v>
      </c>
      <c r="E644" t="str">
        <f t="shared" si="40"/>
        <v>M</v>
      </c>
      <c r="F644" t="s">
        <v>39</v>
      </c>
      <c r="G644" t="s">
        <v>44</v>
      </c>
      <c r="H644" s="8">
        <v>144.43</v>
      </c>
      <c r="I644" s="3">
        <f t="shared" si="41"/>
        <v>0</v>
      </c>
      <c r="J644" s="4">
        <v>0</v>
      </c>
      <c r="K644" s="11">
        <f>Table1[[#This Row],[original_price]]* (Table1[[#This Row],[Markdown percentage updated]])</f>
        <v>0</v>
      </c>
      <c r="L6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44" s="6">
        <v>144.43</v>
      </c>
      <c r="N6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44" s="7">
        <v>45875</v>
      </c>
      <c r="P644">
        <v>41</v>
      </c>
      <c r="Q644" s="16" t="str">
        <f>IF(Table1[[#This Row],[stock_quantity]]=0,"NO STOCK",
IF(Table1[[#This Row],[stock_quantity]]&lt;=10,"LOW STOCK",
"IN STOCK"))</f>
        <v>IN STOCK</v>
      </c>
      <c r="R644" s="1">
        <f t="shared" si="42"/>
        <v>3.6</v>
      </c>
      <c r="S644">
        <v>3.6</v>
      </c>
      <c r="T644" t="b">
        <v>0</v>
      </c>
      <c r="U644" t="str">
        <f t="shared" si="43"/>
        <v>No Return</v>
      </c>
    </row>
    <row r="645" spans="1:22" hidden="1" x14ac:dyDescent="0.3">
      <c r="A645" t="s">
        <v>698</v>
      </c>
      <c r="B645" t="s">
        <v>15</v>
      </c>
      <c r="C645" t="s">
        <v>43</v>
      </c>
      <c r="D645" t="s">
        <v>17</v>
      </c>
      <c r="E645" t="str">
        <f t="shared" si="40"/>
        <v>L</v>
      </c>
      <c r="F645" t="s">
        <v>39</v>
      </c>
      <c r="G645" t="s">
        <v>66</v>
      </c>
      <c r="H645" s="8">
        <v>172.93</v>
      </c>
      <c r="I645" s="3">
        <f t="shared" si="41"/>
        <v>0</v>
      </c>
      <c r="J645" s="4">
        <v>0</v>
      </c>
      <c r="K645" s="11">
        <f>Table1[[#This Row],[original_price]]* (Table1[[#This Row],[Markdown percentage updated]])</f>
        <v>0</v>
      </c>
      <c r="L6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45" s="6">
        <v>172.93</v>
      </c>
      <c r="N6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45" s="7">
        <v>45759</v>
      </c>
      <c r="P645">
        <v>43</v>
      </c>
      <c r="Q645" s="16" t="str">
        <f>IF(Table1[[#This Row],[stock_quantity]]=0,"NO STOCK",
IF(Table1[[#This Row],[stock_quantity]]&lt;=10,"LOW STOCK",
"IN STOCK"))</f>
        <v>IN STOCK</v>
      </c>
      <c r="R645" s="1">
        <f t="shared" si="42"/>
        <v>4.7</v>
      </c>
      <c r="S645">
        <v>4.7</v>
      </c>
      <c r="T645" t="b">
        <v>1</v>
      </c>
      <c r="U645" s="13" t="str">
        <f t="shared" si="43"/>
        <v>Quality Issue</v>
      </c>
      <c r="V645" t="s">
        <v>83</v>
      </c>
    </row>
    <row r="646" spans="1:22" hidden="1" x14ac:dyDescent="0.3">
      <c r="A646" t="s">
        <v>699</v>
      </c>
      <c r="B646" t="s">
        <v>15</v>
      </c>
      <c r="C646" t="s">
        <v>61</v>
      </c>
      <c r="D646" t="s">
        <v>23</v>
      </c>
      <c r="E646" t="str">
        <f t="shared" si="40"/>
        <v>S</v>
      </c>
      <c r="F646" t="s">
        <v>18</v>
      </c>
      <c r="G646" t="s">
        <v>56</v>
      </c>
      <c r="H646" s="8">
        <v>191.95</v>
      </c>
      <c r="I646" s="3">
        <f t="shared" si="41"/>
        <v>0.40399999999999997</v>
      </c>
      <c r="J646" s="4">
        <v>40.4</v>
      </c>
      <c r="K646" s="11">
        <f>Table1[[#This Row],[original_price]]* (Table1[[#This Row],[Markdown percentage updated]])</f>
        <v>77.547799999999995</v>
      </c>
      <c r="L6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46" s="6">
        <v>114.4</v>
      </c>
      <c r="N6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46" s="7">
        <v>45875</v>
      </c>
      <c r="P646">
        <v>21</v>
      </c>
      <c r="Q646" s="16" t="str">
        <f>IF(Table1[[#This Row],[stock_quantity]]=0,"NO STOCK",
IF(Table1[[#This Row],[stock_quantity]]&lt;=10,"LOW STOCK",
"IN STOCK"))</f>
        <v>IN STOCK</v>
      </c>
      <c r="R646" s="1">
        <f t="shared" si="42"/>
        <v>2.9</v>
      </c>
      <c r="S646">
        <v>2.9</v>
      </c>
      <c r="T646" t="b">
        <v>0</v>
      </c>
      <c r="U646" t="str">
        <f t="shared" si="43"/>
        <v>No Return</v>
      </c>
    </row>
    <row r="647" spans="1:22" hidden="1" x14ac:dyDescent="0.3">
      <c r="A647" t="s">
        <v>700</v>
      </c>
      <c r="B647" t="s">
        <v>42</v>
      </c>
      <c r="C647" t="s">
        <v>48</v>
      </c>
      <c r="D647" t="s">
        <v>23</v>
      </c>
      <c r="E647" t="str">
        <f t="shared" si="40"/>
        <v>XS</v>
      </c>
      <c r="F647" t="s">
        <v>58</v>
      </c>
      <c r="G647" t="s">
        <v>28</v>
      </c>
      <c r="H647" s="8">
        <v>128.56</v>
      </c>
      <c r="I647" s="3">
        <f t="shared" si="41"/>
        <v>0</v>
      </c>
      <c r="J647" s="4">
        <v>0</v>
      </c>
      <c r="K647" s="11">
        <f>Table1[[#This Row],[original_price]]* (Table1[[#This Row],[Markdown percentage updated]])</f>
        <v>0</v>
      </c>
      <c r="L6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47" s="6">
        <v>128.56</v>
      </c>
      <c r="N6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47" s="7">
        <v>45875</v>
      </c>
      <c r="P647">
        <v>45</v>
      </c>
      <c r="Q647" s="16" t="str">
        <f>IF(Table1[[#This Row],[stock_quantity]]=0,"NO STOCK",
IF(Table1[[#This Row],[stock_quantity]]&lt;=10,"LOW STOCK",
"IN STOCK"))</f>
        <v>IN STOCK</v>
      </c>
      <c r="R647" s="1">
        <f t="shared" si="42"/>
        <v>2.4</v>
      </c>
      <c r="S647">
        <v>2.4</v>
      </c>
      <c r="T647" t="b">
        <v>0</v>
      </c>
      <c r="U647" t="str">
        <f t="shared" si="43"/>
        <v>No Return</v>
      </c>
    </row>
    <row r="648" spans="1:22" hidden="1" x14ac:dyDescent="0.3">
      <c r="A648" t="s">
        <v>701</v>
      </c>
      <c r="B648" t="s">
        <v>42</v>
      </c>
      <c r="C648" t="s">
        <v>48</v>
      </c>
      <c r="D648" t="s">
        <v>62</v>
      </c>
      <c r="E648" t="str">
        <f t="shared" si="40"/>
        <v>S</v>
      </c>
      <c r="F648" t="s">
        <v>24</v>
      </c>
      <c r="G648" t="s">
        <v>35</v>
      </c>
      <c r="H648" s="8">
        <v>123.08</v>
      </c>
      <c r="I648" s="3">
        <f t="shared" si="41"/>
        <v>0.53</v>
      </c>
      <c r="J648" s="4">
        <v>53</v>
      </c>
      <c r="K648" s="11">
        <f>Table1[[#This Row],[original_price]]* (Table1[[#This Row],[Markdown percentage updated]])</f>
        <v>65.232399999999998</v>
      </c>
      <c r="L6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48" s="6">
        <v>57.85</v>
      </c>
      <c r="N6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48" s="7">
        <v>45875</v>
      </c>
      <c r="P648">
        <v>38</v>
      </c>
      <c r="Q648" s="16" t="str">
        <f>IF(Table1[[#This Row],[stock_quantity]]=0,"NO STOCK",
IF(Table1[[#This Row],[stock_quantity]]&lt;=10,"LOW STOCK",
"IN STOCK"))</f>
        <v>IN STOCK</v>
      </c>
      <c r="R648" s="1">
        <f t="shared" si="42"/>
        <v>2.5</v>
      </c>
      <c r="S648">
        <v>2.5</v>
      </c>
      <c r="T648" t="b">
        <v>0</v>
      </c>
      <c r="U648" t="str">
        <f t="shared" si="43"/>
        <v>No Return</v>
      </c>
    </row>
    <row r="649" spans="1:22" hidden="1" x14ac:dyDescent="0.3">
      <c r="A649" t="s">
        <v>702</v>
      </c>
      <c r="B649" t="s">
        <v>15</v>
      </c>
      <c r="C649" t="s">
        <v>53</v>
      </c>
      <c r="D649" t="s">
        <v>17</v>
      </c>
      <c r="E649" t="str">
        <f t="shared" si="40"/>
        <v>S</v>
      </c>
      <c r="F649" t="s">
        <v>39</v>
      </c>
      <c r="G649" t="s">
        <v>66</v>
      </c>
      <c r="H649" s="8">
        <v>119.78</v>
      </c>
      <c r="I649" s="3">
        <f t="shared" si="41"/>
        <v>0</v>
      </c>
      <c r="J649" s="4">
        <v>0</v>
      </c>
      <c r="K649" s="11">
        <f>Table1[[#This Row],[original_price]]* (Table1[[#This Row],[Markdown percentage updated]])</f>
        <v>0</v>
      </c>
      <c r="L6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49" s="6">
        <v>119.78</v>
      </c>
      <c r="N6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49" s="7">
        <v>45751</v>
      </c>
      <c r="P649">
        <v>22</v>
      </c>
      <c r="Q649" s="16" t="str">
        <f>IF(Table1[[#This Row],[stock_quantity]]=0,"NO STOCK",
IF(Table1[[#This Row],[stock_quantity]]&lt;=10,"LOW STOCK",
"IN STOCK"))</f>
        <v>IN STOCK</v>
      </c>
      <c r="R649" s="1">
        <f t="shared" si="42"/>
        <v>1.5</v>
      </c>
      <c r="S649">
        <v>1.5</v>
      </c>
      <c r="T649" t="b">
        <v>1</v>
      </c>
      <c r="U649" s="13" t="str">
        <f t="shared" si="43"/>
        <v>Color Mismatch</v>
      </c>
      <c r="V649" t="s">
        <v>36</v>
      </c>
    </row>
    <row r="650" spans="1:22" hidden="1" x14ac:dyDescent="0.3">
      <c r="A650" t="s">
        <v>703</v>
      </c>
      <c r="B650" t="s">
        <v>38</v>
      </c>
      <c r="C650" t="s">
        <v>32</v>
      </c>
      <c r="D650" t="s">
        <v>62</v>
      </c>
      <c r="E650" t="str">
        <f t="shared" si="40"/>
        <v>M</v>
      </c>
      <c r="F650" t="s">
        <v>55</v>
      </c>
      <c r="G650" t="s">
        <v>35</v>
      </c>
      <c r="H650" s="8">
        <v>110.6</v>
      </c>
      <c r="I650" s="3">
        <f t="shared" si="41"/>
        <v>0</v>
      </c>
      <c r="J650" s="4">
        <v>0</v>
      </c>
      <c r="K650" s="11">
        <f>Table1[[#This Row],[original_price]]* (Table1[[#This Row],[Markdown percentage updated]])</f>
        <v>0</v>
      </c>
      <c r="L6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50" s="6">
        <v>110.6</v>
      </c>
      <c r="N6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50" s="7">
        <v>45875</v>
      </c>
      <c r="P650">
        <v>19</v>
      </c>
      <c r="Q650" s="16" t="str">
        <f>IF(Table1[[#This Row],[stock_quantity]]=0,"NO STOCK",
IF(Table1[[#This Row],[stock_quantity]]&lt;=10,"LOW STOCK",
"IN STOCK"))</f>
        <v>IN STOCK</v>
      </c>
      <c r="R650" s="1">
        <f t="shared" si="42"/>
        <v>0</v>
      </c>
      <c r="T650" t="b">
        <v>1</v>
      </c>
      <c r="U650" s="13" t="str">
        <f t="shared" si="43"/>
        <v>Color Mismatch</v>
      </c>
      <c r="V650" t="s">
        <v>36</v>
      </c>
    </row>
    <row r="651" spans="1:22" hidden="1" x14ac:dyDescent="0.3">
      <c r="A651" t="s">
        <v>704</v>
      </c>
      <c r="B651" t="s">
        <v>21</v>
      </c>
      <c r="C651" t="s">
        <v>16</v>
      </c>
      <c r="D651" t="s">
        <v>17</v>
      </c>
      <c r="E651" t="str">
        <f t="shared" si="40"/>
        <v>OS</v>
      </c>
      <c r="F651" t="s">
        <v>39</v>
      </c>
      <c r="G651" t="s">
        <v>66</v>
      </c>
      <c r="H651" s="8">
        <v>58.16</v>
      </c>
      <c r="I651" s="3">
        <f t="shared" si="41"/>
        <v>0</v>
      </c>
      <c r="J651" s="4">
        <v>0</v>
      </c>
      <c r="K651" s="11">
        <f>Table1[[#This Row],[original_price]]* (Table1[[#This Row],[Markdown percentage updated]])</f>
        <v>0</v>
      </c>
      <c r="L6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51" s="6">
        <v>58.16</v>
      </c>
      <c r="N6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51" s="7">
        <v>45840</v>
      </c>
      <c r="P651">
        <v>29</v>
      </c>
      <c r="Q651" s="16" t="str">
        <f>IF(Table1[[#This Row],[stock_quantity]]=0,"NO STOCK",
IF(Table1[[#This Row],[stock_quantity]]&lt;=10,"LOW STOCK",
"IN STOCK"))</f>
        <v>IN STOCK</v>
      </c>
      <c r="R651" s="1">
        <f t="shared" si="42"/>
        <v>4.0999999999999996</v>
      </c>
      <c r="S651">
        <v>4.0999999999999996</v>
      </c>
      <c r="T651" t="b">
        <v>0</v>
      </c>
      <c r="U651" t="str">
        <f t="shared" si="43"/>
        <v>No Return</v>
      </c>
    </row>
    <row r="652" spans="1:22" hidden="1" x14ac:dyDescent="0.3">
      <c r="A652" t="s">
        <v>705</v>
      </c>
      <c r="B652" t="s">
        <v>15</v>
      </c>
      <c r="C652" t="s">
        <v>43</v>
      </c>
      <c r="D652" t="s">
        <v>34</v>
      </c>
      <c r="E652" t="str">
        <f t="shared" si="40"/>
        <v>XS</v>
      </c>
      <c r="F652" t="s">
        <v>39</v>
      </c>
      <c r="G652" t="s">
        <v>46</v>
      </c>
      <c r="H652" s="8">
        <v>208.82</v>
      </c>
      <c r="I652" s="3">
        <f t="shared" si="41"/>
        <v>0</v>
      </c>
      <c r="J652" s="4">
        <v>0</v>
      </c>
      <c r="K652" s="11">
        <f>Table1[[#This Row],[original_price]]* (Table1[[#This Row],[Markdown percentage updated]])</f>
        <v>0</v>
      </c>
      <c r="L6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52" s="6">
        <v>208.82</v>
      </c>
      <c r="N6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52" s="7">
        <v>45875</v>
      </c>
      <c r="P652">
        <v>45</v>
      </c>
      <c r="Q652" s="16" t="str">
        <f>IF(Table1[[#This Row],[stock_quantity]]=0,"NO STOCK",
IF(Table1[[#This Row],[stock_quantity]]&lt;=10,"LOW STOCK",
"IN STOCK"))</f>
        <v>IN STOCK</v>
      </c>
      <c r="R652" s="1">
        <f t="shared" si="42"/>
        <v>1.8</v>
      </c>
      <c r="S652">
        <v>1.8</v>
      </c>
      <c r="T652" t="b">
        <v>0</v>
      </c>
      <c r="U652" t="str">
        <f t="shared" si="43"/>
        <v>No Return</v>
      </c>
    </row>
    <row r="653" spans="1:22" hidden="1" x14ac:dyDescent="0.3">
      <c r="A653" t="s">
        <v>706</v>
      </c>
      <c r="B653" t="s">
        <v>30</v>
      </c>
      <c r="C653" t="s">
        <v>53</v>
      </c>
      <c r="D653" t="s">
        <v>23</v>
      </c>
      <c r="E653" t="str">
        <f t="shared" si="40"/>
        <v>XXL</v>
      </c>
      <c r="F653" t="s">
        <v>58</v>
      </c>
      <c r="G653" t="s">
        <v>28</v>
      </c>
      <c r="H653" s="8">
        <v>192.74</v>
      </c>
      <c r="I653" s="3">
        <f t="shared" si="41"/>
        <v>0</v>
      </c>
      <c r="J653" s="4">
        <v>0</v>
      </c>
      <c r="K653" s="11">
        <f>Table1[[#This Row],[original_price]]* (Table1[[#This Row],[Markdown percentage updated]])</f>
        <v>0</v>
      </c>
      <c r="L6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53" s="6">
        <v>192.74</v>
      </c>
      <c r="N6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53" s="7">
        <v>45875</v>
      </c>
      <c r="P653">
        <v>43</v>
      </c>
      <c r="Q653" s="16" t="str">
        <f>IF(Table1[[#This Row],[stock_quantity]]=0,"NO STOCK",
IF(Table1[[#This Row],[stock_quantity]]&lt;=10,"LOW STOCK",
"IN STOCK"))</f>
        <v>IN STOCK</v>
      </c>
      <c r="R653" s="1">
        <f t="shared" si="42"/>
        <v>4.3</v>
      </c>
      <c r="S653">
        <v>4.3</v>
      </c>
      <c r="T653" t="b">
        <v>0</v>
      </c>
      <c r="U653" t="str">
        <f t="shared" si="43"/>
        <v>No Return</v>
      </c>
    </row>
    <row r="654" spans="1:22" hidden="1" x14ac:dyDescent="0.3">
      <c r="A654" t="s">
        <v>707</v>
      </c>
      <c r="B654" t="s">
        <v>27</v>
      </c>
      <c r="C654" t="s">
        <v>61</v>
      </c>
      <c r="D654" t="s">
        <v>34</v>
      </c>
      <c r="E654" t="str">
        <f t="shared" si="40"/>
        <v>OS</v>
      </c>
      <c r="G654" t="s">
        <v>19</v>
      </c>
      <c r="H654" s="8">
        <v>71.819999999999993</v>
      </c>
      <c r="I654" s="3">
        <f t="shared" si="41"/>
        <v>0.184</v>
      </c>
      <c r="J654" s="4">
        <v>18.399999999999999</v>
      </c>
      <c r="K654" s="11">
        <f>Table1[[#This Row],[original_price]]* (Table1[[#This Row],[Markdown percentage updated]])</f>
        <v>13.214879999999999</v>
      </c>
      <c r="L6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54" s="6">
        <v>58.61</v>
      </c>
      <c r="N6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654" s="7">
        <v>45875</v>
      </c>
      <c r="P654">
        <v>50</v>
      </c>
      <c r="Q654" s="16" t="str">
        <f>IF(Table1[[#This Row],[stock_quantity]]=0,"NO STOCK",
IF(Table1[[#This Row],[stock_quantity]]&lt;=10,"LOW STOCK",
"IN STOCK"))</f>
        <v>IN STOCK</v>
      </c>
      <c r="R654" s="1">
        <f t="shared" si="42"/>
        <v>1.9</v>
      </c>
      <c r="S654">
        <v>1.9</v>
      </c>
      <c r="T654" t="b">
        <v>0</v>
      </c>
      <c r="U654" t="str">
        <f t="shared" si="43"/>
        <v>No Return</v>
      </c>
    </row>
    <row r="655" spans="1:22" hidden="1" x14ac:dyDescent="0.3">
      <c r="A655" t="s">
        <v>708</v>
      </c>
      <c r="B655" t="s">
        <v>30</v>
      </c>
      <c r="C655" t="s">
        <v>16</v>
      </c>
      <c r="D655" t="s">
        <v>62</v>
      </c>
      <c r="E655" t="str">
        <f t="shared" si="40"/>
        <v>L</v>
      </c>
      <c r="F655" t="s">
        <v>55</v>
      </c>
      <c r="G655" t="s">
        <v>19</v>
      </c>
      <c r="H655" s="8">
        <v>145.4</v>
      </c>
      <c r="I655" s="3">
        <f t="shared" si="41"/>
        <v>0</v>
      </c>
      <c r="J655" s="4">
        <v>0</v>
      </c>
      <c r="K655" s="11">
        <f>Table1[[#This Row],[original_price]]* (Table1[[#This Row],[Markdown percentage updated]])</f>
        <v>0</v>
      </c>
      <c r="L6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55" s="6">
        <v>145.4</v>
      </c>
      <c r="N6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55" s="7">
        <v>45875</v>
      </c>
      <c r="P655">
        <v>14</v>
      </c>
      <c r="Q655" s="16" t="str">
        <f>IF(Table1[[#This Row],[stock_quantity]]=0,"NO STOCK",
IF(Table1[[#This Row],[stock_quantity]]&lt;=10,"LOW STOCK",
"IN STOCK"))</f>
        <v>IN STOCK</v>
      </c>
      <c r="R655" s="1">
        <f t="shared" si="42"/>
        <v>2</v>
      </c>
      <c r="S655">
        <v>2</v>
      </c>
      <c r="T655" t="b">
        <v>0</v>
      </c>
      <c r="U655" t="str">
        <f t="shared" si="43"/>
        <v>No Return</v>
      </c>
    </row>
    <row r="656" spans="1:22" hidden="1" x14ac:dyDescent="0.3">
      <c r="A656" t="s">
        <v>709</v>
      </c>
      <c r="B656" t="s">
        <v>38</v>
      </c>
      <c r="C656" t="s">
        <v>43</v>
      </c>
      <c r="D656" t="s">
        <v>62</v>
      </c>
      <c r="E656" t="str">
        <f t="shared" si="40"/>
        <v>S</v>
      </c>
      <c r="F656" t="s">
        <v>49</v>
      </c>
      <c r="G656" t="s">
        <v>70</v>
      </c>
      <c r="H656" s="8">
        <v>51.94</v>
      </c>
      <c r="I656" s="3">
        <f t="shared" si="41"/>
        <v>0</v>
      </c>
      <c r="J656" s="4">
        <v>0</v>
      </c>
      <c r="K656" s="11">
        <f>Table1[[#This Row],[original_price]]* (Table1[[#This Row],[Markdown percentage updated]])</f>
        <v>0</v>
      </c>
      <c r="L6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56" s="6">
        <v>51.94</v>
      </c>
      <c r="N6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56" s="7">
        <v>45875</v>
      </c>
      <c r="P656">
        <v>9</v>
      </c>
      <c r="Q656" s="17" t="str">
        <f>IF(Table1[[#This Row],[stock_quantity]]=0,"NO STOCK",
IF(Table1[[#This Row],[stock_quantity]]&lt;=10,"LOW STOCK",
"IN STOCK"))</f>
        <v>LOW STOCK</v>
      </c>
      <c r="R656" s="1">
        <f t="shared" si="42"/>
        <v>3.2</v>
      </c>
      <c r="S656">
        <v>3.2</v>
      </c>
      <c r="T656" t="b">
        <v>0</v>
      </c>
      <c r="U656" t="str">
        <f t="shared" si="43"/>
        <v>No Return</v>
      </c>
    </row>
    <row r="657" spans="1:22" hidden="1" x14ac:dyDescent="0.3">
      <c r="A657" t="s">
        <v>710</v>
      </c>
      <c r="B657" t="s">
        <v>27</v>
      </c>
      <c r="C657" t="s">
        <v>53</v>
      </c>
      <c r="D657" t="s">
        <v>17</v>
      </c>
      <c r="E657" t="str">
        <f t="shared" si="40"/>
        <v>OS</v>
      </c>
      <c r="G657" t="s">
        <v>28</v>
      </c>
      <c r="H657" s="8">
        <v>77.48</v>
      </c>
      <c r="I657" s="3">
        <f t="shared" si="41"/>
        <v>0</v>
      </c>
      <c r="J657" s="4">
        <v>0</v>
      </c>
      <c r="K657" s="11">
        <f>Table1[[#This Row],[original_price]]* (Table1[[#This Row],[Markdown percentage updated]])</f>
        <v>0</v>
      </c>
      <c r="L6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57" s="6">
        <v>77.48</v>
      </c>
      <c r="N6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57" s="7">
        <v>45572</v>
      </c>
      <c r="P657">
        <v>49</v>
      </c>
      <c r="Q657" s="16" t="str">
        <f>IF(Table1[[#This Row],[stock_quantity]]=0,"NO STOCK",
IF(Table1[[#This Row],[stock_quantity]]&lt;=10,"LOW STOCK",
"IN STOCK"))</f>
        <v>IN STOCK</v>
      </c>
      <c r="R657" s="1">
        <f t="shared" si="42"/>
        <v>3.3</v>
      </c>
      <c r="S657">
        <v>3.3</v>
      </c>
      <c r="T657" t="b">
        <v>1</v>
      </c>
      <c r="U657" s="13" t="str">
        <f t="shared" si="43"/>
        <v>Quality Issue</v>
      </c>
      <c r="V657" t="s">
        <v>83</v>
      </c>
    </row>
    <row r="658" spans="1:22" hidden="1" x14ac:dyDescent="0.3">
      <c r="A658" t="s">
        <v>711</v>
      </c>
      <c r="B658" t="s">
        <v>42</v>
      </c>
      <c r="C658" t="s">
        <v>43</v>
      </c>
      <c r="D658" t="s">
        <v>62</v>
      </c>
      <c r="E658" t="str">
        <f t="shared" si="40"/>
        <v>M</v>
      </c>
      <c r="F658" t="s">
        <v>24</v>
      </c>
      <c r="G658" t="s">
        <v>28</v>
      </c>
      <c r="H658" s="8">
        <v>59.66</v>
      </c>
      <c r="I658" s="3">
        <f t="shared" si="41"/>
        <v>0.45200000000000001</v>
      </c>
      <c r="J658" s="4">
        <v>45.2</v>
      </c>
      <c r="K658" s="11">
        <f>Table1[[#This Row],[original_price]]* (Table1[[#This Row],[Markdown percentage updated]])</f>
        <v>26.96632</v>
      </c>
      <c r="L6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58" s="6">
        <v>32.69</v>
      </c>
      <c r="N6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58" s="7">
        <v>45875</v>
      </c>
      <c r="P658">
        <v>14</v>
      </c>
      <c r="Q658" s="16" t="str">
        <f>IF(Table1[[#This Row],[stock_quantity]]=0,"NO STOCK",
IF(Table1[[#This Row],[stock_quantity]]&lt;=10,"LOW STOCK",
"IN STOCK"))</f>
        <v>IN STOCK</v>
      </c>
      <c r="R658" s="1">
        <f t="shared" si="42"/>
        <v>2.6</v>
      </c>
      <c r="S658">
        <v>2.6</v>
      </c>
      <c r="T658" t="b">
        <v>0</v>
      </c>
      <c r="U658" t="str">
        <f t="shared" si="43"/>
        <v>No Return</v>
      </c>
    </row>
    <row r="659" spans="1:22" hidden="1" x14ac:dyDescent="0.3">
      <c r="A659" t="s">
        <v>712</v>
      </c>
      <c r="B659" t="s">
        <v>38</v>
      </c>
      <c r="C659" t="s">
        <v>22</v>
      </c>
      <c r="D659" t="s">
        <v>62</v>
      </c>
      <c r="E659" t="str">
        <f t="shared" si="40"/>
        <v>OS</v>
      </c>
      <c r="F659" t="s">
        <v>39</v>
      </c>
      <c r="G659" t="s">
        <v>19</v>
      </c>
      <c r="H659" s="8">
        <v>102.07</v>
      </c>
      <c r="I659" s="3">
        <f t="shared" si="41"/>
        <v>0</v>
      </c>
      <c r="J659" s="4">
        <v>0</v>
      </c>
      <c r="K659" s="11">
        <f>Table1[[#This Row],[original_price]]* (Table1[[#This Row],[Markdown percentage updated]])</f>
        <v>0</v>
      </c>
      <c r="L6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59" s="6">
        <v>102.07</v>
      </c>
      <c r="N6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59" s="7">
        <v>45875</v>
      </c>
      <c r="P659">
        <v>26</v>
      </c>
      <c r="Q659" s="16" t="str">
        <f>IF(Table1[[#This Row],[stock_quantity]]=0,"NO STOCK",
IF(Table1[[#This Row],[stock_quantity]]&lt;=10,"LOW STOCK",
"IN STOCK"))</f>
        <v>IN STOCK</v>
      </c>
      <c r="R659" s="1">
        <f t="shared" si="42"/>
        <v>0</v>
      </c>
      <c r="T659" t="b">
        <v>1</v>
      </c>
      <c r="U659" s="13" t="str">
        <f t="shared" si="43"/>
        <v>Color Mismatch</v>
      </c>
      <c r="V659" t="s">
        <v>36</v>
      </c>
    </row>
    <row r="660" spans="1:22" hidden="1" x14ac:dyDescent="0.3">
      <c r="A660" t="s">
        <v>713</v>
      </c>
      <c r="B660" t="s">
        <v>27</v>
      </c>
      <c r="C660" t="s">
        <v>32</v>
      </c>
      <c r="D660" t="s">
        <v>17</v>
      </c>
      <c r="E660" t="str">
        <f t="shared" si="40"/>
        <v>XS</v>
      </c>
      <c r="G660" t="s">
        <v>40</v>
      </c>
      <c r="H660" s="8">
        <v>48.57</v>
      </c>
      <c r="I660" s="3">
        <f t="shared" si="41"/>
        <v>0</v>
      </c>
      <c r="J660" s="4">
        <v>0</v>
      </c>
      <c r="K660" s="11">
        <f>Table1[[#This Row],[original_price]]* (Table1[[#This Row],[Markdown percentage updated]])</f>
        <v>0</v>
      </c>
      <c r="L6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60" s="6">
        <v>48.57</v>
      </c>
      <c r="N6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60" s="7">
        <v>45632</v>
      </c>
      <c r="P660">
        <v>12</v>
      </c>
      <c r="Q660" s="16" t="str">
        <f>IF(Table1[[#This Row],[stock_quantity]]=0,"NO STOCK",
IF(Table1[[#This Row],[stock_quantity]]&lt;=10,"LOW STOCK",
"IN STOCK"))</f>
        <v>IN STOCK</v>
      </c>
      <c r="R660" s="1">
        <f t="shared" si="42"/>
        <v>4.7</v>
      </c>
      <c r="S660">
        <v>4.7</v>
      </c>
      <c r="T660" t="b">
        <v>0</v>
      </c>
      <c r="U660" t="str">
        <f t="shared" si="43"/>
        <v>No Return</v>
      </c>
    </row>
    <row r="661" spans="1:22" hidden="1" x14ac:dyDescent="0.3">
      <c r="A661" t="s">
        <v>714</v>
      </c>
      <c r="B661" t="s">
        <v>30</v>
      </c>
      <c r="C661" t="s">
        <v>61</v>
      </c>
      <c r="D661" t="s">
        <v>62</v>
      </c>
      <c r="E661" t="str">
        <f t="shared" si="40"/>
        <v>OS</v>
      </c>
      <c r="F661" t="s">
        <v>58</v>
      </c>
      <c r="G661" t="s">
        <v>64</v>
      </c>
      <c r="H661" s="8">
        <v>121.55</v>
      </c>
      <c r="I661" s="3">
        <f t="shared" si="41"/>
        <v>0</v>
      </c>
      <c r="J661" s="4">
        <v>0</v>
      </c>
      <c r="K661" s="11">
        <f>Table1[[#This Row],[original_price]]* (Table1[[#This Row],[Markdown percentage updated]])</f>
        <v>0</v>
      </c>
      <c r="L6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61" s="6">
        <v>121.55</v>
      </c>
      <c r="N6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61" s="7">
        <v>45875</v>
      </c>
      <c r="P661">
        <v>16</v>
      </c>
      <c r="Q661" s="16" t="str">
        <f>IF(Table1[[#This Row],[stock_quantity]]=0,"NO STOCK",
IF(Table1[[#This Row],[stock_quantity]]&lt;=10,"LOW STOCK",
"IN STOCK"))</f>
        <v>IN STOCK</v>
      </c>
      <c r="R661" s="1">
        <f t="shared" si="42"/>
        <v>0</v>
      </c>
      <c r="T661" t="b">
        <v>1</v>
      </c>
      <c r="U661" s="13" t="str">
        <f t="shared" si="43"/>
        <v>Damaged</v>
      </c>
      <c r="V661" t="s">
        <v>78</v>
      </c>
    </row>
    <row r="662" spans="1:22" hidden="1" x14ac:dyDescent="0.3">
      <c r="A662" t="s">
        <v>715</v>
      </c>
      <c r="B662" t="s">
        <v>27</v>
      </c>
      <c r="C662" t="s">
        <v>53</v>
      </c>
      <c r="D662" t="s">
        <v>23</v>
      </c>
      <c r="E662" t="str">
        <f t="shared" si="40"/>
        <v>XXL</v>
      </c>
      <c r="G662" t="s">
        <v>64</v>
      </c>
      <c r="H662" s="8">
        <v>59.22</v>
      </c>
      <c r="I662" s="3">
        <f t="shared" si="41"/>
        <v>0.44799999999999995</v>
      </c>
      <c r="J662" s="4">
        <v>44.8</v>
      </c>
      <c r="K662" s="11">
        <f>Table1[[#This Row],[original_price]]* (Table1[[#This Row],[Markdown percentage updated]])</f>
        <v>26.530559999999998</v>
      </c>
      <c r="L6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62" s="6">
        <v>32.69</v>
      </c>
      <c r="N6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62" s="7">
        <v>45875</v>
      </c>
      <c r="P662">
        <v>21</v>
      </c>
      <c r="Q662" s="16" t="str">
        <f>IF(Table1[[#This Row],[stock_quantity]]=0,"NO STOCK",
IF(Table1[[#This Row],[stock_quantity]]&lt;=10,"LOW STOCK",
"IN STOCK"))</f>
        <v>IN STOCK</v>
      </c>
      <c r="R662" s="1">
        <f t="shared" si="42"/>
        <v>2</v>
      </c>
      <c r="S662">
        <v>2</v>
      </c>
      <c r="T662" t="b">
        <v>0</v>
      </c>
      <c r="U662" t="str">
        <f t="shared" si="43"/>
        <v>No Return</v>
      </c>
    </row>
    <row r="663" spans="1:22" hidden="1" x14ac:dyDescent="0.3">
      <c r="A663" t="s">
        <v>716</v>
      </c>
      <c r="B663" t="s">
        <v>21</v>
      </c>
      <c r="C663" t="s">
        <v>53</v>
      </c>
      <c r="D663" t="s">
        <v>17</v>
      </c>
      <c r="E663" t="str">
        <f t="shared" si="40"/>
        <v>XS</v>
      </c>
      <c r="F663" t="s">
        <v>55</v>
      </c>
      <c r="G663" t="s">
        <v>56</v>
      </c>
      <c r="H663" s="8">
        <v>58.5</v>
      </c>
      <c r="I663" s="3">
        <f t="shared" si="41"/>
        <v>2.1000000000000001E-2</v>
      </c>
      <c r="J663" s="4">
        <v>2.1</v>
      </c>
      <c r="K663" s="11">
        <f>Table1[[#This Row],[original_price]]* (Table1[[#This Row],[Markdown percentage updated]])</f>
        <v>1.2285000000000001</v>
      </c>
      <c r="L6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63" s="6">
        <v>57.27</v>
      </c>
      <c r="N6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63" s="7">
        <v>45800</v>
      </c>
      <c r="P663">
        <v>24</v>
      </c>
      <c r="Q663" s="16" t="str">
        <f>IF(Table1[[#This Row],[stock_quantity]]=0,"NO STOCK",
IF(Table1[[#This Row],[stock_quantity]]&lt;=10,"LOW STOCK",
"IN STOCK"))</f>
        <v>IN STOCK</v>
      </c>
      <c r="R663" s="1">
        <f t="shared" si="42"/>
        <v>3.9</v>
      </c>
      <c r="S663">
        <v>3.9</v>
      </c>
      <c r="T663" t="b">
        <v>0</v>
      </c>
      <c r="U663" t="str">
        <f t="shared" si="43"/>
        <v>No Return</v>
      </c>
    </row>
    <row r="664" spans="1:22" hidden="1" x14ac:dyDescent="0.3">
      <c r="A664" t="s">
        <v>717</v>
      </c>
      <c r="B664" t="s">
        <v>27</v>
      </c>
      <c r="C664" t="s">
        <v>75</v>
      </c>
      <c r="D664" t="s">
        <v>34</v>
      </c>
      <c r="E664" t="str">
        <f t="shared" si="40"/>
        <v>OS</v>
      </c>
      <c r="G664" t="s">
        <v>46</v>
      </c>
      <c r="H664" s="8">
        <v>73.849999999999994</v>
      </c>
      <c r="I664" s="3">
        <f t="shared" si="41"/>
        <v>0</v>
      </c>
      <c r="J664" s="4">
        <v>0</v>
      </c>
      <c r="K664" s="11">
        <f>Table1[[#This Row],[original_price]]* (Table1[[#This Row],[Markdown percentage updated]])</f>
        <v>0</v>
      </c>
      <c r="L6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64" s="6">
        <v>73.849999999999994</v>
      </c>
      <c r="N6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64" s="7">
        <v>45875</v>
      </c>
      <c r="P664">
        <v>46</v>
      </c>
      <c r="Q664" s="16" t="str">
        <f>IF(Table1[[#This Row],[stock_quantity]]=0,"NO STOCK",
IF(Table1[[#This Row],[stock_quantity]]&lt;=10,"LOW STOCK",
"IN STOCK"))</f>
        <v>IN STOCK</v>
      </c>
      <c r="R664" s="1">
        <f t="shared" si="42"/>
        <v>2</v>
      </c>
      <c r="S664">
        <v>2</v>
      </c>
      <c r="T664" t="b">
        <v>0</v>
      </c>
      <c r="U664" t="str">
        <f t="shared" si="43"/>
        <v>No Return</v>
      </c>
    </row>
    <row r="665" spans="1:22" hidden="1" x14ac:dyDescent="0.3">
      <c r="A665" t="s">
        <v>718</v>
      </c>
      <c r="B665" t="s">
        <v>38</v>
      </c>
      <c r="C665" t="s">
        <v>48</v>
      </c>
      <c r="D665" t="s">
        <v>62</v>
      </c>
      <c r="E665" t="str">
        <f t="shared" si="40"/>
        <v>L</v>
      </c>
      <c r="F665" t="s">
        <v>49</v>
      </c>
      <c r="G665" t="s">
        <v>19</v>
      </c>
      <c r="H665" s="8">
        <v>114.32</v>
      </c>
      <c r="I665" s="3">
        <f t="shared" si="41"/>
        <v>0.36499999999999999</v>
      </c>
      <c r="J665" s="4">
        <v>36.5</v>
      </c>
      <c r="K665" s="11">
        <f>Table1[[#This Row],[original_price]]* (Table1[[#This Row],[Markdown percentage updated]])</f>
        <v>41.726799999999997</v>
      </c>
      <c r="L6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65" s="6">
        <v>72.59</v>
      </c>
      <c r="N6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65" s="7">
        <v>45875</v>
      </c>
      <c r="P665">
        <v>41</v>
      </c>
      <c r="Q665" s="16" t="str">
        <f>IF(Table1[[#This Row],[stock_quantity]]=0,"NO STOCK",
IF(Table1[[#This Row],[stock_quantity]]&lt;=10,"LOW STOCK",
"IN STOCK"))</f>
        <v>IN STOCK</v>
      </c>
      <c r="R665" s="1">
        <f t="shared" si="42"/>
        <v>4.0999999999999996</v>
      </c>
      <c r="S665">
        <v>4.0999999999999996</v>
      </c>
      <c r="T665" t="b">
        <v>0</v>
      </c>
      <c r="U665" t="str">
        <f t="shared" si="43"/>
        <v>No Return</v>
      </c>
    </row>
    <row r="666" spans="1:22" hidden="1" x14ac:dyDescent="0.3">
      <c r="A666" t="s">
        <v>719</v>
      </c>
      <c r="B666" t="s">
        <v>38</v>
      </c>
      <c r="C666" t="s">
        <v>75</v>
      </c>
      <c r="D666" t="s">
        <v>62</v>
      </c>
      <c r="E666" t="str">
        <f t="shared" si="40"/>
        <v>XL</v>
      </c>
      <c r="F666" t="s">
        <v>55</v>
      </c>
      <c r="G666" t="s">
        <v>40</v>
      </c>
      <c r="H666" s="8">
        <v>91.4</v>
      </c>
      <c r="I666" s="3">
        <f t="shared" si="41"/>
        <v>0.11</v>
      </c>
      <c r="J666" s="4">
        <v>11</v>
      </c>
      <c r="K666" s="11">
        <f>Table1[[#This Row],[original_price]]* (Table1[[#This Row],[Markdown percentage updated]])</f>
        <v>10.054</v>
      </c>
      <c r="L6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66" s="6">
        <v>81.349999999999994</v>
      </c>
      <c r="N6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666" s="7">
        <v>45875</v>
      </c>
      <c r="P666">
        <v>18</v>
      </c>
      <c r="Q666" s="16" t="str">
        <f>IF(Table1[[#This Row],[stock_quantity]]=0,"NO STOCK",
IF(Table1[[#This Row],[stock_quantity]]&lt;=10,"LOW STOCK",
"IN STOCK"))</f>
        <v>IN STOCK</v>
      </c>
      <c r="R666" s="1">
        <f t="shared" si="42"/>
        <v>1.6</v>
      </c>
      <c r="S666">
        <v>1.6</v>
      </c>
      <c r="T666" t="b">
        <v>0</v>
      </c>
      <c r="U666" t="str">
        <f t="shared" si="43"/>
        <v>No Return</v>
      </c>
    </row>
    <row r="667" spans="1:22" hidden="1" x14ac:dyDescent="0.3">
      <c r="A667" t="s">
        <v>720</v>
      </c>
      <c r="B667" t="s">
        <v>27</v>
      </c>
      <c r="C667" t="s">
        <v>75</v>
      </c>
      <c r="D667" t="s">
        <v>23</v>
      </c>
      <c r="E667" t="str">
        <f t="shared" si="40"/>
        <v>XL</v>
      </c>
      <c r="G667" t="s">
        <v>64</v>
      </c>
      <c r="H667" s="8">
        <v>69.77</v>
      </c>
      <c r="I667" s="3">
        <f t="shared" si="41"/>
        <v>0</v>
      </c>
      <c r="J667" s="4">
        <v>0</v>
      </c>
      <c r="K667" s="11">
        <f>Table1[[#This Row],[original_price]]* (Table1[[#This Row],[Markdown percentage updated]])</f>
        <v>0</v>
      </c>
      <c r="L6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67" s="6">
        <v>69.77</v>
      </c>
      <c r="N6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67" s="7">
        <v>45875</v>
      </c>
      <c r="P667">
        <v>30</v>
      </c>
      <c r="Q667" s="16" t="str">
        <f>IF(Table1[[#This Row],[stock_quantity]]=0,"NO STOCK",
IF(Table1[[#This Row],[stock_quantity]]&lt;=10,"LOW STOCK",
"IN STOCK"))</f>
        <v>IN STOCK</v>
      </c>
      <c r="R667" s="1">
        <f t="shared" si="42"/>
        <v>0</v>
      </c>
      <c r="T667" t="b">
        <v>1</v>
      </c>
      <c r="U667" s="13" t="str">
        <f t="shared" si="43"/>
        <v>Color Mismatch</v>
      </c>
      <c r="V667" t="s">
        <v>36</v>
      </c>
    </row>
    <row r="668" spans="1:22" hidden="1" x14ac:dyDescent="0.3">
      <c r="A668" t="s">
        <v>721</v>
      </c>
      <c r="B668" t="s">
        <v>21</v>
      </c>
      <c r="C668" t="s">
        <v>48</v>
      </c>
      <c r="D668" t="s">
        <v>62</v>
      </c>
      <c r="E668" t="str">
        <f t="shared" si="40"/>
        <v>XS</v>
      </c>
      <c r="F668" t="s">
        <v>24</v>
      </c>
      <c r="G668" t="s">
        <v>28</v>
      </c>
      <c r="H668" s="8">
        <v>72.95</v>
      </c>
      <c r="I668" s="3">
        <f t="shared" si="41"/>
        <v>0</v>
      </c>
      <c r="J668" s="4">
        <v>0</v>
      </c>
      <c r="K668" s="11">
        <f>Table1[[#This Row],[original_price]]* (Table1[[#This Row],[Markdown percentage updated]])</f>
        <v>0</v>
      </c>
      <c r="L6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68" s="6">
        <v>72.95</v>
      </c>
      <c r="N6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68" s="7">
        <v>45875</v>
      </c>
      <c r="P668">
        <v>27</v>
      </c>
      <c r="Q668" s="16" t="str">
        <f>IF(Table1[[#This Row],[stock_quantity]]=0,"NO STOCK",
IF(Table1[[#This Row],[stock_quantity]]&lt;=10,"LOW STOCK",
"IN STOCK"))</f>
        <v>IN STOCK</v>
      </c>
      <c r="R668" s="1">
        <f t="shared" si="42"/>
        <v>4.8</v>
      </c>
      <c r="S668">
        <v>4.8</v>
      </c>
      <c r="T668" t="b">
        <v>0</v>
      </c>
      <c r="U668" t="str">
        <f t="shared" si="43"/>
        <v>No Return</v>
      </c>
    </row>
    <row r="669" spans="1:22" hidden="1" x14ac:dyDescent="0.3">
      <c r="A669" t="s">
        <v>722</v>
      </c>
      <c r="B669" t="s">
        <v>38</v>
      </c>
      <c r="C669" t="s">
        <v>53</v>
      </c>
      <c r="D669" t="s">
        <v>62</v>
      </c>
      <c r="E669" t="str">
        <f t="shared" si="40"/>
        <v>M</v>
      </c>
      <c r="F669" t="s">
        <v>18</v>
      </c>
      <c r="G669" t="s">
        <v>56</v>
      </c>
      <c r="H669" s="8">
        <v>63.99</v>
      </c>
      <c r="I669" s="3">
        <f t="shared" si="41"/>
        <v>0.42200000000000004</v>
      </c>
      <c r="J669" s="4">
        <v>42.2</v>
      </c>
      <c r="K669" s="11">
        <f>Table1[[#This Row],[original_price]]* (Table1[[#This Row],[Markdown percentage updated]])</f>
        <v>27.003780000000003</v>
      </c>
      <c r="L6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69" s="6">
        <v>36.99</v>
      </c>
      <c r="N6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69" s="7">
        <v>45875</v>
      </c>
      <c r="P669">
        <v>35</v>
      </c>
      <c r="Q669" s="16" t="str">
        <f>IF(Table1[[#This Row],[stock_quantity]]=0,"NO STOCK",
IF(Table1[[#This Row],[stock_quantity]]&lt;=10,"LOW STOCK",
"IN STOCK"))</f>
        <v>IN STOCK</v>
      </c>
      <c r="R669" s="1">
        <f t="shared" si="42"/>
        <v>3.2</v>
      </c>
      <c r="S669">
        <v>3.2</v>
      </c>
      <c r="T669" t="b">
        <v>0</v>
      </c>
      <c r="U669" t="str">
        <f t="shared" si="43"/>
        <v>No Return</v>
      </c>
    </row>
    <row r="670" spans="1:22" hidden="1" x14ac:dyDescent="0.3">
      <c r="A670" t="s">
        <v>723</v>
      </c>
      <c r="B670" t="s">
        <v>42</v>
      </c>
      <c r="C670" t="s">
        <v>32</v>
      </c>
      <c r="D670" t="s">
        <v>62</v>
      </c>
      <c r="E670" t="str">
        <f t="shared" si="40"/>
        <v>XS</v>
      </c>
      <c r="F670" t="s">
        <v>18</v>
      </c>
      <c r="G670" t="s">
        <v>44</v>
      </c>
      <c r="H670" s="8">
        <v>74.84</v>
      </c>
      <c r="I670" s="3">
        <f t="shared" si="41"/>
        <v>0.51900000000000002</v>
      </c>
      <c r="J670" s="4">
        <v>51.9</v>
      </c>
      <c r="K670" s="11">
        <f>Table1[[#This Row],[original_price]]* (Table1[[#This Row],[Markdown percentage updated]])</f>
        <v>38.84196</v>
      </c>
      <c r="L6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70" s="6">
        <v>36</v>
      </c>
      <c r="N6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70" s="7">
        <v>45875</v>
      </c>
      <c r="P670">
        <v>35</v>
      </c>
      <c r="Q670" s="16" t="str">
        <f>IF(Table1[[#This Row],[stock_quantity]]=0,"NO STOCK",
IF(Table1[[#This Row],[stock_quantity]]&lt;=10,"LOW STOCK",
"IN STOCK"))</f>
        <v>IN STOCK</v>
      </c>
      <c r="R670" s="1">
        <f t="shared" si="42"/>
        <v>2.5</v>
      </c>
      <c r="S670">
        <v>2.5</v>
      </c>
      <c r="T670" t="b">
        <v>0</v>
      </c>
      <c r="U670" t="str">
        <f t="shared" si="43"/>
        <v>No Return</v>
      </c>
    </row>
    <row r="671" spans="1:22" hidden="1" x14ac:dyDescent="0.3">
      <c r="A671" t="s">
        <v>724</v>
      </c>
      <c r="B671" t="s">
        <v>15</v>
      </c>
      <c r="C671" t="s">
        <v>48</v>
      </c>
      <c r="D671" t="s">
        <v>17</v>
      </c>
      <c r="E671" t="str">
        <f t="shared" si="40"/>
        <v>L</v>
      </c>
      <c r="F671" t="s">
        <v>55</v>
      </c>
      <c r="G671" t="s">
        <v>28</v>
      </c>
      <c r="H671" s="8">
        <v>158.84</v>
      </c>
      <c r="I671" s="3">
        <f t="shared" si="41"/>
        <v>0</v>
      </c>
      <c r="J671" s="4">
        <v>0</v>
      </c>
      <c r="K671" s="11">
        <f>Table1[[#This Row],[original_price]]* (Table1[[#This Row],[Markdown percentage updated]])</f>
        <v>0</v>
      </c>
      <c r="L6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71" s="6">
        <v>158.84</v>
      </c>
      <c r="N6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71" s="7">
        <v>45763</v>
      </c>
      <c r="P671">
        <v>30</v>
      </c>
      <c r="Q671" s="16" t="str">
        <f>IF(Table1[[#This Row],[stock_quantity]]=0,"NO STOCK",
IF(Table1[[#This Row],[stock_quantity]]&lt;=10,"LOW STOCK",
"IN STOCK"))</f>
        <v>IN STOCK</v>
      </c>
      <c r="R671" s="1">
        <f t="shared" si="42"/>
        <v>4.5999999999999996</v>
      </c>
      <c r="S671">
        <v>4.5999999999999996</v>
      </c>
      <c r="T671" t="b">
        <v>0</v>
      </c>
      <c r="U671" t="str">
        <f t="shared" si="43"/>
        <v>No Return</v>
      </c>
    </row>
    <row r="672" spans="1:22" hidden="1" x14ac:dyDescent="0.3">
      <c r="A672" t="s">
        <v>725</v>
      </c>
      <c r="B672" t="s">
        <v>30</v>
      </c>
      <c r="C672" t="s">
        <v>43</v>
      </c>
      <c r="D672" t="s">
        <v>17</v>
      </c>
      <c r="E672" t="str">
        <f t="shared" si="40"/>
        <v>XS</v>
      </c>
      <c r="F672" t="s">
        <v>58</v>
      </c>
      <c r="G672" t="s">
        <v>70</v>
      </c>
      <c r="H672" s="8">
        <v>96.36</v>
      </c>
      <c r="I672" s="3">
        <f t="shared" si="41"/>
        <v>0.58599999999999997</v>
      </c>
      <c r="J672" s="4">
        <v>58.6</v>
      </c>
      <c r="K672" s="11">
        <f>Table1[[#This Row],[original_price]]* (Table1[[#This Row],[Markdown percentage updated]])</f>
        <v>56.466959999999993</v>
      </c>
      <c r="L6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72" s="6">
        <v>39.89</v>
      </c>
      <c r="N6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72" s="7">
        <v>45698</v>
      </c>
      <c r="P672">
        <v>16</v>
      </c>
      <c r="Q672" s="16" t="str">
        <f>IF(Table1[[#This Row],[stock_quantity]]=0,"NO STOCK",
IF(Table1[[#This Row],[stock_quantity]]&lt;=10,"LOW STOCK",
"IN STOCK"))</f>
        <v>IN STOCK</v>
      </c>
      <c r="R672" s="1">
        <f t="shared" si="42"/>
        <v>3.9</v>
      </c>
      <c r="S672">
        <v>3.9</v>
      </c>
      <c r="T672" t="b">
        <v>0</v>
      </c>
      <c r="U672" t="str">
        <f t="shared" si="43"/>
        <v>No Return</v>
      </c>
    </row>
    <row r="673" spans="1:22" hidden="1" x14ac:dyDescent="0.3">
      <c r="A673" t="s">
        <v>726</v>
      </c>
      <c r="B673" t="s">
        <v>38</v>
      </c>
      <c r="C673" t="s">
        <v>48</v>
      </c>
      <c r="D673" t="s">
        <v>17</v>
      </c>
      <c r="E673" t="str">
        <f t="shared" si="40"/>
        <v>OS</v>
      </c>
      <c r="F673" t="s">
        <v>55</v>
      </c>
      <c r="G673" t="s">
        <v>66</v>
      </c>
      <c r="H673" s="8">
        <v>51.06</v>
      </c>
      <c r="I673" s="3">
        <f t="shared" si="41"/>
        <v>0.13900000000000001</v>
      </c>
      <c r="J673" s="4">
        <v>13.9</v>
      </c>
      <c r="K673" s="11">
        <f>Table1[[#This Row],[original_price]]* (Table1[[#This Row],[Markdown percentage updated]])</f>
        <v>7.0973400000000009</v>
      </c>
      <c r="L6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73" s="6">
        <v>43.96</v>
      </c>
      <c r="N6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73" s="7">
        <v>45520</v>
      </c>
      <c r="P673">
        <v>16</v>
      </c>
      <c r="Q673" s="16" t="str">
        <f>IF(Table1[[#This Row],[stock_quantity]]=0,"NO STOCK",
IF(Table1[[#This Row],[stock_quantity]]&lt;=10,"LOW STOCK",
"IN STOCK"))</f>
        <v>IN STOCK</v>
      </c>
      <c r="R673" s="1">
        <f t="shared" si="42"/>
        <v>1.3</v>
      </c>
      <c r="S673">
        <v>1.3</v>
      </c>
      <c r="T673" t="b">
        <v>0</v>
      </c>
      <c r="U673" t="str">
        <f t="shared" si="43"/>
        <v>No Return</v>
      </c>
    </row>
    <row r="674" spans="1:22" hidden="1" x14ac:dyDescent="0.3">
      <c r="A674" t="s">
        <v>727</v>
      </c>
      <c r="B674" t="s">
        <v>38</v>
      </c>
      <c r="C674" t="s">
        <v>32</v>
      </c>
      <c r="D674" t="s">
        <v>62</v>
      </c>
      <c r="E674" t="str">
        <f t="shared" si="40"/>
        <v>XS</v>
      </c>
      <c r="F674" t="s">
        <v>24</v>
      </c>
      <c r="G674" t="s">
        <v>64</v>
      </c>
      <c r="H674" s="8">
        <v>49.75</v>
      </c>
      <c r="I674" s="3">
        <f t="shared" si="41"/>
        <v>0.26400000000000001</v>
      </c>
      <c r="J674" s="4">
        <v>26.4</v>
      </c>
      <c r="K674" s="11">
        <f>Table1[[#This Row],[original_price]]* (Table1[[#This Row],[Markdown percentage updated]])</f>
        <v>13.134</v>
      </c>
      <c r="L6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674" s="6">
        <v>36.619999999999997</v>
      </c>
      <c r="N6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674" s="7">
        <v>45875</v>
      </c>
      <c r="P674">
        <v>24</v>
      </c>
      <c r="Q674" s="16" t="str">
        <f>IF(Table1[[#This Row],[stock_quantity]]=0,"NO STOCK",
IF(Table1[[#This Row],[stock_quantity]]&lt;=10,"LOW STOCK",
"IN STOCK"))</f>
        <v>IN STOCK</v>
      </c>
      <c r="R674" s="1">
        <f t="shared" si="42"/>
        <v>3.8</v>
      </c>
      <c r="S674">
        <v>3.8</v>
      </c>
      <c r="T674" t="b">
        <v>0</v>
      </c>
      <c r="U674" t="str">
        <f t="shared" si="43"/>
        <v>No Return</v>
      </c>
    </row>
    <row r="675" spans="1:22" hidden="1" x14ac:dyDescent="0.3">
      <c r="A675" t="s">
        <v>728</v>
      </c>
      <c r="B675" t="s">
        <v>42</v>
      </c>
      <c r="C675" t="s">
        <v>43</v>
      </c>
      <c r="D675" t="s">
        <v>17</v>
      </c>
      <c r="E675" t="str">
        <f t="shared" si="40"/>
        <v>XXL</v>
      </c>
      <c r="F675" t="s">
        <v>55</v>
      </c>
      <c r="G675" t="s">
        <v>25</v>
      </c>
      <c r="H675" s="8">
        <v>148.97999999999999</v>
      </c>
      <c r="I675" s="3">
        <f t="shared" si="41"/>
        <v>0</v>
      </c>
      <c r="J675" s="4">
        <v>0</v>
      </c>
      <c r="K675" s="11">
        <f>Table1[[#This Row],[original_price]]* (Table1[[#This Row],[Markdown percentage updated]])</f>
        <v>0</v>
      </c>
      <c r="L6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75" s="6">
        <v>148.97999999999999</v>
      </c>
      <c r="N6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75" s="7">
        <v>45591</v>
      </c>
      <c r="P675">
        <v>11</v>
      </c>
      <c r="Q675" s="16" t="str">
        <f>IF(Table1[[#This Row],[stock_quantity]]=0,"NO STOCK",
IF(Table1[[#This Row],[stock_quantity]]&lt;=10,"LOW STOCK",
"IN STOCK"))</f>
        <v>IN STOCK</v>
      </c>
      <c r="R675" s="1">
        <f t="shared" si="42"/>
        <v>2.2000000000000002</v>
      </c>
      <c r="S675">
        <v>2.2000000000000002</v>
      </c>
      <c r="T675" t="b">
        <v>1</v>
      </c>
      <c r="U675" s="13" t="str">
        <f t="shared" si="43"/>
        <v>Wrong Item</v>
      </c>
      <c r="V675" t="s">
        <v>125</v>
      </c>
    </row>
    <row r="676" spans="1:22" hidden="1" x14ac:dyDescent="0.3">
      <c r="A676" t="s">
        <v>729</v>
      </c>
      <c r="B676" t="s">
        <v>27</v>
      </c>
      <c r="C676" t="s">
        <v>61</v>
      </c>
      <c r="D676" t="s">
        <v>23</v>
      </c>
      <c r="E676" t="str">
        <f t="shared" si="40"/>
        <v>OS</v>
      </c>
      <c r="G676" t="s">
        <v>40</v>
      </c>
      <c r="H676" s="8">
        <v>72.239999999999995</v>
      </c>
      <c r="I676" s="3">
        <f t="shared" si="41"/>
        <v>0</v>
      </c>
      <c r="J676" s="4">
        <v>0</v>
      </c>
      <c r="K676" s="11">
        <f>Table1[[#This Row],[original_price]]* (Table1[[#This Row],[Markdown percentage updated]])</f>
        <v>0</v>
      </c>
      <c r="L6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76" s="6">
        <v>72.239999999999995</v>
      </c>
      <c r="N6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76" s="7">
        <v>45875</v>
      </c>
      <c r="P676">
        <v>35</v>
      </c>
      <c r="Q676" s="16" t="str">
        <f>IF(Table1[[#This Row],[stock_quantity]]=0,"NO STOCK",
IF(Table1[[#This Row],[stock_quantity]]&lt;=10,"LOW STOCK",
"IN STOCK"))</f>
        <v>IN STOCK</v>
      </c>
      <c r="R676" s="1">
        <f t="shared" si="42"/>
        <v>4.0999999999999996</v>
      </c>
      <c r="S676">
        <v>4.0999999999999996</v>
      </c>
      <c r="T676" t="b">
        <v>0</v>
      </c>
      <c r="U676" t="str">
        <f t="shared" si="43"/>
        <v>No Return</v>
      </c>
    </row>
    <row r="677" spans="1:22" hidden="1" x14ac:dyDescent="0.3">
      <c r="A677" t="s">
        <v>730</v>
      </c>
      <c r="B677" t="s">
        <v>21</v>
      </c>
      <c r="C677" t="s">
        <v>43</v>
      </c>
      <c r="D677" t="s">
        <v>23</v>
      </c>
      <c r="E677" t="str">
        <f t="shared" si="40"/>
        <v>OS</v>
      </c>
      <c r="F677" t="s">
        <v>55</v>
      </c>
      <c r="G677" t="s">
        <v>44</v>
      </c>
      <c r="H677" s="8">
        <v>94.92</v>
      </c>
      <c r="I677" s="3">
        <f t="shared" si="41"/>
        <v>0</v>
      </c>
      <c r="J677" s="4">
        <v>0</v>
      </c>
      <c r="K677" s="11">
        <f>Table1[[#This Row],[original_price]]* (Table1[[#This Row],[Markdown percentage updated]])</f>
        <v>0</v>
      </c>
      <c r="L6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77" s="6">
        <v>94.92</v>
      </c>
      <c r="N6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77" s="7">
        <v>45875</v>
      </c>
      <c r="P677">
        <v>5</v>
      </c>
      <c r="Q677" s="17" t="str">
        <f>IF(Table1[[#This Row],[stock_quantity]]=0,"NO STOCK",
IF(Table1[[#This Row],[stock_quantity]]&lt;=10,"LOW STOCK",
"IN STOCK"))</f>
        <v>LOW STOCK</v>
      </c>
      <c r="R677" s="1">
        <f t="shared" si="42"/>
        <v>3.3</v>
      </c>
      <c r="S677">
        <v>3.3</v>
      </c>
      <c r="T677" t="b">
        <v>0</v>
      </c>
      <c r="U677" t="str">
        <f t="shared" si="43"/>
        <v>No Return</v>
      </c>
    </row>
    <row r="678" spans="1:22" hidden="1" x14ac:dyDescent="0.3">
      <c r="A678" t="s">
        <v>731</v>
      </c>
      <c r="B678" t="s">
        <v>15</v>
      </c>
      <c r="C678" t="s">
        <v>32</v>
      </c>
      <c r="D678" t="s">
        <v>34</v>
      </c>
      <c r="E678" t="str">
        <f t="shared" si="40"/>
        <v>OS</v>
      </c>
      <c r="F678" t="s">
        <v>49</v>
      </c>
      <c r="G678" t="s">
        <v>70</v>
      </c>
      <c r="H678" s="8">
        <v>91.08</v>
      </c>
      <c r="I678" s="3">
        <f t="shared" si="41"/>
        <v>0</v>
      </c>
      <c r="J678" s="4">
        <v>0</v>
      </c>
      <c r="K678" s="11">
        <f>Table1[[#This Row],[original_price]]* (Table1[[#This Row],[Markdown percentage updated]])</f>
        <v>0</v>
      </c>
      <c r="L6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78" s="6">
        <v>91.08</v>
      </c>
      <c r="N6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78" s="7">
        <v>45875</v>
      </c>
      <c r="P678">
        <v>47</v>
      </c>
      <c r="Q678" s="16" t="str">
        <f>IF(Table1[[#This Row],[stock_quantity]]=0,"NO STOCK",
IF(Table1[[#This Row],[stock_quantity]]&lt;=10,"LOW STOCK",
"IN STOCK"))</f>
        <v>IN STOCK</v>
      </c>
      <c r="R678" s="1">
        <f t="shared" si="42"/>
        <v>4.9000000000000004</v>
      </c>
      <c r="S678">
        <v>4.9000000000000004</v>
      </c>
      <c r="T678" t="b">
        <v>0</v>
      </c>
      <c r="U678" t="str">
        <f t="shared" si="43"/>
        <v>No Return</v>
      </c>
    </row>
    <row r="679" spans="1:22" hidden="1" x14ac:dyDescent="0.3">
      <c r="A679" t="s">
        <v>732</v>
      </c>
      <c r="B679" t="s">
        <v>27</v>
      </c>
      <c r="C679" t="s">
        <v>32</v>
      </c>
      <c r="D679" t="s">
        <v>34</v>
      </c>
      <c r="E679" t="str">
        <f t="shared" si="40"/>
        <v>OS</v>
      </c>
      <c r="G679" t="s">
        <v>70</v>
      </c>
      <c r="H679" s="8">
        <v>49.72</v>
      </c>
      <c r="I679" s="3">
        <f t="shared" si="41"/>
        <v>0.58299999999999996</v>
      </c>
      <c r="J679" s="4">
        <v>58.3</v>
      </c>
      <c r="K679" s="11">
        <f>Table1[[#This Row],[original_price]]* (Table1[[#This Row],[Markdown percentage updated]])</f>
        <v>28.986759999999997</v>
      </c>
      <c r="L6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79" s="6">
        <v>20.73</v>
      </c>
      <c r="N6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79" s="7">
        <v>45875</v>
      </c>
      <c r="P679">
        <v>4</v>
      </c>
      <c r="Q679" s="17" t="str">
        <f>IF(Table1[[#This Row],[stock_quantity]]=0,"NO STOCK",
IF(Table1[[#This Row],[stock_quantity]]&lt;=10,"LOW STOCK",
"IN STOCK"))</f>
        <v>LOW STOCK</v>
      </c>
      <c r="R679" s="1">
        <f t="shared" si="42"/>
        <v>1.6</v>
      </c>
      <c r="S679">
        <v>1.6</v>
      </c>
      <c r="T679" t="b">
        <v>0</v>
      </c>
      <c r="U679" t="str">
        <f t="shared" si="43"/>
        <v>No Return</v>
      </c>
    </row>
    <row r="680" spans="1:22" hidden="1" x14ac:dyDescent="0.3">
      <c r="A680" t="s">
        <v>733</v>
      </c>
      <c r="B680" t="s">
        <v>27</v>
      </c>
      <c r="C680" t="s">
        <v>61</v>
      </c>
      <c r="D680" t="s">
        <v>23</v>
      </c>
      <c r="E680" t="str">
        <f t="shared" si="40"/>
        <v>XS</v>
      </c>
      <c r="G680" t="s">
        <v>66</v>
      </c>
      <c r="H680" s="8">
        <v>23.09</v>
      </c>
      <c r="I680" s="3">
        <f t="shared" si="41"/>
        <v>7.0999999999999994E-2</v>
      </c>
      <c r="J680" s="4">
        <v>7.1</v>
      </c>
      <c r="K680" s="11">
        <f>Table1[[#This Row],[original_price]]* (Table1[[#This Row],[Markdown percentage updated]])</f>
        <v>1.6393899999999999</v>
      </c>
      <c r="L6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80" s="6">
        <v>21.45</v>
      </c>
      <c r="N6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80" s="7">
        <v>45875</v>
      </c>
      <c r="P680">
        <v>11</v>
      </c>
      <c r="Q680" s="16" t="str">
        <f>IF(Table1[[#This Row],[stock_quantity]]=0,"NO STOCK",
IF(Table1[[#This Row],[stock_quantity]]&lt;=10,"LOW STOCK",
"IN STOCK"))</f>
        <v>IN STOCK</v>
      </c>
      <c r="R680" s="1">
        <f t="shared" si="42"/>
        <v>1.2</v>
      </c>
      <c r="S680">
        <v>1.2</v>
      </c>
      <c r="T680" t="b">
        <v>0</v>
      </c>
      <c r="U680" t="str">
        <f t="shared" si="43"/>
        <v>No Return</v>
      </c>
    </row>
    <row r="681" spans="1:22" hidden="1" x14ac:dyDescent="0.3">
      <c r="A681" t="s">
        <v>734</v>
      </c>
      <c r="B681" t="s">
        <v>27</v>
      </c>
      <c r="C681" t="s">
        <v>16</v>
      </c>
      <c r="D681" t="s">
        <v>17</v>
      </c>
      <c r="E681" t="str">
        <f t="shared" si="40"/>
        <v>XS</v>
      </c>
      <c r="G681" t="s">
        <v>19</v>
      </c>
      <c r="H681" s="8">
        <v>49.95</v>
      </c>
      <c r="I681" s="3">
        <f t="shared" si="41"/>
        <v>0</v>
      </c>
      <c r="J681" s="4">
        <v>0</v>
      </c>
      <c r="K681" s="11">
        <f>Table1[[#This Row],[original_price]]* (Table1[[#This Row],[Markdown percentage updated]])</f>
        <v>0</v>
      </c>
      <c r="L6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81" s="6">
        <v>49.95</v>
      </c>
      <c r="N6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81" s="7">
        <v>45552</v>
      </c>
      <c r="P681">
        <v>29</v>
      </c>
      <c r="Q681" s="16" t="str">
        <f>IF(Table1[[#This Row],[stock_quantity]]=0,"NO STOCK",
IF(Table1[[#This Row],[stock_quantity]]&lt;=10,"LOW STOCK",
"IN STOCK"))</f>
        <v>IN STOCK</v>
      </c>
      <c r="R681" s="1">
        <f t="shared" si="42"/>
        <v>4.3</v>
      </c>
      <c r="S681">
        <v>4.3</v>
      </c>
      <c r="T681" t="b">
        <v>0</v>
      </c>
      <c r="U681" t="str">
        <f t="shared" si="43"/>
        <v>No Return</v>
      </c>
    </row>
    <row r="682" spans="1:22" hidden="1" x14ac:dyDescent="0.3">
      <c r="A682" t="s">
        <v>735</v>
      </c>
      <c r="B682" t="s">
        <v>27</v>
      </c>
      <c r="C682" t="s">
        <v>75</v>
      </c>
      <c r="D682" t="s">
        <v>23</v>
      </c>
      <c r="E682" t="str">
        <f t="shared" si="40"/>
        <v>M</v>
      </c>
      <c r="G682" t="s">
        <v>46</v>
      </c>
      <c r="H682" s="8">
        <v>25.7</v>
      </c>
      <c r="I682" s="3">
        <f t="shared" si="41"/>
        <v>0</v>
      </c>
      <c r="J682" s="4">
        <v>0</v>
      </c>
      <c r="K682" s="11">
        <f>Table1[[#This Row],[original_price]]* (Table1[[#This Row],[Markdown percentage updated]])</f>
        <v>0</v>
      </c>
      <c r="L6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82" s="6">
        <v>25.7</v>
      </c>
      <c r="N6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82" s="7">
        <v>45875</v>
      </c>
      <c r="P682">
        <v>38</v>
      </c>
      <c r="Q682" s="16" t="str">
        <f>IF(Table1[[#This Row],[stock_quantity]]=0,"NO STOCK",
IF(Table1[[#This Row],[stock_quantity]]&lt;=10,"LOW STOCK",
"IN STOCK"))</f>
        <v>IN STOCK</v>
      </c>
      <c r="R682" s="1">
        <f t="shared" si="42"/>
        <v>3.2</v>
      </c>
      <c r="S682">
        <v>3.2</v>
      </c>
      <c r="T682" t="b">
        <v>1</v>
      </c>
      <c r="U682" s="13" t="str">
        <f t="shared" si="43"/>
        <v>Quality Issue</v>
      </c>
      <c r="V682" t="s">
        <v>83</v>
      </c>
    </row>
    <row r="683" spans="1:22" hidden="1" x14ac:dyDescent="0.3">
      <c r="A683" t="s">
        <v>736</v>
      </c>
      <c r="B683" t="s">
        <v>30</v>
      </c>
      <c r="C683" t="s">
        <v>43</v>
      </c>
      <c r="D683" t="s">
        <v>62</v>
      </c>
      <c r="E683" t="str">
        <f t="shared" si="40"/>
        <v>XS</v>
      </c>
      <c r="F683" t="s">
        <v>55</v>
      </c>
      <c r="G683" t="s">
        <v>46</v>
      </c>
      <c r="H683" s="8">
        <v>175.22</v>
      </c>
      <c r="I683" s="3">
        <f t="shared" si="41"/>
        <v>0</v>
      </c>
      <c r="J683" s="4">
        <v>0</v>
      </c>
      <c r="K683" s="11">
        <f>Table1[[#This Row],[original_price]]* (Table1[[#This Row],[Markdown percentage updated]])</f>
        <v>0</v>
      </c>
      <c r="L6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83" s="6">
        <v>175.22</v>
      </c>
      <c r="N6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83" s="7">
        <v>45875</v>
      </c>
      <c r="P683">
        <v>8</v>
      </c>
      <c r="Q683" s="17" t="str">
        <f>IF(Table1[[#This Row],[stock_quantity]]=0,"NO STOCK",
IF(Table1[[#This Row],[stock_quantity]]&lt;=10,"LOW STOCK",
"IN STOCK"))</f>
        <v>LOW STOCK</v>
      </c>
      <c r="R683" s="1">
        <f t="shared" si="42"/>
        <v>4.9000000000000004</v>
      </c>
      <c r="S683">
        <v>4.9000000000000004</v>
      </c>
      <c r="T683" t="b">
        <v>0</v>
      </c>
      <c r="U683" t="str">
        <f t="shared" si="43"/>
        <v>No Return</v>
      </c>
    </row>
    <row r="684" spans="1:22" hidden="1" x14ac:dyDescent="0.3">
      <c r="A684" t="s">
        <v>737</v>
      </c>
      <c r="B684" t="s">
        <v>38</v>
      </c>
      <c r="C684" t="s">
        <v>53</v>
      </c>
      <c r="D684" t="s">
        <v>62</v>
      </c>
      <c r="E684" t="str">
        <f t="shared" si="40"/>
        <v>L</v>
      </c>
      <c r="F684" t="s">
        <v>55</v>
      </c>
      <c r="G684" t="s">
        <v>40</v>
      </c>
      <c r="H684" s="8">
        <v>37.57</v>
      </c>
      <c r="I684" s="3">
        <f t="shared" si="41"/>
        <v>0</v>
      </c>
      <c r="J684" s="4">
        <v>0</v>
      </c>
      <c r="K684" s="11">
        <f>Table1[[#This Row],[original_price]]* (Table1[[#This Row],[Markdown percentage updated]])</f>
        <v>0</v>
      </c>
      <c r="L6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84" s="6">
        <v>37.57</v>
      </c>
      <c r="N6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84" s="7">
        <v>45875</v>
      </c>
      <c r="P684">
        <v>18</v>
      </c>
      <c r="Q684" s="16" t="str">
        <f>IF(Table1[[#This Row],[stock_quantity]]=0,"NO STOCK",
IF(Table1[[#This Row],[stock_quantity]]&lt;=10,"LOW STOCK",
"IN STOCK"))</f>
        <v>IN STOCK</v>
      </c>
      <c r="R684" s="1">
        <f t="shared" si="42"/>
        <v>1.9</v>
      </c>
      <c r="S684">
        <v>1.9</v>
      </c>
      <c r="T684" t="b">
        <v>0</v>
      </c>
      <c r="U684" t="str">
        <f t="shared" si="43"/>
        <v>No Return</v>
      </c>
    </row>
    <row r="685" spans="1:22" hidden="1" x14ac:dyDescent="0.3">
      <c r="A685" t="s">
        <v>738</v>
      </c>
      <c r="B685" t="s">
        <v>15</v>
      </c>
      <c r="C685" t="s">
        <v>16</v>
      </c>
      <c r="D685" t="s">
        <v>17</v>
      </c>
      <c r="E685" t="str">
        <f t="shared" si="40"/>
        <v>M</v>
      </c>
      <c r="F685" t="s">
        <v>58</v>
      </c>
      <c r="G685" t="s">
        <v>46</v>
      </c>
      <c r="H685" s="8">
        <v>245.87</v>
      </c>
      <c r="I685" s="3">
        <f t="shared" si="41"/>
        <v>0</v>
      </c>
      <c r="J685" s="4">
        <v>0</v>
      </c>
      <c r="K685" s="11">
        <f>Table1[[#This Row],[original_price]]* (Table1[[#This Row],[Markdown percentage updated]])</f>
        <v>0</v>
      </c>
      <c r="L6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85" s="6">
        <v>245.87</v>
      </c>
      <c r="N6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85" s="7">
        <v>45832</v>
      </c>
      <c r="P685">
        <v>27</v>
      </c>
      <c r="Q685" s="16" t="str">
        <f>IF(Table1[[#This Row],[stock_quantity]]=0,"NO STOCK",
IF(Table1[[#This Row],[stock_quantity]]&lt;=10,"LOW STOCK",
"IN STOCK"))</f>
        <v>IN STOCK</v>
      </c>
      <c r="R685" s="1">
        <f t="shared" si="42"/>
        <v>2.6</v>
      </c>
      <c r="S685">
        <v>2.6</v>
      </c>
      <c r="T685" t="b">
        <v>0</v>
      </c>
      <c r="U685" t="str">
        <f t="shared" si="43"/>
        <v>No Return</v>
      </c>
    </row>
    <row r="686" spans="1:22" hidden="1" x14ac:dyDescent="0.3">
      <c r="A686" t="s">
        <v>739</v>
      </c>
      <c r="B686" t="s">
        <v>38</v>
      </c>
      <c r="C686" t="s">
        <v>32</v>
      </c>
      <c r="D686" t="s">
        <v>23</v>
      </c>
      <c r="E686" t="str">
        <f t="shared" si="40"/>
        <v>XS</v>
      </c>
      <c r="F686" t="s">
        <v>55</v>
      </c>
      <c r="G686" t="s">
        <v>19</v>
      </c>
      <c r="H686" s="8">
        <v>116.92</v>
      </c>
      <c r="I686" s="3">
        <f t="shared" si="41"/>
        <v>0</v>
      </c>
      <c r="J686" s="4">
        <v>0</v>
      </c>
      <c r="K686" s="11">
        <f>Table1[[#This Row],[original_price]]* (Table1[[#This Row],[Markdown percentage updated]])</f>
        <v>0</v>
      </c>
      <c r="L6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86" s="6">
        <v>116.92</v>
      </c>
      <c r="N6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86" s="7">
        <v>45875</v>
      </c>
      <c r="P686">
        <v>13</v>
      </c>
      <c r="Q686" s="16" t="str">
        <f>IF(Table1[[#This Row],[stock_quantity]]=0,"NO STOCK",
IF(Table1[[#This Row],[stock_quantity]]&lt;=10,"LOW STOCK",
"IN STOCK"))</f>
        <v>IN STOCK</v>
      </c>
      <c r="R686" s="1">
        <f t="shared" si="42"/>
        <v>3.2</v>
      </c>
      <c r="S686">
        <v>3.2</v>
      </c>
      <c r="T686" t="b">
        <v>0</v>
      </c>
      <c r="U686" t="str">
        <f t="shared" si="43"/>
        <v>No Return</v>
      </c>
    </row>
    <row r="687" spans="1:22" hidden="1" x14ac:dyDescent="0.3">
      <c r="A687" t="s">
        <v>740</v>
      </c>
      <c r="B687" t="s">
        <v>42</v>
      </c>
      <c r="C687" t="s">
        <v>53</v>
      </c>
      <c r="D687" t="s">
        <v>23</v>
      </c>
      <c r="E687" t="str">
        <f t="shared" si="40"/>
        <v>XS</v>
      </c>
      <c r="F687" t="s">
        <v>24</v>
      </c>
      <c r="G687" t="s">
        <v>25</v>
      </c>
      <c r="H687" s="8">
        <v>103.11</v>
      </c>
      <c r="I687" s="3">
        <f t="shared" si="41"/>
        <v>0</v>
      </c>
      <c r="J687" s="4">
        <v>0</v>
      </c>
      <c r="K687" s="11">
        <f>Table1[[#This Row],[original_price]]* (Table1[[#This Row],[Markdown percentage updated]])</f>
        <v>0</v>
      </c>
      <c r="L6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87" s="6">
        <v>103.11</v>
      </c>
      <c r="N6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87" s="7">
        <v>45875</v>
      </c>
      <c r="P687">
        <v>17</v>
      </c>
      <c r="Q687" s="16" t="str">
        <f>IF(Table1[[#This Row],[stock_quantity]]=0,"NO STOCK",
IF(Table1[[#This Row],[stock_quantity]]&lt;=10,"LOW STOCK",
"IN STOCK"))</f>
        <v>IN STOCK</v>
      </c>
      <c r="R687" s="1">
        <f t="shared" si="42"/>
        <v>0</v>
      </c>
      <c r="T687" t="b">
        <v>0</v>
      </c>
      <c r="U687" t="str">
        <f t="shared" si="43"/>
        <v>No Return</v>
      </c>
    </row>
    <row r="688" spans="1:22" hidden="1" x14ac:dyDescent="0.3">
      <c r="A688" t="s">
        <v>741</v>
      </c>
      <c r="B688" t="s">
        <v>15</v>
      </c>
      <c r="C688" t="s">
        <v>22</v>
      </c>
      <c r="D688" t="s">
        <v>34</v>
      </c>
      <c r="E688" t="str">
        <f t="shared" si="40"/>
        <v>XL</v>
      </c>
      <c r="F688" t="s">
        <v>58</v>
      </c>
      <c r="G688" t="s">
        <v>66</v>
      </c>
      <c r="H688" s="8">
        <v>238.89</v>
      </c>
      <c r="I688" s="3">
        <f t="shared" si="41"/>
        <v>5.0000000000000001E-3</v>
      </c>
      <c r="J688" s="4">
        <v>0.5</v>
      </c>
      <c r="K688" s="11">
        <f>Table1[[#This Row],[original_price]]* (Table1[[#This Row],[Markdown percentage updated]])</f>
        <v>1.19445</v>
      </c>
      <c r="L6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88" s="6">
        <v>237.7</v>
      </c>
      <c r="N6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88" s="7">
        <v>45875</v>
      </c>
      <c r="P688">
        <v>28</v>
      </c>
      <c r="Q688" s="16" t="str">
        <f>IF(Table1[[#This Row],[stock_quantity]]=0,"NO STOCK",
IF(Table1[[#This Row],[stock_quantity]]&lt;=10,"LOW STOCK",
"IN STOCK"))</f>
        <v>IN STOCK</v>
      </c>
      <c r="R688" s="1">
        <f t="shared" si="42"/>
        <v>2.7</v>
      </c>
      <c r="S688">
        <v>2.7</v>
      </c>
      <c r="T688" t="b">
        <v>0</v>
      </c>
      <c r="U688" t="str">
        <f t="shared" si="43"/>
        <v>No Return</v>
      </c>
    </row>
    <row r="689" spans="1:22" hidden="1" x14ac:dyDescent="0.3">
      <c r="A689" t="s">
        <v>742</v>
      </c>
      <c r="B689" t="s">
        <v>30</v>
      </c>
      <c r="C689" t="s">
        <v>22</v>
      </c>
      <c r="D689" t="s">
        <v>62</v>
      </c>
      <c r="E689" t="str">
        <f t="shared" si="40"/>
        <v>XL</v>
      </c>
      <c r="F689" t="s">
        <v>55</v>
      </c>
      <c r="G689" t="s">
        <v>25</v>
      </c>
      <c r="H689" s="8">
        <v>86.81</v>
      </c>
      <c r="I689" s="3">
        <f t="shared" si="41"/>
        <v>0.126</v>
      </c>
      <c r="J689" s="4">
        <v>12.6</v>
      </c>
      <c r="K689" s="11">
        <f>Table1[[#This Row],[original_price]]* (Table1[[#This Row],[Markdown percentage updated]])</f>
        <v>10.93806</v>
      </c>
      <c r="L6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89" s="6">
        <v>75.87</v>
      </c>
      <c r="N6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689" s="7">
        <v>45875</v>
      </c>
      <c r="P689">
        <v>6</v>
      </c>
      <c r="Q689" s="17" t="str">
        <f>IF(Table1[[#This Row],[stock_quantity]]=0,"NO STOCK",
IF(Table1[[#This Row],[stock_quantity]]&lt;=10,"LOW STOCK",
"IN STOCK"))</f>
        <v>LOW STOCK</v>
      </c>
      <c r="R689" s="1">
        <f t="shared" si="42"/>
        <v>1.7</v>
      </c>
      <c r="S689">
        <v>1.7</v>
      </c>
      <c r="T689" t="b">
        <v>0</v>
      </c>
      <c r="U689" t="str">
        <f t="shared" si="43"/>
        <v>No Return</v>
      </c>
    </row>
    <row r="690" spans="1:22" hidden="1" x14ac:dyDescent="0.3">
      <c r="A690" t="s">
        <v>743</v>
      </c>
      <c r="B690" t="s">
        <v>38</v>
      </c>
      <c r="C690" t="s">
        <v>43</v>
      </c>
      <c r="D690" t="s">
        <v>62</v>
      </c>
      <c r="E690" t="str">
        <f t="shared" si="40"/>
        <v>XS</v>
      </c>
      <c r="F690" t="s">
        <v>55</v>
      </c>
      <c r="G690" t="s">
        <v>44</v>
      </c>
      <c r="H690" s="8">
        <v>58.8</v>
      </c>
      <c r="I690" s="3">
        <f t="shared" si="41"/>
        <v>0.11800000000000001</v>
      </c>
      <c r="J690" s="4">
        <v>11.8</v>
      </c>
      <c r="K690" s="11">
        <f>Table1[[#This Row],[original_price]]* (Table1[[#This Row],[Markdown percentage updated]])</f>
        <v>6.9383999999999997</v>
      </c>
      <c r="L6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690" s="6">
        <v>51.86</v>
      </c>
      <c r="N6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690" s="7">
        <v>45875</v>
      </c>
      <c r="P690">
        <v>8</v>
      </c>
      <c r="Q690" s="17" t="str">
        <f>IF(Table1[[#This Row],[stock_quantity]]=0,"NO STOCK",
IF(Table1[[#This Row],[stock_quantity]]&lt;=10,"LOW STOCK",
"IN STOCK"))</f>
        <v>LOW STOCK</v>
      </c>
      <c r="R690" s="1">
        <f t="shared" si="42"/>
        <v>0</v>
      </c>
      <c r="T690" t="b">
        <v>0</v>
      </c>
      <c r="U690" t="str">
        <f t="shared" si="43"/>
        <v>No Return</v>
      </c>
    </row>
    <row r="691" spans="1:22" hidden="1" x14ac:dyDescent="0.3">
      <c r="A691" t="s">
        <v>744</v>
      </c>
      <c r="B691" t="s">
        <v>38</v>
      </c>
      <c r="C691" t="s">
        <v>53</v>
      </c>
      <c r="D691" t="s">
        <v>17</v>
      </c>
      <c r="E691" t="str">
        <f t="shared" si="40"/>
        <v>XXL</v>
      </c>
      <c r="F691" t="s">
        <v>18</v>
      </c>
      <c r="G691" t="s">
        <v>56</v>
      </c>
      <c r="H691" s="8">
        <v>41.65</v>
      </c>
      <c r="I691" s="3">
        <f t="shared" si="41"/>
        <v>0.52</v>
      </c>
      <c r="J691" s="4">
        <v>52</v>
      </c>
      <c r="K691" s="11">
        <f>Table1[[#This Row],[original_price]]* (Table1[[#This Row],[Markdown percentage updated]])</f>
        <v>21.658000000000001</v>
      </c>
      <c r="L6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91" s="6">
        <v>19.989999999999998</v>
      </c>
      <c r="N6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91" s="7">
        <v>45793</v>
      </c>
      <c r="P691">
        <v>20</v>
      </c>
      <c r="Q691" s="16" t="str">
        <f>IF(Table1[[#This Row],[stock_quantity]]=0,"NO STOCK",
IF(Table1[[#This Row],[stock_quantity]]&lt;=10,"LOW STOCK",
"IN STOCK"))</f>
        <v>IN STOCK</v>
      </c>
      <c r="R691" s="1">
        <f t="shared" si="42"/>
        <v>1.2</v>
      </c>
      <c r="S691">
        <v>1.2</v>
      </c>
      <c r="T691" t="b">
        <v>0</v>
      </c>
      <c r="U691" t="str">
        <f t="shared" si="43"/>
        <v>No Return</v>
      </c>
    </row>
    <row r="692" spans="1:22" hidden="1" x14ac:dyDescent="0.3">
      <c r="A692" t="s">
        <v>745</v>
      </c>
      <c r="B692" t="s">
        <v>21</v>
      </c>
      <c r="C692" t="s">
        <v>48</v>
      </c>
      <c r="D692" t="s">
        <v>17</v>
      </c>
      <c r="E692" t="str">
        <f t="shared" si="40"/>
        <v>S</v>
      </c>
      <c r="F692" t="s">
        <v>18</v>
      </c>
      <c r="G692" t="s">
        <v>28</v>
      </c>
      <c r="H692" s="8">
        <v>61.67</v>
      </c>
      <c r="I692" s="3">
        <f t="shared" si="41"/>
        <v>0.46399999999999997</v>
      </c>
      <c r="J692" s="4">
        <v>46.4</v>
      </c>
      <c r="K692" s="11">
        <f>Table1[[#This Row],[original_price]]* (Table1[[#This Row],[Markdown percentage updated]])</f>
        <v>28.614879999999999</v>
      </c>
      <c r="L6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92" s="6">
        <v>33.06</v>
      </c>
      <c r="N6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92" s="7">
        <v>45853</v>
      </c>
      <c r="P692">
        <v>50</v>
      </c>
      <c r="Q692" s="16" t="str">
        <f>IF(Table1[[#This Row],[stock_quantity]]=0,"NO STOCK",
IF(Table1[[#This Row],[stock_quantity]]&lt;=10,"LOW STOCK",
"IN STOCK"))</f>
        <v>IN STOCK</v>
      </c>
      <c r="R692" s="1">
        <f t="shared" si="42"/>
        <v>2.7</v>
      </c>
      <c r="S692">
        <v>2.7</v>
      </c>
      <c r="T692" t="b">
        <v>0</v>
      </c>
      <c r="U692" t="str">
        <f t="shared" si="43"/>
        <v>No Return</v>
      </c>
    </row>
    <row r="693" spans="1:22" hidden="1" x14ac:dyDescent="0.3">
      <c r="A693" t="s">
        <v>746</v>
      </c>
      <c r="B693" t="s">
        <v>38</v>
      </c>
      <c r="C693" t="s">
        <v>48</v>
      </c>
      <c r="D693" t="s">
        <v>34</v>
      </c>
      <c r="E693" t="str">
        <f t="shared" si="40"/>
        <v>OS</v>
      </c>
      <c r="F693" t="s">
        <v>55</v>
      </c>
      <c r="G693" t="s">
        <v>28</v>
      </c>
      <c r="H693" s="8">
        <v>40.39</v>
      </c>
      <c r="I693" s="3">
        <f t="shared" si="41"/>
        <v>0</v>
      </c>
      <c r="J693" s="4">
        <v>0</v>
      </c>
      <c r="K693" s="11">
        <f>Table1[[#This Row],[original_price]]* (Table1[[#This Row],[Markdown percentage updated]])</f>
        <v>0</v>
      </c>
      <c r="L6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93" s="6">
        <v>40.39</v>
      </c>
      <c r="N6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93" s="7">
        <v>45875</v>
      </c>
      <c r="P693">
        <v>16</v>
      </c>
      <c r="Q693" s="16" t="str">
        <f>IF(Table1[[#This Row],[stock_quantity]]=0,"NO STOCK",
IF(Table1[[#This Row],[stock_quantity]]&lt;=10,"LOW STOCK",
"IN STOCK"))</f>
        <v>IN STOCK</v>
      </c>
      <c r="R693" s="1">
        <f t="shared" si="42"/>
        <v>0</v>
      </c>
      <c r="T693" t="b">
        <v>0</v>
      </c>
      <c r="U693" t="str">
        <f t="shared" si="43"/>
        <v>No Return</v>
      </c>
    </row>
    <row r="694" spans="1:22" hidden="1" x14ac:dyDescent="0.3">
      <c r="A694" t="s">
        <v>747</v>
      </c>
      <c r="B694" t="s">
        <v>21</v>
      </c>
      <c r="C694" t="s">
        <v>53</v>
      </c>
      <c r="D694" t="s">
        <v>34</v>
      </c>
      <c r="E694" t="str">
        <f t="shared" si="40"/>
        <v>M</v>
      </c>
      <c r="F694" t="s">
        <v>49</v>
      </c>
      <c r="G694" t="s">
        <v>66</v>
      </c>
      <c r="H694" s="8">
        <v>95.13</v>
      </c>
      <c r="I694" s="3">
        <f t="shared" si="41"/>
        <v>0.45399999999999996</v>
      </c>
      <c r="J694" s="4">
        <v>45.4</v>
      </c>
      <c r="K694" s="11">
        <f>Table1[[#This Row],[original_price]]* (Table1[[#This Row],[Markdown percentage updated]])</f>
        <v>43.189019999999992</v>
      </c>
      <c r="L6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694" s="6">
        <v>51.94</v>
      </c>
      <c r="N6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94" s="7">
        <v>45875</v>
      </c>
      <c r="P694">
        <v>46</v>
      </c>
      <c r="Q694" s="16" t="str">
        <f>IF(Table1[[#This Row],[stock_quantity]]=0,"NO STOCK",
IF(Table1[[#This Row],[stock_quantity]]&lt;=10,"LOW STOCK",
"IN STOCK"))</f>
        <v>IN STOCK</v>
      </c>
      <c r="R694" s="1">
        <f t="shared" si="42"/>
        <v>2.5</v>
      </c>
      <c r="S694">
        <v>2.5</v>
      </c>
      <c r="T694" t="b">
        <v>0</v>
      </c>
      <c r="U694" t="str">
        <f t="shared" si="43"/>
        <v>No Return</v>
      </c>
    </row>
    <row r="695" spans="1:22" hidden="1" x14ac:dyDescent="0.3">
      <c r="A695" t="s">
        <v>748</v>
      </c>
      <c r="B695" t="s">
        <v>38</v>
      </c>
      <c r="C695" t="s">
        <v>16</v>
      </c>
      <c r="D695" t="s">
        <v>34</v>
      </c>
      <c r="E695" t="str">
        <f t="shared" si="40"/>
        <v>S</v>
      </c>
      <c r="F695" t="s">
        <v>39</v>
      </c>
      <c r="G695" t="s">
        <v>46</v>
      </c>
      <c r="H695" s="8">
        <v>115.14</v>
      </c>
      <c r="I695" s="3">
        <f t="shared" si="41"/>
        <v>0</v>
      </c>
      <c r="J695" s="4">
        <v>0</v>
      </c>
      <c r="K695" s="11">
        <f>Table1[[#This Row],[original_price]]* (Table1[[#This Row],[Markdown percentage updated]])</f>
        <v>0</v>
      </c>
      <c r="L6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95" s="6">
        <v>115.14</v>
      </c>
      <c r="N6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95" s="7">
        <v>45875</v>
      </c>
      <c r="P695">
        <v>43</v>
      </c>
      <c r="Q695" s="16" t="str">
        <f>IF(Table1[[#This Row],[stock_quantity]]=0,"NO STOCK",
IF(Table1[[#This Row],[stock_quantity]]&lt;=10,"LOW STOCK",
"IN STOCK"))</f>
        <v>IN STOCK</v>
      </c>
      <c r="R695" s="1">
        <f t="shared" si="42"/>
        <v>2.5</v>
      </c>
      <c r="S695">
        <v>2.5</v>
      </c>
      <c r="T695" t="b">
        <v>0</v>
      </c>
      <c r="U695" t="str">
        <f t="shared" si="43"/>
        <v>No Return</v>
      </c>
    </row>
    <row r="696" spans="1:22" hidden="1" x14ac:dyDescent="0.3">
      <c r="A696" t="s">
        <v>749</v>
      </c>
      <c r="B696" t="s">
        <v>21</v>
      </c>
      <c r="C696" t="s">
        <v>48</v>
      </c>
      <c r="D696" t="s">
        <v>62</v>
      </c>
      <c r="E696" t="str">
        <f t="shared" si="40"/>
        <v>S</v>
      </c>
      <c r="G696" t="s">
        <v>56</v>
      </c>
      <c r="H696" s="8">
        <v>59.58</v>
      </c>
      <c r="I696" s="3">
        <f t="shared" si="41"/>
        <v>0</v>
      </c>
      <c r="J696" s="4">
        <v>0</v>
      </c>
      <c r="K696" s="11">
        <f>Table1[[#This Row],[original_price]]* (Table1[[#This Row],[Markdown percentage updated]])</f>
        <v>0</v>
      </c>
      <c r="L6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96" s="6">
        <v>59.58</v>
      </c>
      <c r="N6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96" s="7">
        <v>45875</v>
      </c>
      <c r="P696">
        <v>27</v>
      </c>
      <c r="Q696" s="16" t="str">
        <f>IF(Table1[[#This Row],[stock_quantity]]=0,"NO STOCK",
IF(Table1[[#This Row],[stock_quantity]]&lt;=10,"LOW STOCK",
"IN STOCK"))</f>
        <v>IN STOCK</v>
      </c>
      <c r="R696" s="1">
        <f t="shared" si="42"/>
        <v>3.3</v>
      </c>
      <c r="S696">
        <v>3.3</v>
      </c>
      <c r="T696" t="b">
        <v>0</v>
      </c>
      <c r="U696" t="str">
        <f t="shared" si="43"/>
        <v>No Return</v>
      </c>
    </row>
    <row r="697" spans="1:22" hidden="1" x14ac:dyDescent="0.3">
      <c r="A697" t="s">
        <v>750</v>
      </c>
      <c r="B697" t="s">
        <v>30</v>
      </c>
      <c r="C697" t="s">
        <v>22</v>
      </c>
      <c r="D697" t="s">
        <v>17</v>
      </c>
      <c r="E697" t="str">
        <f t="shared" si="40"/>
        <v>OS</v>
      </c>
      <c r="F697" t="s">
        <v>58</v>
      </c>
      <c r="G697" t="s">
        <v>66</v>
      </c>
      <c r="H697" s="8">
        <v>169.89</v>
      </c>
      <c r="I697" s="3">
        <f t="shared" si="41"/>
        <v>0</v>
      </c>
      <c r="J697" s="4">
        <v>0</v>
      </c>
      <c r="K697" s="11">
        <f>Table1[[#This Row],[original_price]]* (Table1[[#This Row],[Markdown percentage updated]])</f>
        <v>0</v>
      </c>
      <c r="L6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97" s="6">
        <v>169.89</v>
      </c>
      <c r="N6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97" s="7">
        <v>45852</v>
      </c>
      <c r="P697">
        <v>12</v>
      </c>
      <c r="Q697" s="16" t="str">
        <f>IF(Table1[[#This Row],[stock_quantity]]=0,"NO STOCK",
IF(Table1[[#This Row],[stock_quantity]]&lt;=10,"LOW STOCK",
"IN STOCK"))</f>
        <v>IN STOCK</v>
      </c>
      <c r="R697" s="1">
        <f t="shared" si="42"/>
        <v>1.2</v>
      </c>
      <c r="S697">
        <v>1.2</v>
      </c>
      <c r="T697" t="b">
        <v>0</v>
      </c>
      <c r="U697" t="str">
        <f t="shared" si="43"/>
        <v>No Return</v>
      </c>
    </row>
    <row r="698" spans="1:22" hidden="1" x14ac:dyDescent="0.3">
      <c r="A698" t="s">
        <v>751</v>
      </c>
      <c r="B698" t="s">
        <v>30</v>
      </c>
      <c r="C698" t="s">
        <v>43</v>
      </c>
      <c r="D698" t="s">
        <v>23</v>
      </c>
      <c r="E698" t="str">
        <f t="shared" si="40"/>
        <v>L</v>
      </c>
      <c r="F698" t="s">
        <v>39</v>
      </c>
      <c r="G698" t="s">
        <v>28</v>
      </c>
      <c r="H698" s="8">
        <v>117.38</v>
      </c>
      <c r="I698" s="3">
        <f t="shared" si="41"/>
        <v>0.22500000000000001</v>
      </c>
      <c r="J698" s="4">
        <v>22.5</v>
      </c>
      <c r="K698" s="11">
        <f>Table1[[#This Row],[original_price]]* (Table1[[#This Row],[Markdown percentage updated]])</f>
        <v>26.410499999999999</v>
      </c>
      <c r="L6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698" s="6">
        <v>90.97</v>
      </c>
      <c r="N6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698" s="7">
        <v>45875</v>
      </c>
      <c r="P698">
        <v>42</v>
      </c>
      <c r="Q698" s="16" t="str">
        <f>IF(Table1[[#This Row],[stock_quantity]]=0,"NO STOCK",
IF(Table1[[#This Row],[stock_quantity]]&lt;=10,"LOW STOCK",
"IN STOCK"))</f>
        <v>IN STOCK</v>
      </c>
      <c r="R698" s="1">
        <f t="shared" si="42"/>
        <v>2.8</v>
      </c>
      <c r="S698">
        <v>2.8</v>
      </c>
      <c r="T698" t="b">
        <v>1</v>
      </c>
      <c r="U698" s="13" t="str">
        <f t="shared" si="43"/>
        <v>Color Mismatch</v>
      </c>
      <c r="V698" t="s">
        <v>36</v>
      </c>
    </row>
    <row r="699" spans="1:22" hidden="1" x14ac:dyDescent="0.3">
      <c r="A699" t="s">
        <v>752</v>
      </c>
      <c r="B699" t="s">
        <v>21</v>
      </c>
      <c r="C699" t="s">
        <v>43</v>
      </c>
      <c r="D699" t="s">
        <v>23</v>
      </c>
      <c r="E699" t="str">
        <f t="shared" si="40"/>
        <v>XS</v>
      </c>
      <c r="F699" t="s">
        <v>39</v>
      </c>
      <c r="G699" t="s">
        <v>25</v>
      </c>
      <c r="H699" s="8">
        <v>118.95</v>
      </c>
      <c r="I699" s="3">
        <f t="shared" si="41"/>
        <v>0</v>
      </c>
      <c r="J699" s="4">
        <v>0</v>
      </c>
      <c r="K699" s="11">
        <f>Table1[[#This Row],[original_price]]* (Table1[[#This Row],[Markdown percentage updated]])</f>
        <v>0</v>
      </c>
      <c r="L6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699" s="6">
        <v>118.95</v>
      </c>
      <c r="N6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699" s="7">
        <v>45875</v>
      </c>
      <c r="P699">
        <v>18</v>
      </c>
      <c r="Q699" s="16" t="str">
        <f>IF(Table1[[#This Row],[stock_quantity]]=0,"NO STOCK",
IF(Table1[[#This Row],[stock_quantity]]&lt;=10,"LOW STOCK",
"IN STOCK"))</f>
        <v>IN STOCK</v>
      </c>
      <c r="R699" s="1">
        <f t="shared" si="42"/>
        <v>1.9</v>
      </c>
      <c r="S699">
        <v>1.9</v>
      </c>
      <c r="T699" t="b">
        <v>1</v>
      </c>
      <c r="U699" s="13" t="str">
        <f t="shared" si="43"/>
        <v>Quality Issue</v>
      </c>
      <c r="V699" t="s">
        <v>83</v>
      </c>
    </row>
    <row r="700" spans="1:22" hidden="1" x14ac:dyDescent="0.3">
      <c r="A700" t="s">
        <v>753</v>
      </c>
      <c r="B700" t="s">
        <v>27</v>
      </c>
      <c r="C700" t="s">
        <v>22</v>
      </c>
      <c r="D700" t="s">
        <v>34</v>
      </c>
      <c r="E700" t="str">
        <f t="shared" si="40"/>
        <v>OS</v>
      </c>
      <c r="G700" t="s">
        <v>19</v>
      </c>
      <c r="H700" s="8">
        <v>39.299999999999997</v>
      </c>
      <c r="I700" s="3">
        <f t="shared" si="41"/>
        <v>0</v>
      </c>
      <c r="J700" s="4">
        <v>0</v>
      </c>
      <c r="K700" s="11">
        <f>Table1[[#This Row],[original_price]]* (Table1[[#This Row],[Markdown percentage updated]])</f>
        <v>0</v>
      </c>
      <c r="L7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00" s="6">
        <v>39.299999999999997</v>
      </c>
      <c r="N7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00" s="7">
        <v>45875</v>
      </c>
      <c r="P700">
        <v>39</v>
      </c>
      <c r="Q700" s="16" t="str">
        <f>IF(Table1[[#This Row],[stock_quantity]]=0,"NO STOCK",
IF(Table1[[#This Row],[stock_quantity]]&lt;=10,"LOW STOCK",
"IN STOCK"))</f>
        <v>IN STOCK</v>
      </c>
      <c r="R700" s="1">
        <f t="shared" si="42"/>
        <v>0</v>
      </c>
      <c r="T700" t="b">
        <v>0</v>
      </c>
      <c r="U700" t="str">
        <f t="shared" si="43"/>
        <v>No Return</v>
      </c>
    </row>
    <row r="701" spans="1:22" hidden="1" x14ac:dyDescent="0.3">
      <c r="A701" t="s">
        <v>754</v>
      </c>
      <c r="B701" t="s">
        <v>21</v>
      </c>
      <c r="C701" t="s">
        <v>48</v>
      </c>
      <c r="D701" t="s">
        <v>23</v>
      </c>
      <c r="E701" t="str">
        <f t="shared" si="40"/>
        <v>OS</v>
      </c>
      <c r="F701" t="s">
        <v>24</v>
      </c>
      <c r="G701" t="s">
        <v>56</v>
      </c>
      <c r="H701" s="8">
        <v>74.3</v>
      </c>
      <c r="I701" s="3">
        <f t="shared" si="41"/>
        <v>0</v>
      </c>
      <c r="J701" s="4">
        <v>0</v>
      </c>
      <c r="K701" s="11">
        <f>Table1[[#This Row],[original_price]]* (Table1[[#This Row],[Markdown percentage updated]])</f>
        <v>0</v>
      </c>
      <c r="L7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01" s="6">
        <v>74.3</v>
      </c>
      <c r="N7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01" s="7">
        <v>45875</v>
      </c>
      <c r="P701">
        <v>31</v>
      </c>
      <c r="Q701" s="16" t="str">
        <f>IF(Table1[[#This Row],[stock_quantity]]=0,"NO STOCK",
IF(Table1[[#This Row],[stock_quantity]]&lt;=10,"LOW STOCK",
"IN STOCK"))</f>
        <v>IN STOCK</v>
      </c>
      <c r="R701" s="1">
        <f t="shared" si="42"/>
        <v>3.8</v>
      </c>
      <c r="S701">
        <v>3.8</v>
      </c>
      <c r="T701" t="b">
        <v>1</v>
      </c>
      <c r="U701" s="13" t="str">
        <f t="shared" si="43"/>
        <v>Wrong Item</v>
      </c>
      <c r="V701" t="s">
        <v>125</v>
      </c>
    </row>
    <row r="702" spans="1:22" hidden="1" x14ac:dyDescent="0.3">
      <c r="A702" t="s">
        <v>755</v>
      </c>
      <c r="B702" t="s">
        <v>38</v>
      </c>
      <c r="C702" t="s">
        <v>48</v>
      </c>
      <c r="D702" t="s">
        <v>17</v>
      </c>
      <c r="E702" t="str">
        <f t="shared" si="40"/>
        <v>OS</v>
      </c>
      <c r="F702" t="s">
        <v>55</v>
      </c>
      <c r="G702" t="s">
        <v>70</v>
      </c>
      <c r="H702" s="8">
        <v>62.97</v>
      </c>
      <c r="I702" s="3">
        <f t="shared" si="41"/>
        <v>0</v>
      </c>
      <c r="J702" s="4">
        <v>0</v>
      </c>
      <c r="K702" s="11">
        <f>Table1[[#This Row],[original_price]]* (Table1[[#This Row],[Markdown percentage updated]])</f>
        <v>0</v>
      </c>
      <c r="L7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02" s="6">
        <v>62.97</v>
      </c>
      <c r="N7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02" s="7">
        <v>45803</v>
      </c>
      <c r="P702">
        <v>5</v>
      </c>
      <c r="Q702" s="17" t="str">
        <f>IF(Table1[[#This Row],[stock_quantity]]=0,"NO STOCK",
IF(Table1[[#This Row],[stock_quantity]]&lt;=10,"LOW STOCK",
"IN STOCK"))</f>
        <v>LOW STOCK</v>
      </c>
      <c r="R702" s="1">
        <f t="shared" si="42"/>
        <v>3.5</v>
      </c>
      <c r="S702">
        <v>3.5</v>
      </c>
      <c r="T702" t="b">
        <v>0</v>
      </c>
      <c r="U702" t="str">
        <f t="shared" si="43"/>
        <v>No Return</v>
      </c>
    </row>
    <row r="703" spans="1:22" hidden="1" x14ac:dyDescent="0.3">
      <c r="A703" t="s">
        <v>756</v>
      </c>
      <c r="B703" t="s">
        <v>27</v>
      </c>
      <c r="C703" t="s">
        <v>48</v>
      </c>
      <c r="D703" t="s">
        <v>62</v>
      </c>
      <c r="E703" t="str">
        <f t="shared" si="40"/>
        <v>OS</v>
      </c>
      <c r="G703" t="s">
        <v>40</v>
      </c>
      <c r="H703" s="8">
        <v>73.599999999999994</v>
      </c>
      <c r="I703" s="3">
        <f t="shared" si="41"/>
        <v>0</v>
      </c>
      <c r="J703" s="4">
        <v>0</v>
      </c>
      <c r="K703" s="11">
        <f>Table1[[#This Row],[original_price]]* (Table1[[#This Row],[Markdown percentage updated]])</f>
        <v>0</v>
      </c>
      <c r="L7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03" s="6">
        <v>73.599999999999994</v>
      </c>
      <c r="N7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03" s="7">
        <v>45875</v>
      </c>
      <c r="P703">
        <v>1</v>
      </c>
      <c r="Q703" s="17" t="str">
        <f>IF(Table1[[#This Row],[stock_quantity]]=0,"NO STOCK",
IF(Table1[[#This Row],[stock_quantity]]&lt;=10,"LOW STOCK",
"IN STOCK"))</f>
        <v>LOW STOCK</v>
      </c>
      <c r="R703" s="1">
        <f t="shared" si="42"/>
        <v>1.8</v>
      </c>
      <c r="S703">
        <v>1.8</v>
      </c>
      <c r="T703" t="b">
        <v>0</v>
      </c>
      <c r="U703" t="str">
        <f t="shared" si="43"/>
        <v>No Return</v>
      </c>
    </row>
    <row r="704" spans="1:22" hidden="1" x14ac:dyDescent="0.3">
      <c r="A704" t="s">
        <v>757</v>
      </c>
      <c r="B704" t="s">
        <v>27</v>
      </c>
      <c r="C704" t="s">
        <v>43</v>
      </c>
      <c r="D704" t="s">
        <v>17</v>
      </c>
      <c r="E704" t="str">
        <f t="shared" si="40"/>
        <v>XXL</v>
      </c>
      <c r="G704" t="s">
        <v>28</v>
      </c>
      <c r="H704" s="8">
        <v>77.849999999999994</v>
      </c>
      <c r="I704" s="3">
        <f t="shared" si="41"/>
        <v>0.34899999999999998</v>
      </c>
      <c r="J704" s="4">
        <v>34.9</v>
      </c>
      <c r="K704" s="11">
        <f>Table1[[#This Row],[original_price]]* (Table1[[#This Row],[Markdown percentage updated]])</f>
        <v>27.169649999999997</v>
      </c>
      <c r="L7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04" s="6">
        <v>50.68</v>
      </c>
      <c r="N7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04" s="7">
        <v>45874</v>
      </c>
      <c r="P704">
        <v>11</v>
      </c>
      <c r="Q704" s="16" t="str">
        <f>IF(Table1[[#This Row],[stock_quantity]]=0,"NO STOCK",
IF(Table1[[#This Row],[stock_quantity]]&lt;=10,"LOW STOCK",
"IN STOCK"))</f>
        <v>IN STOCK</v>
      </c>
      <c r="R704" s="1">
        <f t="shared" si="42"/>
        <v>0</v>
      </c>
      <c r="T704" t="b">
        <v>0</v>
      </c>
      <c r="U704" t="str">
        <f t="shared" si="43"/>
        <v>No Return</v>
      </c>
    </row>
    <row r="705" spans="1:22" hidden="1" x14ac:dyDescent="0.3">
      <c r="A705" t="s">
        <v>758</v>
      </c>
      <c r="B705" t="s">
        <v>21</v>
      </c>
      <c r="C705" t="s">
        <v>75</v>
      </c>
      <c r="D705" t="s">
        <v>62</v>
      </c>
      <c r="E705" t="str">
        <f t="shared" si="40"/>
        <v>OS</v>
      </c>
      <c r="G705" t="s">
        <v>19</v>
      </c>
      <c r="H705" s="8">
        <v>94.31</v>
      </c>
      <c r="I705" s="3">
        <f t="shared" si="41"/>
        <v>0</v>
      </c>
      <c r="J705" s="4">
        <v>0</v>
      </c>
      <c r="K705" s="11">
        <f>Table1[[#This Row],[original_price]]* (Table1[[#This Row],[Markdown percentage updated]])</f>
        <v>0</v>
      </c>
      <c r="L7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05" s="6">
        <v>94.31</v>
      </c>
      <c r="N7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05" s="7">
        <v>45875</v>
      </c>
      <c r="P705">
        <v>20</v>
      </c>
      <c r="Q705" s="16" t="str">
        <f>IF(Table1[[#This Row],[stock_quantity]]=0,"NO STOCK",
IF(Table1[[#This Row],[stock_quantity]]&lt;=10,"LOW STOCK",
"IN STOCK"))</f>
        <v>IN STOCK</v>
      </c>
      <c r="R705" s="1">
        <f t="shared" si="42"/>
        <v>3</v>
      </c>
      <c r="S705">
        <v>3</v>
      </c>
      <c r="T705" t="b">
        <v>0</v>
      </c>
      <c r="U705" t="str">
        <f t="shared" si="43"/>
        <v>No Return</v>
      </c>
    </row>
    <row r="706" spans="1:22" hidden="1" x14ac:dyDescent="0.3">
      <c r="A706" t="s">
        <v>759</v>
      </c>
      <c r="B706" t="s">
        <v>38</v>
      </c>
      <c r="C706" t="s">
        <v>53</v>
      </c>
      <c r="D706" t="s">
        <v>17</v>
      </c>
      <c r="E706" t="str">
        <f t="shared" ref="E706:E769" si="44">IF(ISBLANK(F709),"OS",F709)</f>
        <v>XS</v>
      </c>
      <c r="G706" t="s">
        <v>64</v>
      </c>
      <c r="H706" s="8">
        <v>60.36</v>
      </c>
      <c r="I706" s="3">
        <f t="shared" ref="I706:I769" si="45">J706/100</f>
        <v>0</v>
      </c>
      <c r="J706" s="4">
        <v>0</v>
      </c>
      <c r="K706" s="11">
        <f>Table1[[#This Row],[original_price]]* (Table1[[#This Row],[Markdown percentage updated]])</f>
        <v>0</v>
      </c>
      <c r="L7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06" s="6">
        <v>60.36</v>
      </c>
      <c r="N7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06" s="7">
        <v>45536</v>
      </c>
      <c r="P706">
        <v>35</v>
      </c>
      <c r="Q706" s="16" t="str">
        <f>IF(Table1[[#This Row],[stock_quantity]]=0,"NO STOCK",
IF(Table1[[#This Row],[stock_quantity]]&lt;=10,"LOW STOCK",
"IN STOCK"))</f>
        <v>IN STOCK</v>
      </c>
      <c r="R706" s="1">
        <f t="shared" si="42"/>
        <v>3.3</v>
      </c>
      <c r="S706">
        <v>3.3</v>
      </c>
      <c r="T706" t="b">
        <v>0</v>
      </c>
      <c r="U706" t="str">
        <f t="shared" si="43"/>
        <v>No Return</v>
      </c>
    </row>
    <row r="707" spans="1:22" hidden="1" x14ac:dyDescent="0.3">
      <c r="A707" t="s">
        <v>760</v>
      </c>
      <c r="B707" t="s">
        <v>38</v>
      </c>
      <c r="C707" t="s">
        <v>43</v>
      </c>
      <c r="D707" t="s">
        <v>62</v>
      </c>
      <c r="E707" t="str">
        <f t="shared" si="44"/>
        <v>M</v>
      </c>
      <c r="F707" t="s">
        <v>49</v>
      </c>
      <c r="G707" t="s">
        <v>70</v>
      </c>
      <c r="H707" s="8">
        <v>94.85</v>
      </c>
      <c r="I707" s="3">
        <f t="shared" si="45"/>
        <v>0</v>
      </c>
      <c r="J707" s="4">
        <v>0</v>
      </c>
      <c r="K707" s="11">
        <f>Table1[[#This Row],[original_price]]* (Table1[[#This Row],[Markdown percentage updated]])</f>
        <v>0</v>
      </c>
      <c r="L7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07" s="6">
        <v>94.85</v>
      </c>
      <c r="N7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07" s="7">
        <v>45875</v>
      </c>
      <c r="P707">
        <v>28</v>
      </c>
      <c r="Q707" s="16" t="str">
        <f>IF(Table1[[#This Row],[stock_quantity]]=0,"NO STOCK",
IF(Table1[[#This Row],[stock_quantity]]&lt;=10,"LOW STOCK",
"IN STOCK"))</f>
        <v>IN STOCK</v>
      </c>
      <c r="R707" s="1">
        <f t="shared" ref="R707:R770" si="46">IF(ISBLANK(S707), 0, S707)</f>
        <v>1.5</v>
      </c>
      <c r="S707">
        <v>1.5</v>
      </c>
      <c r="T707" t="b">
        <v>0</v>
      </c>
      <c r="U707" t="str">
        <f t="shared" ref="U707:U770" si="47">IF(V707="","No Return",V707)</f>
        <v>No Return</v>
      </c>
    </row>
    <row r="708" spans="1:22" hidden="1" x14ac:dyDescent="0.3">
      <c r="A708" t="s">
        <v>761</v>
      </c>
      <c r="B708" t="s">
        <v>27</v>
      </c>
      <c r="C708" t="s">
        <v>22</v>
      </c>
      <c r="D708" t="s">
        <v>23</v>
      </c>
      <c r="E708" t="str">
        <f t="shared" si="44"/>
        <v>M</v>
      </c>
      <c r="G708" t="s">
        <v>44</v>
      </c>
      <c r="H708" s="8">
        <v>30.52</v>
      </c>
      <c r="I708" s="3">
        <f t="shared" si="45"/>
        <v>7.9000000000000001E-2</v>
      </c>
      <c r="J708" s="4">
        <v>7.9</v>
      </c>
      <c r="K708" s="11">
        <f>Table1[[#This Row],[original_price]]* (Table1[[#This Row],[Markdown percentage updated]])</f>
        <v>2.4110800000000001</v>
      </c>
      <c r="L7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08" s="6">
        <v>28.11</v>
      </c>
      <c r="N7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708" s="7">
        <v>45875</v>
      </c>
      <c r="P708">
        <v>43</v>
      </c>
      <c r="Q708" s="16" t="str">
        <f>IF(Table1[[#This Row],[stock_quantity]]=0,"NO STOCK",
IF(Table1[[#This Row],[stock_quantity]]&lt;=10,"LOW STOCK",
"IN STOCK"))</f>
        <v>IN STOCK</v>
      </c>
      <c r="R708" s="1">
        <f t="shared" si="46"/>
        <v>4.7</v>
      </c>
      <c r="S708">
        <v>4.7</v>
      </c>
      <c r="T708" t="b">
        <v>0</v>
      </c>
      <c r="U708" t="str">
        <f t="shared" si="47"/>
        <v>No Return</v>
      </c>
    </row>
    <row r="709" spans="1:22" hidden="1" x14ac:dyDescent="0.3">
      <c r="A709" t="s">
        <v>762</v>
      </c>
      <c r="B709" t="s">
        <v>42</v>
      </c>
      <c r="C709" t="s">
        <v>43</v>
      </c>
      <c r="D709" t="s">
        <v>62</v>
      </c>
      <c r="E709" t="str">
        <f t="shared" si="44"/>
        <v>OS</v>
      </c>
      <c r="F709" t="s">
        <v>55</v>
      </c>
      <c r="G709" t="s">
        <v>64</v>
      </c>
      <c r="H709" s="8">
        <v>97.06</v>
      </c>
      <c r="I709" s="3">
        <f t="shared" si="45"/>
        <v>0</v>
      </c>
      <c r="J709" s="4">
        <v>0</v>
      </c>
      <c r="K709" s="11">
        <f>Table1[[#This Row],[original_price]]* (Table1[[#This Row],[Markdown percentage updated]])</f>
        <v>0</v>
      </c>
      <c r="L7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09" s="6">
        <v>97.06</v>
      </c>
      <c r="N7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09" s="7">
        <v>45875</v>
      </c>
      <c r="P709">
        <v>24</v>
      </c>
      <c r="Q709" s="16" t="str">
        <f>IF(Table1[[#This Row],[stock_quantity]]=0,"NO STOCK",
IF(Table1[[#This Row],[stock_quantity]]&lt;=10,"LOW STOCK",
"IN STOCK"))</f>
        <v>IN STOCK</v>
      </c>
      <c r="R709" s="1">
        <f t="shared" si="46"/>
        <v>3.9</v>
      </c>
      <c r="S709">
        <v>3.9</v>
      </c>
      <c r="T709" t="b">
        <v>0</v>
      </c>
      <c r="U709" t="str">
        <f t="shared" si="47"/>
        <v>No Return</v>
      </c>
    </row>
    <row r="710" spans="1:22" hidden="1" x14ac:dyDescent="0.3">
      <c r="A710" t="s">
        <v>763</v>
      </c>
      <c r="B710" t="s">
        <v>38</v>
      </c>
      <c r="C710" t="s">
        <v>75</v>
      </c>
      <c r="D710" t="s">
        <v>62</v>
      </c>
      <c r="E710" t="str">
        <f t="shared" si="44"/>
        <v>L</v>
      </c>
      <c r="F710" t="s">
        <v>58</v>
      </c>
      <c r="G710" t="s">
        <v>66</v>
      </c>
      <c r="H710" s="8">
        <v>57.85</v>
      </c>
      <c r="I710" s="3">
        <f t="shared" si="45"/>
        <v>0.35399999999999998</v>
      </c>
      <c r="J710" s="4">
        <v>35.4</v>
      </c>
      <c r="K710" s="11">
        <f>Table1[[#This Row],[original_price]]* (Table1[[#This Row],[Markdown percentage updated]])</f>
        <v>20.478899999999999</v>
      </c>
      <c r="L7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10" s="6">
        <v>37.369999999999997</v>
      </c>
      <c r="N7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10" s="7">
        <v>45875</v>
      </c>
      <c r="P710">
        <v>17</v>
      </c>
      <c r="Q710" s="16" t="str">
        <f>IF(Table1[[#This Row],[stock_quantity]]=0,"NO STOCK",
IF(Table1[[#This Row],[stock_quantity]]&lt;=10,"LOW STOCK",
"IN STOCK"))</f>
        <v>IN STOCK</v>
      </c>
      <c r="R710" s="1">
        <f t="shared" si="46"/>
        <v>0</v>
      </c>
      <c r="T710" t="b">
        <v>0</v>
      </c>
      <c r="U710" t="str">
        <f t="shared" si="47"/>
        <v>No Return</v>
      </c>
    </row>
    <row r="711" spans="1:22" hidden="1" x14ac:dyDescent="0.3">
      <c r="A711" t="s">
        <v>764</v>
      </c>
      <c r="B711" t="s">
        <v>21</v>
      </c>
      <c r="C711" t="s">
        <v>16</v>
      </c>
      <c r="D711" t="s">
        <v>34</v>
      </c>
      <c r="E711" t="str">
        <f t="shared" si="44"/>
        <v>XXL</v>
      </c>
      <c r="F711" t="s">
        <v>58</v>
      </c>
      <c r="G711" t="s">
        <v>35</v>
      </c>
      <c r="H711" s="8">
        <v>51.35</v>
      </c>
      <c r="I711" s="3">
        <f t="shared" si="45"/>
        <v>0.19699999999999998</v>
      </c>
      <c r="J711" s="4">
        <v>19.7</v>
      </c>
      <c r="K711" s="11">
        <f>Table1[[#This Row],[original_price]]* (Table1[[#This Row],[Markdown percentage updated]])</f>
        <v>10.11595</v>
      </c>
      <c r="L7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11" s="6">
        <v>41.23</v>
      </c>
      <c r="N7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711" s="7">
        <v>45875</v>
      </c>
      <c r="P711">
        <v>39</v>
      </c>
      <c r="Q711" s="16" t="str">
        <f>IF(Table1[[#This Row],[stock_quantity]]=0,"NO STOCK",
IF(Table1[[#This Row],[stock_quantity]]&lt;=10,"LOW STOCK",
"IN STOCK"))</f>
        <v>IN STOCK</v>
      </c>
      <c r="R711" s="1">
        <f t="shared" si="46"/>
        <v>1.3</v>
      </c>
      <c r="S711">
        <v>1.3</v>
      </c>
      <c r="T711" t="b">
        <v>0</v>
      </c>
      <c r="U711" t="str">
        <f t="shared" si="47"/>
        <v>No Return</v>
      </c>
    </row>
    <row r="712" spans="1:22" hidden="1" x14ac:dyDescent="0.3">
      <c r="A712" t="s">
        <v>765</v>
      </c>
      <c r="B712" t="s">
        <v>27</v>
      </c>
      <c r="C712" t="s">
        <v>53</v>
      </c>
      <c r="D712" t="s">
        <v>17</v>
      </c>
      <c r="E712" t="str">
        <f t="shared" si="44"/>
        <v>S</v>
      </c>
      <c r="G712" t="s">
        <v>28</v>
      </c>
      <c r="H712" s="8">
        <v>61.34</v>
      </c>
      <c r="I712" s="3">
        <f t="shared" si="45"/>
        <v>0.45399999999999996</v>
      </c>
      <c r="J712" s="4">
        <v>45.4</v>
      </c>
      <c r="K712" s="11">
        <f>Table1[[#This Row],[original_price]]* (Table1[[#This Row],[Markdown percentage updated]])</f>
        <v>27.84836</v>
      </c>
      <c r="L7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12" s="6">
        <v>33.49</v>
      </c>
      <c r="N7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12" s="7">
        <v>45691</v>
      </c>
      <c r="P712">
        <v>46</v>
      </c>
      <c r="Q712" s="16" t="str">
        <f>IF(Table1[[#This Row],[stock_quantity]]=0,"NO STOCK",
IF(Table1[[#This Row],[stock_quantity]]&lt;=10,"LOW STOCK",
"IN STOCK"))</f>
        <v>IN STOCK</v>
      </c>
      <c r="R712" s="1">
        <f t="shared" si="46"/>
        <v>0</v>
      </c>
      <c r="T712" t="b">
        <v>0</v>
      </c>
      <c r="U712" t="str">
        <f t="shared" si="47"/>
        <v>No Return</v>
      </c>
    </row>
    <row r="713" spans="1:22" hidden="1" x14ac:dyDescent="0.3">
      <c r="A713" t="s">
        <v>766</v>
      </c>
      <c r="B713" t="s">
        <v>15</v>
      </c>
      <c r="C713" t="s">
        <v>32</v>
      </c>
      <c r="D713" t="s">
        <v>62</v>
      </c>
      <c r="E713" t="str">
        <f t="shared" si="44"/>
        <v>XXL</v>
      </c>
      <c r="F713" t="s">
        <v>24</v>
      </c>
      <c r="G713" t="s">
        <v>66</v>
      </c>
      <c r="H713" s="8">
        <v>189.28</v>
      </c>
      <c r="I713" s="3">
        <f t="shared" si="45"/>
        <v>0</v>
      </c>
      <c r="J713" s="4">
        <v>0</v>
      </c>
      <c r="K713" s="11">
        <f>Table1[[#This Row],[original_price]]* (Table1[[#This Row],[Markdown percentage updated]])</f>
        <v>0</v>
      </c>
      <c r="L7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13" s="6">
        <v>189.28</v>
      </c>
      <c r="N7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13" s="7">
        <v>45875</v>
      </c>
      <c r="P713">
        <v>41</v>
      </c>
      <c r="Q713" s="16" t="str">
        <f>IF(Table1[[#This Row],[stock_quantity]]=0,"NO STOCK",
IF(Table1[[#This Row],[stock_quantity]]&lt;=10,"LOW STOCK",
"IN STOCK"))</f>
        <v>IN STOCK</v>
      </c>
      <c r="R713" s="1">
        <f t="shared" si="46"/>
        <v>2.7</v>
      </c>
      <c r="S713">
        <v>2.7</v>
      </c>
      <c r="T713" t="b">
        <v>1</v>
      </c>
      <c r="U713" s="13" t="str">
        <f t="shared" si="47"/>
        <v>Wrong Item</v>
      </c>
      <c r="V713" t="s">
        <v>125</v>
      </c>
    </row>
    <row r="714" spans="1:22" hidden="1" x14ac:dyDescent="0.3">
      <c r="A714" t="s">
        <v>767</v>
      </c>
      <c r="B714" t="s">
        <v>21</v>
      </c>
      <c r="C714" t="s">
        <v>32</v>
      </c>
      <c r="D714" t="s">
        <v>62</v>
      </c>
      <c r="E714" t="str">
        <f t="shared" si="44"/>
        <v>XL</v>
      </c>
      <c r="F714" t="s">
        <v>49</v>
      </c>
      <c r="G714" t="s">
        <v>66</v>
      </c>
      <c r="H714" s="8">
        <v>86.67</v>
      </c>
      <c r="I714" s="3">
        <f t="shared" si="45"/>
        <v>0.35799999999999998</v>
      </c>
      <c r="J714" s="4">
        <v>35.799999999999997</v>
      </c>
      <c r="K714" s="11">
        <f>Table1[[#This Row],[original_price]]* (Table1[[#This Row],[Markdown percentage updated]])</f>
        <v>31.02786</v>
      </c>
      <c r="L7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14" s="6">
        <v>55.64</v>
      </c>
      <c r="N7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14" s="7">
        <v>45875</v>
      </c>
      <c r="P714">
        <v>2</v>
      </c>
      <c r="Q714" s="17" t="str">
        <f>IF(Table1[[#This Row],[stock_quantity]]=0,"NO STOCK",
IF(Table1[[#This Row],[stock_quantity]]&lt;=10,"LOW STOCK",
"IN STOCK"))</f>
        <v>LOW STOCK</v>
      </c>
      <c r="R714" s="1">
        <f t="shared" si="46"/>
        <v>4.9000000000000004</v>
      </c>
      <c r="S714">
        <v>4.9000000000000004</v>
      </c>
      <c r="T714" t="b">
        <v>0</v>
      </c>
      <c r="U714" t="str">
        <f t="shared" si="47"/>
        <v>No Return</v>
      </c>
    </row>
    <row r="715" spans="1:22" hidden="1" x14ac:dyDescent="0.3">
      <c r="A715" t="s">
        <v>768</v>
      </c>
      <c r="B715" t="s">
        <v>38</v>
      </c>
      <c r="C715" t="s">
        <v>53</v>
      </c>
      <c r="D715" t="s">
        <v>17</v>
      </c>
      <c r="E715" t="str">
        <f t="shared" si="44"/>
        <v>L</v>
      </c>
      <c r="F715" t="s">
        <v>39</v>
      </c>
      <c r="G715" t="s">
        <v>64</v>
      </c>
      <c r="H715" s="8">
        <v>102.84</v>
      </c>
      <c r="I715" s="3">
        <f t="shared" si="45"/>
        <v>0</v>
      </c>
      <c r="J715" s="4">
        <v>0</v>
      </c>
      <c r="K715" s="11">
        <f>Table1[[#This Row],[original_price]]* (Table1[[#This Row],[Markdown percentage updated]])</f>
        <v>0</v>
      </c>
      <c r="L7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15" s="6">
        <v>102.84</v>
      </c>
      <c r="N7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15" s="7">
        <v>45545</v>
      </c>
      <c r="P715">
        <v>27</v>
      </c>
      <c r="Q715" s="16" t="str">
        <f>IF(Table1[[#This Row],[stock_quantity]]=0,"NO STOCK",
IF(Table1[[#This Row],[stock_quantity]]&lt;=10,"LOW STOCK",
"IN STOCK"))</f>
        <v>IN STOCK</v>
      </c>
      <c r="R715" s="1">
        <f t="shared" si="46"/>
        <v>1.8</v>
      </c>
      <c r="S715">
        <v>1.8</v>
      </c>
      <c r="T715" t="b">
        <v>0</v>
      </c>
      <c r="U715" t="str">
        <f t="shared" si="47"/>
        <v>No Return</v>
      </c>
    </row>
    <row r="716" spans="1:22" x14ac:dyDescent="0.3">
      <c r="A716" t="s">
        <v>769</v>
      </c>
      <c r="B716" t="s">
        <v>15</v>
      </c>
      <c r="C716" t="s">
        <v>16</v>
      </c>
      <c r="D716" t="s">
        <v>34</v>
      </c>
      <c r="E716" t="str">
        <f t="shared" si="44"/>
        <v>OS</v>
      </c>
      <c r="F716" t="s">
        <v>49</v>
      </c>
      <c r="G716" t="s">
        <v>46</v>
      </c>
      <c r="H716" s="8">
        <v>225.21</v>
      </c>
      <c r="I716" s="3">
        <f t="shared" si="45"/>
        <v>0</v>
      </c>
      <c r="J716" s="4">
        <v>0</v>
      </c>
      <c r="K716" s="11">
        <f>Table1[[#This Row],[original_price]]* (Table1[[#This Row],[Markdown percentage updated]])</f>
        <v>0</v>
      </c>
      <c r="L7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16" s="6">
        <v>225.21</v>
      </c>
      <c r="N7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16" s="7">
        <v>45875</v>
      </c>
      <c r="P716">
        <v>27</v>
      </c>
      <c r="Q716" s="16" t="str">
        <f>IF(Table1[[#This Row],[stock_quantity]]=0,"NO STOCK",
IF(Table1[[#This Row],[stock_quantity]]&lt;=10,"LOW STOCK",
"IN STOCK"))</f>
        <v>IN STOCK</v>
      </c>
      <c r="R716" s="1">
        <f t="shared" si="46"/>
        <v>3.1</v>
      </c>
      <c r="S716">
        <v>3.1</v>
      </c>
      <c r="T716" t="b">
        <v>1</v>
      </c>
      <c r="U716" s="13" t="str">
        <f t="shared" si="47"/>
        <v>Changed Mind</v>
      </c>
      <c r="V716" t="s">
        <v>115</v>
      </c>
    </row>
    <row r="717" spans="1:22" hidden="1" x14ac:dyDescent="0.3">
      <c r="A717" t="s">
        <v>770</v>
      </c>
      <c r="B717" t="s">
        <v>42</v>
      </c>
      <c r="C717" t="s">
        <v>22</v>
      </c>
      <c r="D717" t="s">
        <v>23</v>
      </c>
      <c r="E717" t="str">
        <f t="shared" si="44"/>
        <v>XL</v>
      </c>
      <c r="F717" t="s">
        <v>18</v>
      </c>
      <c r="G717" t="s">
        <v>40</v>
      </c>
      <c r="H717" s="8">
        <v>48.91</v>
      </c>
      <c r="I717" s="3">
        <f t="shared" si="45"/>
        <v>0.27800000000000002</v>
      </c>
      <c r="J717" s="4">
        <v>27.8</v>
      </c>
      <c r="K717" s="11">
        <f>Table1[[#This Row],[original_price]]* (Table1[[#This Row],[Markdown percentage updated]])</f>
        <v>13.59698</v>
      </c>
      <c r="L7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717" s="6">
        <v>35.31</v>
      </c>
      <c r="N7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717" s="7">
        <v>45875</v>
      </c>
      <c r="P717">
        <v>0</v>
      </c>
      <c r="Q717" s="13" t="str">
        <f>IF(Table1[[#This Row],[stock_quantity]]=0,"NO STOCK",
IF(Table1[[#This Row],[stock_quantity]]&lt;=10,"LOW STOCK",
"IN STOCK"))</f>
        <v>NO STOCK</v>
      </c>
      <c r="R717" s="1">
        <f t="shared" si="46"/>
        <v>4.0999999999999996</v>
      </c>
      <c r="S717">
        <v>4.0999999999999996</v>
      </c>
      <c r="T717" t="b">
        <v>0</v>
      </c>
      <c r="U717" t="str">
        <f t="shared" si="47"/>
        <v>No Return</v>
      </c>
    </row>
    <row r="718" spans="1:22" hidden="1" x14ac:dyDescent="0.3">
      <c r="A718" t="s">
        <v>771</v>
      </c>
      <c r="B718" t="s">
        <v>15</v>
      </c>
      <c r="C718" t="s">
        <v>75</v>
      </c>
      <c r="D718" t="s">
        <v>34</v>
      </c>
      <c r="E718" t="str">
        <f t="shared" si="44"/>
        <v>XL</v>
      </c>
      <c r="F718" t="s">
        <v>24</v>
      </c>
      <c r="G718" t="s">
        <v>25</v>
      </c>
      <c r="H718" s="8">
        <v>145.93</v>
      </c>
      <c r="I718" s="3">
        <f t="shared" si="45"/>
        <v>0</v>
      </c>
      <c r="J718" s="4">
        <v>0</v>
      </c>
      <c r="K718" s="11">
        <f>Table1[[#This Row],[original_price]]* (Table1[[#This Row],[Markdown percentage updated]])</f>
        <v>0</v>
      </c>
      <c r="L7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18" s="6">
        <v>145.93</v>
      </c>
      <c r="N7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18" s="7">
        <v>45875</v>
      </c>
      <c r="P718">
        <v>19</v>
      </c>
      <c r="Q718" s="16" t="str">
        <f>IF(Table1[[#This Row],[stock_quantity]]=0,"NO STOCK",
IF(Table1[[#This Row],[stock_quantity]]&lt;=10,"LOW STOCK",
"IN STOCK"))</f>
        <v>IN STOCK</v>
      </c>
      <c r="R718" s="1">
        <f t="shared" si="46"/>
        <v>1.5</v>
      </c>
      <c r="S718">
        <v>1.5</v>
      </c>
      <c r="T718" t="b">
        <v>0</v>
      </c>
      <c r="U718" t="str">
        <f t="shared" si="47"/>
        <v>No Return</v>
      </c>
    </row>
    <row r="719" spans="1:22" hidden="1" x14ac:dyDescent="0.3">
      <c r="A719" t="s">
        <v>772</v>
      </c>
      <c r="B719" t="s">
        <v>15</v>
      </c>
      <c r="C719" t="s">
        <v>32</v>
      </c>
      <c r="D719" t="s">
        <v>23</v>
      </c>
      <c r="E719" t="str">
        <f t="shared" si="44"/>
        <v>L</v>
      </c>
      <c r="G719" t="s">
        <v>46</v>
      </c>
      <c r="H719" s="8">
        <v>225.92</v>
      </c>
      <c r="I719" s="3">
        <f t="shared" si="45"/>
        <v>0.43700000000000006</v>
      </c>
      <c r="J719" s="4">
        <v>43.7</v>
      </c>
      <c r="K719" s="11">
        <f>Table1[[#This Row],[original_price]]* (Table1[[#This Row],[Markdown percentage updated]])</f>
        <v>98.727040000000002</v>
      </c>
      <c r="L7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19" s="6">
        <v>127.19</v>
      </c>
      <c r="N7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19" s="7">
        <v>45875</v>
      </c>
      <c r="P719">
        <v>30</v>
      </c>
      <c r="Q719" s="16" t="str">
        <f>IF(Table1[[#This Row],[stock_quantity]]=0,"NO STOCK",
IF(Table1[[#This Row],[stock_quantity]]&lt;=10,"LOW STOCK",
"IN STOCK"))</f>
        <v>IN STOCK</v>
      </c>
      <c r="R719" s="1">
        <f t="shared" si="46"/>
        <v>3.2</v>
      </c>
      <c r="S719">
        <v>3.2</v>
      </c>
      <c r="T719" t="b">
        <v>0</v>
      </c>
      <c r="U719" t="str">
        <f t="shared" si="47"/>
        <v>No Return</v>
      </c>
    </row>
    <row r="720" spans="1:22" hidden="1" x14ac:dyDescent="0.3">
      <c r="A720" t="s">
        <v>773</v>
      </c>
      <c r="B720" t="s">
        <v>15</v>
      </c>
      <c r="C720" t="s">
        <v>22</v>
      </c>
      <c r="D720" t="s">
        <v>62</v>
      </c>
      <c r="E720" t="str">
        <f t="shared" si="44"/>
        <v>S</v>
      </c>
      <c r="F720" t="s">
        <v>18</v>
      </c>
      <c r="G720" t="s">
        <v>46</v>
      </c>
      <c r="H720" s="8">
        <v>202.18</v>
      </c>
      <c r="I720" s="3">
        <f t="shared" si="45"/>
        <v>0.39700000000000002</v>
      </c>
      <c r="J720" s="4">
        <v>39.700000000000003</v>
      </c>
      <c r="K720" s="11">
        <f>Table1[[#This Row],[original_price]]* (Table1[[#This Row],[Markdown percentage updated]])</f>
        <v>80.265460000000004</v>
      </c>
      <c r="L7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20" s="6">
        <v>121.91</v>
      </c>
      <c r="N7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20" s="7">
        <v>45875</v>
      </c>
      <c r="P720">
        <v>20</v>
      </c>
      <c r="Q720" s="16" t="str">
        <f>IF(Table1[[#This Row],[stock_quantity]]=0,"NO STOCK",
IF(Table1[[#This Row],[stock_quantity]]&lt;=10,"LOW STOCK",
"IN STOCK"))</f>
        <v>IN STOCK</v>
      </c>
      <c r="R720" s="1">
        <f t="shared" si="46"/>
        <v>4.0999999999999996</v>
      </c>
      <c r="S720">
        <v>4.0999999999999996</v>
      </c>
      <c r="T720" t="b">
        <v>0</v>
      </c>
      <c r="U720" t="str">
        <f t="shared" si="47"/>
        <v>No Return</v>
      </c>
    </row>
    <row r="721" spans="1:22" hidden="1" x14ac:dyDescent="0.3">
      <c r="A721" t="s">
        <v>774</v>
      </c>
      <c r="B721" t="s">
        <v>21</v>
      </c>
      <c r="C721" t="s">
        <v>22</v>
      </c>
      <c r="D721" t="s">
        <v>34</v>
      </c>
      <c r="E721" t="str">
        <f t="shared" si="44"/>
        <v>OS</v>
      </c>
      <c r="F721" t="s">
        <v>18</v>
      </c>
      <c r="G721" t="s">
        <v>44</v>
      </c>
      <c r="H721" s="8">
        <v>51.85</v>
      </c>
      <c r="I721" s="3">
        <f t="shared" si="45"/>
        <v>0</v>
      </c>
      <c r="J721" s="4">
        <v>0</v>
      </c>
      <c r="K721" s="11">
        <f>Table1[[#This Row],[original_price]]* (Table1[[#This Row],[Markdown percentage updated]])</f>
        <v>0</v>
      </c>
      <c r="L7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21" s="6">
        <v>51.85</v>
      </c>
      <c r="N7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21" s="7">
        <v>45875</v>
      </c>
      <c r="P721">
        <v>28</v>
      </c>
      <c r="Q721" s="16" t="str">
        <f>IF(Table1[[#This Row],[stock_quantity]]=0,"NO STOCK",
IF(Table1[[#This Row],[stock_quantity]]&lt;=10,"LOW STOCK",
"IN STOCK"))</f>
        <v>IN STOCK</v>
      </c>
      <c r="R721" s="1">
        <f t="shared" si="46"/>
        <v>0</v>
      </c>
      <c r="T721" t="b">
        <v>0</v>
      </c>
      <c r="U721" t="str">
        <f t="shared" si="47"/>
        <v>No Return</v>
      </c>
    </row>
    <row r="722" spans="1:22" hidden="1" x14ac:dyDescent="0.3">
      <c r="A722" t="s">
        <v>775</v>
      </c>
      <c r="B722" t="s">
        <v>21</v>
      </c>
      <c r="C722" t="s">
        <v>22</v>
      </c>
      <c r="D722" t="s">
        <v>62</v>
      </c>
      <c r="E722" t="str">
        <f t="shared" si="44"/>
        <v>L</v>
      </c>
      <c r="F722" t="s">
        <v>24</v>
      </c>
      <c r="G722" t="s">
        <v>40</v>
      </c>
      <c r="H722" s="8">
        <v>75.34</v>
      </c>
      <c r="I722" s="3">
        <f t="shared" si="45"/>
        <v>0</v>
      </c>
      <c r="J722" s="4">
        <v>0</v>
      </c>
      <c r="K722" s="11">
        <f>Table1[[#This Row],[original_price]]* (Table1[[#This Row],[Markdown percentage updated]])</f>
        <v>0</v>
      </c>
      <c r="L7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22" s="6">
        <v>75.34</v>
      </c>
      <c r="N7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22" s="7">
        <v>45875</v>
      </c>
      <c r="P722">
        <v>21</v>
      </c>
      <c r="Q722" s="16" t="str">
        <f>IF(Table1[[#This Row],[stock_quantity]]=0,"NO STOCK",
IF(Table1[[#This Row],[stock_quantity]]&lt;=10,"LOW STOCK",
"IN STOCK"))</f>
        <v>IN STOCK</v>
      </c>
      <c r="R722" s="1">
        <f t="shared" si="46"/>
        <v>0</v>
      </c>
      <c r="T722" t="b">
        <v>0</v>
      </c>
      <c r="U722" t="str">
        <f t="shared" si="47"/>
        <v>No Return</v>
      </c>
    </row>
    <row r="723" spans="1:22" hidden="1" x14ac:dyDescent="0.3">
      <c r="A723" t="s">
        <v>776</v>
      </c>
      <c r="B723" t="s">
        <v>30</v>
      </c>
      <c r="C723" t="s">
        <v>61</v>
      </c>
      <c r="D723" t="s">
        <v>17</v>
      </c>
      <c r="E723" t="str">
        <f t="shared" si="44"/>
        <v>S</v>
      </c>
      <c r="F723" t="s">
        <v>39</v>
      </c>
      <c r="G723" t="s">
        <v>25</v>
      </c>
      <c r="H723" s="8">
        <v>92.09</v>
      </c>
      <c r="I723" s="3">
        <f t="shared" si="45"/>
        <v>0.54899999999999993</v>
      </c>
      <c r="J723" s="4">
        <v>54.9</v>
      </c>
      <c r="K723" s="11">
        <f>Table1[[#This Row],[original_price]]* (Table1[[#This Row],[Markdown percentage updated]])</f>
        <v>50.557409999999997</v>
      </c>
      <c r="L7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23" s="6">
        <v>41.53</v>
      </c>
      <c r="N7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23" s="7">
        <v>45676</v>
      </c>
      <c r="P723">
        <v>44</v>
      </c>
      <c r="Q723" s="16" t="str">
        <f>IF(Table1[[#This Row],[stock_quantity]]=0,"NO STOCK",
IF(Table1[[#This Row],[stock_quantity]]&lt;=10,"LOW STOCK",
"IN STOCK"))</f>
        <v>IN STOCK</v>
      </c>
      <c r="R723" s="1">
        <f t="shared" si="46"/>
        <v>2.2000000000000002</v>
      </c>
      <c r="S723">
        <v>2.2000000000000002</v>
      </c>
      <c r="T723" t="b">
        <v>0</v>
      </c>
      <c r="U723" t="str">
        <f t="shared" si="47"/>
        <v>No Return</v>
      </c>
    </row>
    <row r="724" spans="1:22" hidden="1" x14ac:dyDescent="0.3">
      <c r="A724" t="s">
        <v>777</v>
      </c>
      <c r="B724" t="s">
        <v>27</v>
      </c>
      <c r="C724" t="s">
        <v>16</v>
      </c>
      <c r="D724" t="s">
        <v>34</v>
      </c>
      <c r="E724" t="str">
        <f t="shared" si="44"/>
        <v>XS</v>
      </c>
      <c r="G724" t="s">
        <v>44</v>
      </c>
      <c r="H724" s="8">
        <v>56.39</v>
      </c>
      <c r="I724" s="3">
        <f t="shared" si="45"/>
        <v>0</v>
      </c>
      <c r="J724" s="4">
        <v>0</v>
      </c>
      <c r="K724" s="11">
        <f>Table1[[#This Row],[original_price]]* (Table1[[#This Row],[Markdown percentage updated]])</f>
        <v>0</v>
      </c>
      <c r="L7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24" s="6">
        <v>56.39</v>
      </c>
      <c r="N7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24" s="7">
        <v>45875</v>
      </c>
      <c r="P724">
        <v>49</v>
      </c>
      <c r="Q724" s="16" t="str">
        <f>IF(Table1[[#This Row],[stock_quantity]]=0,"NO STOCK",
IF(Table1[[#This Row],[stock_quantity]]&lt;=10,"LOW STOCK",
"IN STOCK"))</f>
        <v>IN STOCK</v>
      </c>
      <c r="R724" s="1">
        <f t="shared" si="46"/>
        <v>4.2</v>
      </c>
      <c r="S724">
        <v>4.2</v>
      </c>
      <c r="T724" t="b">
        <v>0</v>
      </c>
      <c r="U724" t="str">
        <f t="shared" si="47"/>
        <v>No Return</v>
      </c>
    </row>
    <row r="725" spans="1:22" hidden="1" x14ac:dyDescent="0.3">
      <c r="A725" t="s">
        <v>778</v>
      </c>
      <c r="B725" t="s">
        <v>21</v>
      </c>
      <c r="C725" t="s">
        <v>43</v>
      </c>
      <c r="D725" t="s">
        <v>34</v>
      </c>
      <c r="E725" t="str">
        <f t="shared" si="44"/>
        <v>S</v>
      </c>
      <c r="F725" t="s">
        <v>24</v>
      </c>
      <c r="G725" t="s">
        <v>25</v>
      </c>
      <c r="H725" s="8">
        <v>108.75</v>
      </c>
      <c r="I725" s="3">
        <f t="shared" si="45"/>
        <v>0</v>
      </c>
      <c r="J725" s="4">
        <v>0</v>
      </c>
      <c r="K725" s="11">
        <f>Table1[[#This Row],[original_price]]* (Table1[[#This Row],[Markdown percentage updated]])</f>
        <v>0</v>
      </c>
      <c r="L7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25" s="6">
        <v>108.75</v>
      </c>
      <c r="N7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25" s="7">
        <v>45875</v>
      </c>
      <c r="P725">
        <v>38</v>
      </c>
      <c r="Q725" s="16" t="str">
        <f>IF(Table1[[#This Row],[stock_quantity]]=0,"NO STOCK",
IF(Table1[[#This Row],[stock_quantity]]&lt;=10,"LOW STOCK",
"IN STOCK"))</f>
        <v>IN STOCK</v>
      </c>
      <c r="R725" s="1">
        <f t="shared" si="46"/>
        <v>3.8</v>
      </c>
      <c r="S725">
        <v>3.8</v>
      </c>
      <c r="T725" t="b">
        <v>0</v>
      </c>
      <c r="U725" t="str">
        <f t="shared" si="47"/>
        <v>No Return</v>
      </c>
    </row>
    <row r="726" spans="1:22" hidden="1" x14ac:dyDescent="0.3">
      <c r="A726" t="s">
        <v>779</v>
      </c>
      <c r="B726" t="s">
        <v>42</v>
      </c>
      <c r="C726" t="s">
        <v>22</v>
      </c>
      <c r="D726" t="s">
        <v>17</v>
      </c>
      <c r="E726" t="str">
        <f t="shared" si="44"/>
        <v>S</v>
      </c>
      <c r="F726" t="s">
        <v>39</v>
      </c>
      <c r="G726" t="s">
        <v>19</v>
      </c>
      <c r="H726" s="8">
        <v>156.85</v>
      </c>
      <c r="I726" s="3">
        <f t="shared" si="45"/>
        <v>0</v>
      </c>
      <c r="J726" s="4">
        <v>0</v>
      </c>
      <c r="K726" s="11">
        <f>Table1[[#This Row],[original_price]]* (Table1[[#This Row],[Markdown percentage updated]])</f>
        <v>0</v>
      </c>
      <c r="L7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26" s="6">
        <v>156.85</v>
      </c>
      <c r="N7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26" s="7">
        <v>45748</v>
      </c>
      <c r="P726">
        <v>48</v>
      </c>
      <c r="Q726" s="16" t="str">
        <f>IF(Table1[[#This Row],[stock_quantity]]=0,"NO STOCK",
IF(Table1[[#This Row],[stock_quantity]]&lt;=10,"LOW STOCK",
"IN STOCK"))</f>
        <v>IN STOCK</v>
      </c>
      <c r="R726" s="1">
        <f t="shared" si="46"/>
        <v>3.4</v>
      </c>
      <c r="S726">
        <v>3.4</v>
      </c>
      <c r="T726" t="b">
        <v>0</v>
      </c>
      <c r="U726" t="str">
        <f t="shared" si="47"/>
        <v>No Return</v>
      </c>
    </row>
    <row r="727" spans="1:22" hidden="1" x14ac:dyDescent="0.3">
      <c r="A727" t="s">
        <v>780</v>
      </c>
      <c r="B727" t="s">
        <v>15</v>
      </c>
      <c r="C727" t="s">
        <v>22</v>
      </c>
      <c r="D727" t="s">
        <v>17</v>
      </c>
      <c r="E727" t="str">
        <f t="shared" si="44"/>
        <v>OS</v>
      </c>
      <c r="F727" t="s">
        <v>55</v>
      </c>
      <c r="G727" t="s">
        <v>70</v>
      </c>
      <c r="H727" s="8">
        <v>168.13</v>
      </c>
      <c r="I727" s="3">
        <f t="shared" si="45"/>
        <v>0</v>
      </c>
      <c r="J727" s="4">
        <v>0</v>
      </c>
      <c r="K727" s="11">
        <f>Table1[[#This Row],[original_price]]* (Table1[[#This Row],[Markdown percentage updated]])</f>
        <v>0</v>
      </c>
      <c r="L7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27" s="6">
        <v>168.13</v>
      </c>
      <c r="N7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27" s="7">
        <v>45765</v>
      </c>
      <c r="P727">
        <v>42</v>
      </c>
      <c r="Q727" s="16" t="str">
        <f>IF(Table1[[#This Row],[stock_quantity]]=0,"NO STOCK",
IF(Table1[[#This Row],[stock_quantity]]&lt;=10,"LOW STOCK",
"IN STOCK"))</f>
        <v>IN STOCK</v>
      </c>
      <c r="R727" s="1">
        <f t="shared" si="46"/>
        <v>2.5</v>
      </c>
      <c r="S727">
        <v>2.5</v>
      </c>
      <c r="T727" t="b">
        <v>0</v>
      </c>
      <c r="U727" t="str">
        <f t="shared" si="47"/>
        <v>No Return</v>
      </c>
    </row>
    <row r="728" spans="1:22" hidden="1" x14ac:dyDescent="0.3">
      <c r="A728" t="s">
        <v>781</v>
      </c>
      <c r="B728" t="s">
        <v>30</v>
      </c>
      <c r="C728" t="s">
        <v>75</v>
      </c>
      <c r="D728" t="s">
        <v>62</v>
      </c>
      <c r="E728" t="str">
        <f t="shared" si="44"/>
        <v>S</v>
      </c>
      <c r="F728" t="s">
        <v>39</v>
      </c>
      <c r="G728" t="s">
        <v>46</v>
      </c>
      <c r="H728" s="8">
        <v>145.79</v>
      </c>
      <c r="I728" s="3">
        <f t="shared" si="45"/>
        <v>0.56999999999999995</v>
      </c>
      <c r="J728" s="4">
        <v>57</v>
      </c>
      <c r="K728" s="11">
        <f>Table1[[#This Row],[original_price]]* (Table1[[#This Row],[Markdown percentage updated]])</f>
        <v>83.10029999999999</v>
      </c>
      <c r="L7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28" s="6">
        <v>62.69</v>
      </c>
      <c r="N7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28" s="7">
        <v>45875</v>
      </c>
      <c r="P728">
        <v>46</v>
      </c>
      <c r="Q728" s="16" t="str">
        <f>IF(Table1[[#This Row],[stock_quantity]]=0,"NO STOCK",
IF(Table1[[#This Row],[stock_quantity]]&lt;=10,"LOW STOCK",
"IN STOCK"))</f>
        <v>IN STOCK</v>
      </c>
      <c r="R728" s="1">
        <f t="shared" si="46"/>
        <v>0</v>
      </c>
      <c r="T728" t="b">
        <v>0</v>
      </c>
      <c r="U728" t="str">
        <f t="shared" si="47"/>
        <v>No Return</v>
      </c>
    </row>
    <row r="729" spans="1:22" hidden="1" x14ac:dyDescent="0.3">
      <c r="A729" t="s">
        <v>782</v>
      </c>
      <c r="B729" t="s">
        <v>38</v>
      </c>
      <c r="C729" t="s">
        <v>61</v>
      </c>
      <c r="D729" t="s">
        <v>23</v>
      </c>
      <c r="E729" t="str">
        <f t="shared" si="44"/>
        <v>OS</v>
      </c>
      <c r="F729" t="s">
        <v>39</v>
      </c>
      <c r="G729" t="s">
        <v>35</v>
      </c>
      <c r="H729" s="8">
        <v>54.14</v>
      </c>
      <c r="I729" s="3">
        <f t="shared" si="45"/>
        <v>0</v>
      </c>
      <c r="J729" s="4">
        <v>0</v>
      </c>
      <c r="K729" s="11">
        <f>Table1[[#This Row],[original_price]]* (Table1[[#This Row],[Markdown percentage updated]])</f>
        <v>0</v>
      </c>
      <c r="L7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29" s="6">
        <v>54.14</v>
      </c>
      <c r="N7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29" s="7">
        <v>45875</v>
      </c>
      <c r="P729">
        <v>32</v>
      </c>
      <c r="Q729" s="16" t="str">
        <f>IF(Table1[[#This Row],[stock_quantity]]=0,"NO STOCK",
IF(Table1[[#This Row],[stock_quantity]]&lt;=10,"LOW STOCK",
"IN STOCK"))</f>
        <v>IN STOCK</v>
      </c>
      <c r="R729" s="1">
        <f t="shared" si="46"/>
        <v>0</v>
      </c>
      <c r="T729" t="b">
        <v>0</v>
      </c>
      <c r="U729" t="str">
        <f t="shared" si="47"/>
        <v>No Return</v>
      </c>
    </row>
    <row r="730" spans="1:22" hidden="1" x14ac:dyDescent="0.3">
      <c r="A730" t="s">
        <v>783</v>
      </c>
      <c r="B730" t="s">
        <v>27</v>
      </c>
      <c r="C730" t="s">
        <v>16</v>
      </c>
      <c r="D730" t="s">
        <v>34</v>
      </c>
      <c r="E730" t="str">
        <f t="shared" si="44"/>
        <v>XL</v>
      </c>
      <c r="G730" t="s">
        <v>64</v>
      </c>
      <c r="H730" s="8">
        <v>45.64</v>
      </c>
      <c r="I730" s="3">
        <f t="shared" si="45"/>
        <v>0</v>
      </c>
      <c r="J730" s="4">
        <v>0</v>
      </c>
      <c r="K730" s="11">
        <f>Table1[[#This Row],[original_price]]* (Table1[[#This Row],[Markdown percentage updated]])</f>
        <v>0</v>
      </c>
      <c r="L7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30" s="6">
        <v>45.64</v>
      </c>
      <c r="N7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30" s="7">
        <v>45875</v>
      </c>
      <c r="P730">
        <v>36</v>
      </c>
      <c r="Q730" s="16" t="str">
        <f>IF(Table1[[#This Row],[stock_quantity]]=0,"NO STOCK",
IF(Table1[[#This Row],[stock_quantity]]&lt;=10,"LOW STOCK",
"IN STOCK"))</f>
        <v>IN STOCK</v>
      </c>
      <c r="R730" s="1">
        <f t="shared" si="46"/>
        <v>3.6</v>
      </c>
      <c r="S730">
        <v>3.6</v>
      </c>
      <c r="T730" t="b">
        <v>1</v>
      </c>
      <c r="U730" s="13" t="str">
        <f t="shared" si="47"/>
        <v>Size Issue</v>
      </c>
      <c r="V730" t="s">
        <v>73</v>
      </c>
    </row>
    <row r="731" spans="1:22" hidden="1" x14ac:dyDescent="0.3">
      <c r="A731" t="s">
        <v>784</v>
      </c>
      <c r="B731" t="s">
        <v>38</v>
      </c>
      <c r="C731" t="s">
        <v>43</v>
      </c>
      <c r="D731" t="s">
        <v>34</v>
      </c>
      <c r="E731" t="str">
        <f t="shared" si="44"/>
        <v>M</v>
      </c>
      <c r="F731" t="s">
        <v>39</v>
      </c>
      <c r="G731" t="s">
        <v>19</v>
      </c>
      <c r="H731" s="8">
        <v>46.76</v>
      </c>
      <c r="I731" s="3">
        <f t="shared" si="45"/>
        <v>0</v>
      </c>
      <c r="J731" s="4">
        <v>0</v>
      </c>
      <c r="K731" s="11">
        <f>Table1[[#This Row],[original_price]]* (Table1[[#This Row],[Markdown percentage updated]])</f>
        <v>0</v>
      </c>
      <c r="L7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31" s="6">
        <v>46.76</v>
      </c>
      <c r="N7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31" s="7">
        <v>45875</v>
      </c>
      <c r="P731">
        <v>38</v>
      </c>
      <c r="Q731" s="16" t="str">
        <f>IF(Table1[[#This Row],[stock_quantity]]=0,"NO STOCK",
IF(Table1[[#This Row],[stock_quantity]]&lt;=10,"LOW STOCK",
"IN STOCK"))</f>
        <v>IN STOCK</v>
      </c>
      <c r="R731" s="1">
        <f t="shared" si="46"/>
        <v>2.7</v>
      </c>
      <c r="S731">
        <v>2.7</v>
      </c>
      <c r="T731" t="b">
        <v>0</v>
      </c>
      <c r="U731" t="str">
        <f t="shared" si="47"/>
        <v>No Return</v>
      </c>
    </row>
    <row r="732" spans="1:22" hidden="1" x14ac:dyDescent="0.3">
      <c r="A732" t="s">
        <v>785</v>
      </c>
      <c r="B732" t="s">
        <v>42</v>
      </c>
      <c r="C732" t="s">
        <v>32</v>
      </c>
      <c r="D732" t="s">
        <v>23</v>
      </c>
      <c r="E732" t="str">
        <f t="shared" si="44"/>
        <v>XS</v>
      </c>
      <c r="G732" t="s">
        <v>40</v>
      </c>
      <c r="H732" s="8">
        <v>75.23</v>
      </c>
      <c r="I732" s="3">
        <f t="shared" si="45"/>
        <v>0</v>
      </c>
      <c r="J732" s="4">
        <v>0</v>
      </c>
      <c r="K732" s="11">
        <f>Table1[[#This Row],[original_price]]* (Table1[[#This Row],[Markdown percentage updated]])</f>
        <v>0</v>
      </c>
      <c r="L7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32" s="6">
        <v>75.23</v>
      </c>
      <c r="N7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32" s="7">
        <v>45875</v>
      </c>
      <c r="P732">
        <v>42</v>
      </c>
      <c r="Q732" s="16" t="str">
        <f>IF(Table1[[#This Row],[stock_quantity]]=0,"NO STOCK",
IF(Table1[[#This Row],[stock_quantity]]&lt;=10,"LOW STOCK",
"IN STOCK"))</f>
        <v>IN STOCK</v>
      </c>
      <c r="R732" s="1">
        <f t="shared" si="46"/>
        <v>1.7</v>
      </c>
      <c r="S732">
        <v>1.7</v>
      </c>
      <c r="T732" t="b">
        <v>1</v>
      </c>
      <c r="U732" s="13" t="str">
        <f t="shared" si="47"/>
        <v>Quality Issue</v>
      </c>
      <c r="V732" t="s">
        <v>83</v>
      </c>
    </row>
    <row r="733" spans="1:22" hidden="1" x14ac:dyDescent="0.3">
      <c r="A733" t="s">
        <v>786</v>
      </c>
      <c r="B733" t="s">
        <v>42</v>
      </c>
      <c r="C733" t="s">
        <v>43</v>
      </c>
      <c r="D733" t="s">
        <v>62</v>
      </c>
      <c r="E733" t="str">
        <f t="shared" si="44"/>
        <v>OS</v>
      </c>
      <c r="F733" t="s">
        <v>18</v>
      </c>
      <c r="G733" t="s">
        <v>35</v>
      </c>
      <c r="H733" s="8">
        <v>70.38</v>
      </c>
      <c r="I733" s="3">
        <f t="shared" si="45"/>
        <v>0</v>
      </c>
      <c r="J733" s="4">
        <v>0</v>
      </c>
      <c r="K733" s="11">
        <f>Table1[[#This Row],[original_price]]* (Table1[[#This Row],[Markdown percentage updated]])</f>
        <v>0</v>
      </c>
      <c r="L7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33" s="6">
        <v>70.38</v>
      </c>
      <c r="N7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33" s="7">
        <v>45875</v>
      </c>
      <c r="P733">
        <v>37</v>
      </c>
      <c r="Q733" s="16" t="str">
        <f>IF(Table1[[#This Row],[stock_quantity]]=0,"NO STOCK",
IF(Table1[[#This Row],[stock_quantity]]&lt;=10,"LOW STOCK",
"IN STOCK"))</f>
        <v>IN STOCK</v>
      </c>
      <c r="R733" s="1">
        <f t="shared" si="46"/>
        <v>2</v>
      </c>
      <c r="S733">
        <v>2</v>
      </c>
      <c r="T733" t="b">
        <v>0</v>
      </c>
      <c r="U733" t="str">
        <f t="shared" si="47"/>
        <v>No Return</v>
      </c>
    </row>
    <row r="734" spans="1:22" hidden="1" x14ac:dyDescent="0.3">
      <c r="A734" t="s">
        <v>787</v>
      </c>
      <c r="B734" t="s">
        <v>38</v>
      </c>
      <c r="C734" t="s">
        <v>48</v>
      </c>
      <c r="D734" t="s">
        <v>62</v>
      </c>
      <c r="E734" t="str">
        <f t="shared" si="44"/>
        <v>OS</v>
      </c>
      <c r="F734" t="s">
        <v>58</v>
      </c>
      <c r="G734" t="s">
        <v>25</v>
      </c>
      <c r="H734" s="8">
        <v>76.040000000000006</v>
      </c>
      <c r="I734" s="3">
        <f t="shared" si="45"/>
        <v>0</v>
      </c>
      <c r="J734" s="4">
        <v>0</v>
      </c>
      <c r="K734" s="11">
        <f>Table1[[#This Row],[original_price]]* (Table1[[#This Row],[Markdown percentage updated]])</f>
        <v>0</v>
      </c>
      <c r="L7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34" s="6">
        <v>76.040000000000006</v>
      </c>
      <c r="N7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34" s="7">
        <v>45875</v>
      </c>
      <c r="P734">
        <v>13</v>
      </c>
      <c r="Q734" s="16" t="str">
        <f>IF(Table1[[#This Row],[stock_quantity]]=0,"NO STOCK",
IF(Table1[[#This Row],[stock_quantity]]&lt;=10,"LOW STOCK",
"IN STOCK"))</f>
        <v>IN STOCK</v>
      </c>
      <c r="R734" s="1">
        <f t="shared" si="46"/>
        <v>4.4000000000000004</v>
      </c>
      <c r="S734">
        <v>4.4000000000000004</v>
      </c>
      <c r="T734" t="b">
        <v>0</v>
      </c>
      <c r="U734" t="str">
        <f t="shared" si="47"/>
        <v>No Return</v>
      </c>
    </row>
    <row r="735" spans="1:22" hidden="1" x14ac:dyDescent="0.3">
      <c r="A735" t="s">
        <v>788</v>
      </c>
      <c r="B735" t="s">
        <v>30</v>
      </c>
      <c r="C735" t="s">
        <v>22</v>
      </c>
      <c r="D735" t="s">
        <v>62</v>
      </c>
      <c r="E735" t="str">
        <f t="shared" si="44"/>
        <v>XXL</v>
      </c>
      <c r="F735" t="s">
        <v>55</v>
      </c>
      <c r="G735" t="s">
        <v>28</v>
      </c>
      <c r="H735" s="8">
        <v>110.82</v>
      </c>
      <c r="I735" s="3">
        <f t="shared" si="45"/>
        <v>0.157</v>
      </c>
      <c r="J735" s="4">
        <v>15.7</v>
      </c>
      <c r="K735" s="11">
        <f>Table1[[#This Row],[original_price]]* (Table1[[#This Row],[Markdown percentage updated]])</f>
        <v>17.39874</v>
      </c>
      <c r="L7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35" s="6">
        <v>93.42</v>
      </c>
      <c r="N7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735" s="7">
        <v>45875</v>
      </c>
      <c r="P735">
        <v>43</v>
      </c>
      <c r="Q735" s="16" t="str">
        <f>IF(Table1[[#This Row],[stock_quantity]]=0,"NO STOCK",
IF(Table1[[#This Row],[stock_quantity]]&lt;=10,"LOW STOCK",
"IN STOCK"))</f>
        <v>IN STOCK</v>
      </c>
      <c r="R735" s="1">
        <f t="shared" si="46"/>
        <v>0</v>
      </c>
      <c r="T735" t="b">
        <v>1</v>
      </c>
      <c r="U735" s="13" t="str">
        <f t="shared" si="47"/>
        <v>Size Issue</v>
      </c>
      <c r="V735" t="s">
        <v>73</v>
      </c>
    </row>
    <row r="736" spans="1:22" hidden="1" x14ac:dyDescent="0.3">
      <c r="A736" t="s">
        <v>789</v>
      </c>
      <c r="B736" t="s">
        <v>27</v>
      </c>
      <c r="C736" t="s">
        <v>75</v>
      </c>
      <c r="D736" t="s">
        <v>34</v>
      </c>
      <c r="E736" t="str">
        <f t="shared" si="44"/>
        <v>XXL</v>
      </c>
      <c r="G736" t="s">
        <v>64</v>
      </c>
      <c r="H736" s="8">
        <v>47.47</v>
      </c>
      <c r="I736" s="3">
        <f t="shared" si="45"/>
        <v>0</v>
      </c>
      <c r="J736" s="4">
        <v>0</v>
      </c>
      <c r="K736" s="11">
        <f>Table1[[#This Row],[original_price]]* (Table1[[#This Row],[Markdown percentage updated]])</f>
        <v>0</v>
      </c>
      <c r="L7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36" s="6">
        <v>47.47</v>
      </c>
      <c r="N7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36" s="7">
        <v>45875</v>
      </c>
      <c r="P736">
        <v>42</v>
      </c>
      <c r="Q736" s="16" t="str">
        <f>IF(Table1[[#This Row],[stock_quantity]]=0,"NO STOCK",
IF(Table1[[#This Row],[stock_quantity]]&lt;=10,"LOW STOCK",
"IN STOCK"))</f>
        <v>IN STOCK</v>
      </c>
      <c r="R736" s="1">
        <f t="shared" si="46"/>
        <v>4.7</v>
      </c>
      <c r="S736">
        <v>4.7</v>
      </c>
      <c r="T736" t="b">
        <v>0</v>
      </c>
      <c r="U736" t="str">
        <f t="shared" si="47"/>
        <v>No Return</v>
      </c>
    </row>
    <row r="737" spans="1:22" hidden="1" x14ac:dyDescent="0.3">
      <c r="A737" t="s">
        <v>790</v>
      </c>
      <c r="B737" t="s">
        <v>27</v>
      </c>
      <c r="C737" t="s">
        <v>61</v>
      </c>
      <c r="D737" t="s">
        <v>17</v>
      </c>
      <c r="E737" t="str">
        <f t="shared" si="44"/>
        <v>XXL</v>
      </c>
      <c r="G737" t="s">
        <v>19</v>
      </c>
      <c r="H737" s="8">
        <v>79.94</v>
      </c>
      <c r="I737" s="3">
        <f t="shared" si="45"/>
        <v>0</v>
      </c>
      <c r="J737" s="4">
        <v>0</v>
      </c>
      <c r="K737" s="11">
        <f>Table1[[#This Row],[original_price]]* (Table1[[#This Row],[Markdown percentage updated]])</f>
        <v>0</v>
      </c>
      <c r="L7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37" s="6">
        <v>79.94</v>
      </c>
      <c r="N7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37" s="7">
        <v>45869</v>
      </c>
      <c r="P737">
        <v>26</v>
      </c>
      <c r="Q737" s="16" t="str">
        <f>IF(Table1[[#This Row],[stock_quantity]]=0,"NO STOCK",
IF(Table1[[#This Row],[stock_quantity]]&lt;=10,"LOW STOCK",
"IN STOCK"))</f>
        <v>IN STOCK</v>
      </c>
      <c r="R737" s="1">
        <f t="shared" si="46"/>
        <v>3.8</v>
      </c>
      <c r="S737">
        <v>3.8</v>
      </c>
      <c r="T737" t="b">
        <v>0</v>
      </c>
      <c r="U737" t="str">
        <f t="shared" si="47"/>
        <v>No Return</v>
      </c>
    </row>
    <row r="738" spans="1:22" hidden="1" x14ac:dyDescent="0.3">
      <c r="A738" t="s">
        <v>791</v>
      </c>
      <c r="B738" t="s">
        <v>38</v>
      </c>
      <c r="C738" t="s">
        <v>32</v>
      </c>
      <c r="D738" t="s">
        <v>34</v>
      </c>
      <c r="E738" t="str">
        <f t="shared" si="44"/>
        <v>XL</v>
      </c>
      <c r="F738" t="s">
        <v>49</v>
      </c>
      <c r="G738" t="s">
        <v>64</v>
      </c>
      <c r="H738" s="8">
        <v>74.67</v>
      </c>
      <c r="I738" s="3">
        <f t="shared" si="45"/>
        <v>0</v>
      </c>
      <c r="J738" s="4">
        <v>0</v>
      </c>
      <c r="K738" s="11">
        <f>Table1[[#This Row],[original_price]]* (Table1[[#This Row],[Markdown percentage updated]])</f>
        <v>0</v>
      </c>
      <c r="L7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38" s="6">
        <v>74.67</v>
      </c>
      <c r="N7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38" s="7">
        <v>45875</v>
      </c>
      <c r="P738">
        <v>15</v>
      </c>
      <c r="Q738" s="16" t="str">
        <f>IF(Table1[[#This Row],[stock_quantity]]=0,"NO STOCK",
IF(Table1[[#This Row],[stock_quantity]]&lt;=10,"LOW STOCK",
"IN STOCK"))</f>
        <v>IN STOCK</v>
      </c>
      <c r="R738" s="1">
        <f t="shared" si="46"/>
        <v>4.5999999999999996</v>
      </c>
      <c r="S738">
        <v>4.5999999999999996</v>
      </c>
      <c r="T738" t="b">
        <v>0</v>
      </c>
      <c r="U738" t="str">
        <f t="shared" si="47"/>
        <v>No Return</v>
      </c>
    </row>
    <row r="739" spans="1:22" hidden="1" x14ac:dyDescent="0.3">
      <c r="A739" t="s">
        <v>792</v>
      </c>
      <c r="B739" t="s">
        <v>42</v>
      </c>
      <c r="C739" t="s">
        <v>75</v>
      </c>
      <c r="D739" t="s">
        <v>34</v>
      </c>
      <c r="E739" t="str">
        <f t="shared" si="44"/>
        <v>XL</v>
      </c>
      <c r="F739" t="s">
        <v>49</v>
      </c>
      <c r="G739" t="s">
        <v>70</v>
      </c>
      <c r="H739" s="8">
        <v>63.79</v>
      </c>
      <c r="I739" s="3">
        <f t="shared" si="45"/>
        <v>0.35499999999999998</v>
      </c>
      <c r="J739" s="4">
        <v>35.5</v>
      </c>
      <c r="K739" s="11">
        <f>Table1[[#This Row],[original_price]]* (Table1[[#This Row],[Markdown percentage updated]])</f>
        <v>22.64545</v>
      </c>
      <c r="L7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39" s="6">
        <v>41.14</v>
      </c>
      <c r="N7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39" s="7">
        <v>45875</v>
      </c>
      <c r="P739">
        <v>15</v>
      </c>
      <c r="Q739" s="16" t="str">
        <f>IF(Table1[[#This Row],[stock_quantity]]=0,"NO STOCK",
IF(Table1[[#This Row],[stock_quantity]]&lt;=10,"LOW STOCK",
"IN STOCK"))</f>
        <v>IN STOCK</v>
      </c>
      <c r="R739" s="1">
        <f t="shared" si="46"/>
        <v>3.1</v>
      </c>
      <c r="S739">
        <v>3.1</v>
      </c>
      <c r="T739" t="b">
        <v>1</v>
      </c>
      <c r="U739" s="13" t="str">
        <f t="shared" si="47"/>
        <v>Quality Issue</v>
      </c>
      <c r="V739" t="s">
        <v>83</v>
      </c>
    </row>
    <row r="740" spans="1:22" hidden="1" x14ac:dyDescent="0.3">
      <c r="A740" t="s">
        <v>793</v>
      </c>
      <c r="B740" t="s">
        <v>38</v>
      </c>
      <c r="C740" t="s">
        <v>53</v>
      </c>
      <c r="D740" t="s">
        <v>34</v>
      </c>
      <c r="E740" t="str">
        <f t="shared" si="44"/>
        <v>S</v>
      </c>
      <c r="F740" t="s">
        <v>49</v>
      </c>
      <c r="G740" t="s">
        <v>70</v>
      </c>
      <c r="H740" s="8">
        <v>49.6</v>
      </c>
      <c r="I740" s="3">
        <f t="shared" si="45"/>
        <v>0</v>
      </c>
      <c r="J740" s="4">
        <v>0</v>
      </c>
      <c r="K740" s="11">
        <f>Table1[[#This Row],[original_price]]* (Table1[[#This Row],[Markdown percentage updated]])</f>
        <v>0</v>
      </c>
      <c r="L7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40" s="6">
        <v>49.6</v>
      </c>
      <c r="N7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40" s="7">
        <v>45875</v>
      </c>
      <c r="P740">
        <v>32</v>
      </c>
      <c r="Q740" s="16" t="str">
        <f>IF(Table1[[#This Row],[stock_quantity]]=0,"NO STOCK",
IF(Table1[[#This Row],[stock_quantity]]&lt;=10,"LOW STOCK",
"IN STOCK"))</f>
        <v>IN STOCK</v>
      </c>
      <c r="R740" s="1">
        <f t="shared" si="46"/>
        <v>4.7</v>
      </c>
      <c r="S740">
        <v>4.7</v>
      </c>
      <c r="T740" t="b">
        <v>0</v>
      </c>
      <c r="U740" t="str">
        <f t="shared" si="47"/>
        <v>No Return</v>
      </c>
    </row>
    <row r="741" spans="1:22" hidden="1" x14ac:dyDescent="0.3">
      <c r="A741" t="s">
        <v>794</v>
      </c>
      <c r="B741" t="s">
        <v>21</v>
      </c>
      <c r="C741" t="s">
        <v>16</v>
      </c>
      <c r="D741" t="s">
        <v>17</v>
      </c>
      <c r="E741" t="str">
        <f t="shared" si="44"/>
        <v>S</v>
      </c>
      <c r="F741" t="s">
        <v>18</v>
      </c>
      <c r="G741" t="s">
        <v>19</v>
      </c>
      <c r="H741" s="8">
        <v>57.91</v>
      </c>
      <c r="I741" s="3">
        <f t="shared" si="45"/>
        <v>0</v>
      </c>
      <c r="J741" s="4">
        <v>0</v>
      </c>
      <c r="K741" s="11">
        <f>Table1[[#This Row],[original_price]]* (Table1[[#This Row],[Markdown percentage updated]])</f>
        <v>0</v>
      </c>
      <c r="L7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41" s="6">
        <v>57.91</v>
      </c>
      <c r="N7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41" s="7">
        <v>45729</v>
      </c>
      <c r="P741">
        <v>33</v>
      </c>
      <c r="Q741" s="16" t="str">
        <f>IF(Table1[[#This Row],[stock_quantity]]=0,"NO STOCK",
IF(Table1[[#This Row],[stock_quantity]]&lt;=10,"LOW STOCK",
"IN STOCK"))</f>
        <v>IN STOCK</v>
      </c>
      <c r="R741" s="1">
        <f t="shared" si="46"/>
        <v>3.9</v>
      </c>
      <c r="S741">
        <v>3.9</v>
      </c>
      <c r="T741" t="b">
        <v>0</v>
      </c>
      <c r="U741" t="str">
        <f t="shared" si="47"/>
        <v>No Return</v>
      </c>
    </row>
    <row r="742" spans="1:22" hidden="1" x14ac:dyDescent="0.3">
      <c r="A742" t="s">
        <v>795</v>
      </c>
      <c r="B742" t="s">
        <v>42</v>
      </c>
      <c r="C742" t="s">
        <v>22</v>
      </c>
      <c r="D742" t="s">
        <v>62</v>
      </c>
      <c r="E742" t="str">
        <f t="shared" si="44"/>
        <v>L</v>
      </c>
      <c r="F742" t="s">
        <v>18</v>
      </c>
      <c r="G742" t="s">
        <v>25</v>
      </c>
      <c r="H742" s="8">
        <v>135.99</v>
      </c>
      <c r="I742" s="3">
        <f t="shared" si="45"/>
        <v>0</v>
      </c>
      <c r="J742" s="4">
        <v>0</v>
      </c>
      <c r="K742" s="11">
        <f>Table1[[#This Row],[original_price]]* (Table1[[#This Row],[Markdown percentage updated]])</f>
        <v>0</v>
      </c>
      <c r="L7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42" s="6">
        <v>135.99</v>
      </c>
      <c r="N7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42" s="7">
        <v>45875</v>
      </c>
      <c r="P742">
        <v>34</v>
      </c>
      <c r="Q742" s="16" t="str">
        <f>IF(Table1[[#This Row],[stock_quantity]]=0,"NO STOCK",
IF(Table1[[#This Row],[stock_quantity]]&lt;=10,"LOW STOCK",
"IN STOCK"))</f>
        <v>IN STOCK</v>
      </c>
      <c r="R742" s="1">
        <f t="shared" si="46"/>
        <v>3</v>
      </c>
      <c r="S742">
        <v>3</v>
      </c>
      <c r="T742" t="b">
        <v>0</v>
      </c>
      <c r="U742" t="str">
        <f t="shared" si="47"/>
        <v>No Return</v>
      </c>
    </row>
    <row r="743" spans="1:22" hidden="1" x14ac:dyDescent="0.3">
      <c r="A743" t="s">
        <v>796</v>
      </c>
      <c r="B743" t="s">
        <v>42</v>
      </c>
      <c r="C743" t="s">
        <v>43</v>
      </c>
      <c r="D743" t="s">
        <v>23</v>
      </c>
      <c r="E743" t="str">
        <f t="shared" si="44"/>
        <v>OS</v>
      </c>
      <c r="F743" t="s">
        <v>39</v>
      </c>
      <c r="G743" t="s">
        <v>66</v>
      </c>
      <c r="H743" s="8">
        <v>53.49</v>
      </c>
      <c r="I743" s="3">
        <f t="shared" si="45"/>
        <v>0.218</v>
      </c>
      <c r="J743" s="4">
        <v>21.8</v>
      </c>
      <c r="K743" s="11">
        <f>Table1[[#This Row],[original_price]]* (Table1[[#This Row],[Markdown percentage updated]])</f>
        <v>11.660820000000001</v>
      </c>
      <c r="L7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743" s="6">
        <v>41.83</v>
      </c>
      <c r="N7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743" s="7">
        <v>45875</v>
      </c>
      <c r="P743">
        <v>41</v>
      </c>
      <c r="Q743" s="16" t="str">
        <f>IF(Table1[[#This Row],[stock_quantity]]=0,"NO STOCK",
IF(Table1[[#This Row],[stock_quantity]]&lt;=10,"LOW STOCK",
"IN STOCK"))</f>
        <v>IN STOCK</v>
      </c>
      <c r="R743" s="1">
        <f t="shared" si="46"/>
        <v>2.1</v>
      </c>
      <c r="S743">
        <v>2.1</v>
      </c>
      <c r="T743" t="b">
        <v>0</v>
      </c>
      <c r="U743" t="str">
        <f t="shared" si="47"/>
        <v>No Return</v>
      </c>
    </row>
    <row r="744" spans="1:22" hidden="1" x14ac:dyDescent="0.3">
      <c r="A744" t="s">
        <v>797</v>
      </c>
      <c r="B744" t="s">
        <v>21</v>
      </c>
      <c r="C744" t="s">
        <v>75</v>
      </c>
      <c r="D744" t="s">
        <v>62</v>
      </c>
      <c r="E744" t="str">
        <f t="shared" si="44"/>
        <v>OS</v>
      </c>
      <c r="F744" t="s">
        <v>39</v>
      </c>
      <c r="G744" t="s">
        <v>25</v>
      </c>
      <c r="H744" s="8">
        <v>113.29</v>
      </c>
      <c r="I744" s="3">
        <f t="shared" si="45"/>
        <v>0.34</v>
      </c>
      <c r="J744" s="4">
        <v>34</v>
      </c>
      <c r="K744" s="11">
        <f>Table1[[#This Row],[original_price]]* (Table1[[#This Row],[Markdown percentage updated]])</f>
        <v>38.518600000000006</v>
      </c>
      <c r="L7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44" s="6">
        <v>74.77</v>
      </c>
      <c r="N7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44" s="7">
        <v>45875</v>
      </c>
      <c r="P744">
        <v>10</v>
      </c>
      <c r="Q744" s="17" t="str">
        <f>IF(Table1[[#This Row],[stock_quantity]]=0,"NO STOCK",
IF(Table1[[#This Row],[stock_quantity]]&lt;=10,"LOW STOCK",
"IN STOCK"))</f>
        <v>LOW STOCK</v>
      </c>
      <c r="R744" s="1">
        <f t="shared" si="46"/>
        <v>0</v>
      </c>
      <c r="T744" t="b">
        <v>0</v>
      </c>
      <c r="U744" t="str">
        <f t="shared" si="47"/>
        <v>No Return</v>
      </c>
    </row>
    <row r="745" spans="1:22" hidden="1" x14ac:dyDescent="0.3">
      <c r="A745" t="s">
        <v>798</v>
      </c>
      <c r="B745" t="s">
        <v>21</v>
      </c>
      <c r="C745" t="s">
        <v>48</v>
      </c>
      <c r="D745" t="s">
        <v>23</v>
      </c>
      <c r="E745" t="str">
        <f t="shared" si="44"/>
        <v>XXL</v>
      </c>
      <c r="F745" t="s">
        <v>24</v>
      </c>
      <c r="G745" t="s">
        <v>35</v>
      </c>
      <c r="H745" s="8">
        <v>110.87</v>
      </c>
      <c r="I745" s="3">
        <f t="shared" si="45"/>
        <v>0.06</v>
      </c>
      <c r="J745" s="4">
        <v>6</v>
      </c>
      <c r="K745" s="11">
        <f>Table1[[#This Row],[original_price]]* (Table1[[#This Row],[Markdown percentage updated]])</f>
        <v>6.6521999999999997</v>
      </c>
      <c r="L7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45" s="6">
        <v>104.22</v>
      </c>
      <c r="N7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745" s="7">
        <v>45875</v>
      </c>
      <c r="P745">
        <v>15</v>
      </c>
      <c r="Q745" s="16" t="str">
        <f>IF(Table1[[#This Row],[stock_quantity]]=0,"NO STOCK",
IF(Table1[[#This Row],[stock_quantity]]&lt;=10,"LOW STOCK",
"IN STOCK"))</f>
        <v>IN STOCK</v>
      </c>
      <c r="R745" s="1">
        <f t="shared" si="46"/>
        <v>0</v>
      </c>
      <c r="T745" t="b">
        <v>0</v>
      </c>
      <c r="U745" t="str">
        <f t="shared" si="47"/>
        <v>No Return</v>
      </c>
    </row>
    <row r="746" spans="1:22" hidden="1" x14ac:dyDescent="0.3">
      <c r="A746" t="s">
        <v>799</v>
      </c>
      <c r="B746" t="s">
        <v>21</v>
      </c>
      <c r="C746" t="s">
        <v>53</v>
      </c>
      <c r="D746" t="s">
        <v>34</v>
      </c>
      <c r="E746" t="str">
        <f t="shared" si="44"/>
        <v>OS</v>
      </c>
      <c r="G746" t="s">
        <v>64</v>
      </c>
      <c r="H746" s="8">
        <v>94.3</v>
      </c>
      <c r="I746" s="3">
        <f t="shared" si="45"/>
        <v>0</v>
      </c>
      <c r="J746" s="4">
        <v>0</v>
      </c>
      <c r="K746" s="11">
        <f>Table1[[#This Row],[original_price]]* (Table1[[#This Row],[Markdown percentage updated]])</f>
        <v>0</v>
      </c>
      <c r="L7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46" s="6">
        <v>94.3</v>
      </c>
      <c r="N7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46" s="7">
        <v>45875</v>
      </c>
      <c r="P746">
        <v>16</v>
      </c>
      <c r="Q746" s="16" t="str">
        <f>IF(Table1[[#This Row],[stock_quantity]]=0,"NO STOCK",
IF(Table1[[#This Row],[stock_quantity]]&lt;=10,"LOW STOCK",
"IN STOCK"))</f>
        <v>IN STOCK</v>
      </c>
      <c r="R746" s="1">
        <f t="shared" si="46"/>
        <v>0</v>
      </c>
      <c r="T746" t="b">
        <v>0</v>
      </c>
      <c r="U746" t="str">
        <f t="shared" si="47"/>
        <v>No Return</v>
      </c>
    </row>
    <row r="747" spans="1:22" hidden="1" x14ac:dyDescent="0.3">
      <c r="A747" t="s">
        <v>800</v>
      </c>
      <c r="B747" t="s">
        <v>27</v>
      </c>
      <c r="C747" t="s">
        <v>75</v>
      </c>
      <c r="D747" t="s">
        <v>17</v>
      </c>
      <c r="E747" t="str">
        <f t="shared" si="44"/>
        <v>L</v>
      </c>
      <c r="G747" t="s">
        <v>19</v>
      </c>
      <c r="H747" s="8">
        <v>37.94</v>
      </c>
      <c r="I747" s="3">
        <f t="shared" si="45"/>
        <v>0</v>
      </c>
      <c r="J747" s="4">
        <v>0</v>
      </c>
      <c r="K747" s="11">
        <f>Table1[[#This Row],[original_price]]* (Table1[[#This Row],[Markdown percentage updated]])</f>
        <v>0</v>
      </c>
      <c r="L7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47" s="6">
        <v>37.94</v>
      </c>
      <c r="N7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47" s="7">
        <v>45573</v>
      </c>
      <c r="P747">
        <v>9</v>
      </c>
      <c r="Q747" s="17" t="str">
        <f>IF(Table1[[#This Row],[stock_quantity]]=0,"NO STOCK",
IF(Table1[[#This Row],[stock_quantity]]&lt;=10,"LOW STOCK",
"IN STOCK"))</f>
        <v>LOW STOCK</v>
      </c>
      <c r="R747" s="1">
        <f t="shared" si="46"/>
        <v>4.5999999999999996</v>
      </c>
      <c r="S747">
        <v>4.5999999999999996</v>
      </c>
      <c r="T747" t="b">
        <v>0</v>
      </c>
      <c r="U747" t="str">
        <f t="shared" si="47"/>
        <v>No Return</v>
      </c>
    </row>
    <row r="748" spans="1:22" hidden="1" x14ac:dyDescent="0.3">
      <c r="A748" t="s">
        <v>801</v>
      </c>
      <c r="B748" t="s">
        <v>15</v>
      </c>
      <c r="C748" t="s">
        <v>53</v>
      </c>
      <c r="D748" t="s">
        <v>23</v>
      </c>
      <c r="E748" t="str">
        <f t="shared" si="44"/>
        <v>OS</v>
      </c>
      <c r="F748" t="s">
        <v>49</v>
      </c>
      <c r="G748" t="s">
        <v>40</v>
      </c>
      <c r="H748" s="8">
        <v>200.24</v>
      </c>
      <c r="I748" s="3">
        <f t="shared" si="45"/>
        <v>0.23</v>
      </c>
      <c r="J748" s="4">
        <v>23</v>
      </c>
      <c r="K748" s="11">
        <f>Table1[[#This Row],[original_price]]* (Table1[[#This Row],[Markdown percentage updated]])</f>
        <v>46.055200000000006</v>
      </c>
      <c r="L7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748" s="6">
        <v>154.18</v>
      </c>
      <c r="N7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48" s="7">
        <v>45875</v>
      </c>
      <c r="P748">
        <v>38</v>
      </c>
      <c r="Q748" s="16" t="str">
        <f>IF(Table1[[#This Row],[stock_quantity]]=0,"NO STOCK",
IF(Table1[[#This Row],[stock_quantity]]&lt;=10,"LOW STOCK",
"IN STOCK"))</f>
        <v>IN STOCK</v>
      </c>
      <c r="R748" s="1">
        <f t="shared" si="46"/>
        <v>0</v>
      </c>
      <c r="T748" t="b">
        <v>0</v>
      </c>
      <c r="U748" t="str">
        <f t="shared" si="47"/>
        <v>No Return</v>
      </c>
    </row>
    <row r="749" spans="1:22" hidden="1" x14ac:dyDescent="0.3">
      <c r="A749" t="s">
        <v>802</v>
      </c>
      <c r="B749" t="s">
        <v>27</v>
      </c>
      <c r="C749" t="s">
        <v>75</v>
      </c>
      <c r="D749" t="s">
        <v>23</v>
      </c>
      <c r="E749" t="str">
        <f t="shared" si="44"/>
        <v>XL</v>
      </c>
      <c r="G749" t="s">
        <v>66</v>
      </c>
      <c r="H749" s="8">
        <v>43.45</v>
      </c>
      <c r="I749" s="3">
        <f t="shared" si="45"/>
        <v>0</v>
      </c>
      <c r="J749" s="4">
        <v>0</v>
      </c>
      <c r="K749" s="11">
        <f>Table1[[#This Row],[original_price]]* (Table1[[#This Row],[Markdown percentage updated]])</f>
        <v>0</v>
      </c>
      <c r="L7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49" s="6">
        <v>43.45</v>
      </c>
      <c r="N7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49" s="7">
        <v>45875</v>
      </c>
      <c r="P749">
        <v>50</v>
      </c>
      <c r="Q749" s="16" t="str">
        <f>IF(Table1[[#This Row],[stock_quantity]]=0,"NO STOCK",
IF(Table1[[#This Row],[stock_quantity]]&lt;=10,"LOW STOCK",
"IN STOCK"))</f>
        <v>IN STOCK</v>
      </c>
      <c r="R749" s="1">
        <f t="shared" si="46"/>
        <v>4</v>
      </c>
      <c r="S749">
        <v>4</v>
      </c>
      <c r="T749" t="b">
        <v>0</v>
      </c>
      <c r="U749" t="str">
        <f t="shared" si="47"/>
        <v>No Return</v>
      </c>
    </row>
    <row r="750" spans="1:22" hidden="1" x14ac:dyDescent="0.3">
      <c r="A750" t="s">
        <v>803</v>
      </c>
      <c r="B750" t="s">
        <v>38</v>
      </c>
      <c r="C750" t="s">
        <v>75</v>
      </c>
      <c r="D750" t="s">
        <v>62</v>
      </c>
      <c r="E750" t="str">
        <f t="shared" si="44"/>
        <v>XXL</v>
      </c>
      <c r="F750" t="s">
        <v>24</v>
      </c>
      <c r="G750" t="s">
        <v>19</v>
      </c>
      <c r="H750" s="8">
        <v>76.92</v>
      </c>
      <c r="I750" s="3">
        <f t="shared" si="45"/>
        <v>9.6000000000000002E-2</v>
      </c>
      <c r="J750" s="4">
        <v>9.6</v>
      </c>
      <c r="K750" s="11">
        <f>Table1[[#This Row],[original_price]]* (Table1[[#This Row],[Markdown percentage updated]])</f>
        <v>7.3843200000000007</v>
      </c>
      <c r="L7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50" s="6">
        <v>69.540000000000006</v>
      </c>
      <c r="N7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750" s="7">
        <v>45875</v>
      </c>
      <c r="P750">
        <v>20</v>
      </c>
      <c r="Q750" s="16" t="str">
        <f>IF(Table1[[#This Row],[stock_quantity]]=0,"NO STOCK",
IF(Table1[[#This Row],[stock_quantity]]&lt;=10,"LOW STOCK",
"IN STOCK"))</f>
        <v>IN STOCK</v>
      </c>
      <c r="R750" s="1">
        <f t="shared" si="46"/>
        <v>2</v>
      </c>
      <c r="S750">
        <v>2</v>
      </c>
      <c r="T750" t="b">
        <v>0</v>
      </c>
      <c r="U750" t="str">
        <f t="shared" si="47"/>
        <v>No Return</v>
      </c>
    </row>
    <row r="751" spans="1:22" hidden="1" x14ac:dyDescent="0.3">
      <c r="A751" t="s">
        <v>804</v>
      </c>
      <c r="B751" t="s">
        <v>27</v>
      </c>
      <c r="C751" t="s">
        <v>75</v>
      </c>
      <c r="D751" t="s">
        <v>34</v>
      </c>
      <c r="E751" t="str">
        <f t="shared" si="44"/>
        <v>OS</v>
      </c>
      <c r="G751" t="s">
        <v>35</v>
      </c>
      <c r="H751" s="8">
        <v>21.09</v>
      </c>
      <c r="I751" s="3">
        <f t="shared" si="45"/>
        <v>0</v>
      </c>
      <c r="J751" s="4">
        <v>0</v>
      </c>
      <c r="K751" s="11">
        <f>Table1[[#This Row],[original_price]]* (Table1[[#This Row],[Markdown percentage updated]])</f>
        <v>0</v>
      </c>
      <c r="L7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51" s="6">
        <v>21.09</v>
      </c>
      <c r="N7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51" s="7">
        <v>45875</v>
      </c>
      <c r="P751">
        <v>33</v>
      </c>
      <c r="Q751" s="16" t="str">
        <f>IF(Table1[[#This Row],[stock_quantity]]=0,"NO STOCK",
IF(Table1[[#This Row],[stock_quantity]]&lt;=10,"LOW STOCK",
"IN STOCK"))</f>
        <v>IN STOCK</v>
      </c>
      <c r="R751" s="1">
        <f t="shared" si="46"/>
        <v>4.0999999999999996</v>
      </c>
      <c r="S751">
        <v>4.0999999999999996</v>
      </c>
      <c r="T751" t="b">
        <v>1</v>
      </c>
      <c r="U751" s="13" t="str">
        <f t="shared" si="47"/>
        <v>Size Issue</v>
      </c>
      <c r="V751" t="s">
        <v>73</v>
      </c>
    </row>
    <row r="752" spans="1:22" hidden="1" x14ac:dyDescent="0.3">
      <c r="A752" t="s">
        <v>805</v>
      </c>
      <c r="B752" t="s">
        <v>42</v>
      </c>
      <c r="C752" t="s">
        <v>32</v>
      </c>
      <c r="D752" t="s">
        <v>23</v>
      </c>
      <c r="E752" t="str">
        <f t="shared" si="44"/>
        <v>XS</v>
      </c>
      <c r="F752" t="s">
        <v>18</v>
      </c>
      <c r="G752" t="s">
        <v>46</v>
      </c>
      <c r="H752" s="8">
        <v>55.47</v>
      </c>
      <c r="I752" s="3">
        <f t="shared" si="45"/>
        <v>0</v>
      </c>
      <c r="J752" s="4">
        <v>0</v>
      </c>
      <c r="K752" s="11">
        <f>Table1[[#This Row],[original_price]]* (Table1[[#This Row],[Markdown percentage updated]])</f>
        <v>0</v>
      </c>
      <c r="L7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52" s="6">
        <v>55.47</v>
      </c>
      <c r="N7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52" s="7">
        <v>45875</v>
      </c>
      <c r="P752">
        <v>18</v>
      </c>
      <c r="Q752" s="16" t="str">
        <f>IF(Table1[[#This Row],[stock_quantity]]=0,"NO STOCK",
IF(Table1[[#This Row],[stock_quantity]]&lt;=10,"LOW STOCK",
"IN STOCK"))</f>
        <v>IN STOCK</v>
      </c>
      <c r="R752" s="1">
        <f t="shared" si="46"/>
        <v>0</v>
      </c>
      <c r="T752" t="b">
        <v>0</v>
      </c>
      <c r="U752" t="str">
        <f t="shared" si="47"/>
        <v>No Return</v>
      </c>
    </row>
    <row r="753" spans="1:22" hidden="1" x14ac:dyDescent="0.3">
      <c r="A753" t="s">
        <v>806</v>
      </c>
      <c r="B753" t="s">
        <v>15</v>
      </c>
      <c r="C753" t="s">
        <v>48</v>
      </c>
      <c r="D753" t="s">
        <v>17</v>
      </c>
      <c r="E753" t="str">
        <f t="shared" si="44"/>
        <v>OS</v>
      </c>
      <c r="F753" t="s">
        <v>49</v>
      </c>
      <c r="G753" t="s">
        <v>35</v>
      </c>
      <c r="H753" s="8">
        <v>122.53</v>
      </c>
      <c r="I753" s="3">
        <f t="shared" si="45"/>
        <v>0</v>
      </c>
      <c r="J753" s="4">
        <v>0</v>
      </c>
      <c r="K753" s="11">
        <f>Table1[[#This Row],[original_price]]* (Table1[[#This Row],[Markdown percentage updated]])</f>
        <v>0</v>
      </c>
      <c r="L7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53" s="6">
        <v>122.53</v>
      </c>
      <c r="N7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53" s="7">
        <v>45556</v>
      </c>
      <c r="P753">
        <v>25</v>
      </c>
      <c r="Q753" s="16" t="str">
        <f>IF(Table1[[#This Row],[stock_quantity]]=0,"NO STOCK",
IF(Table1[[#This Row],[stock_quantity]]&lt;=10,"LOW STOCK",
"IN STOCK"))</f>
        <v>IN STOCK</v>
      </c>
      <c r="R753" s="1">
        <f t="shared" si="46"/>
        <v>0</v>
      </c>
      <c r="T753" t="b">
        <v>0</v>
      </c>
      <c r="U753" t="str">
        <f t="shared" si="47"/>
        <v>No Return</v>
      </c>
    </row>
    <row r="754" spans="1:22" hidden="1" x14ac:dyDescent="0.3">
      <c r="A754" t="s">
        <v>807</v>
      </c>
      <c r="B754" t="s">
        <v>27</v>
      </c>
      <c r="C754" t="s">
        <v>22</v>
      </c>
      <c r="D754" t="s">
        <v>62</v>
      </c>
      <c r="E754" t="str">
        <f t="shared" si="44"/>
        <v>XL</v>
      </c>
      <c r="G754" t="s">
        <v>56</v>
      </c>
      <c r="H754" s="8">
        <v>61.13</v>
      </c>
      <c r="I754" s="3">
        <f t="shared" si="45"/>
        <v>0</v>
      </c>
      <c r="J754" s="4">
        <v>0</v>
      </c>
      <c r="K754" s="11">
        <f>Table1[[#This Row],[original_price]]* (Table1[[#This Row],[Markdown percentage updated]])</f>
        <v>0</v>
      </c>
      <c r="L7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54" s="6">
        <v>61.13</v>
      </c>
      <c r="N7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54" s="7">
        <v>45875</v>
      </c>
      <c r="P754">
        <v>34</v>
      </c>
      <c r="Q754" s="16" t="str">
        <f>IF(Table1[[#This Row],[stock_quantity]]=0,"NO STOCK",
IF(Table1[[#This Row],[stock_quantity]]&lt;=10,"LOW STOCK",
"IN STOCK"))</f>
        <v>IN STOCK</v>
      </c>
      <c r="R754" s="1">
        <f t="shared" si="46"/>
        <v>2.6</v>
      </c>
      <c r="S754">
        <v>2.6</v>
      </c>
      <c r="T754" t="b">
        <v>0</v>
      </c>
      <c r="U754" t="str">
        <f t="shared" si="47"/>
        <v>No Return</v>
      </c>
    </row>
    <row r="755" spans="1:22" hidden="1" x14ac:dyDescent="0.3">
      <c r="A755" t="s">
        <v>808</v>
      </c>
      <c r="B755" t="s">
        <v>15</v>
      </c>
      <c r="C755" t="s">
        <v>22</v>
      </c>
      <c r="D755" t="s">
        <v>17</v>
      </c>
      <c r="E755" t="str">
        <f t="shared" si="44"/>
        <v>OS</v>
      </c>
      <c r="F755" t="s">
        <v>55</v>
      </c>
      <c r="G755" t="s">
        <v>70</v>
      </c>
      <c r="H755" s="8">
        <v>127.59</v>
      </c>
      <c r="I755" s="3">
        <f t="shared" si="45"/>
        <v>0</v>
      </c>
      <c r="J755" s="4">
        <v>0</v>
      </c>
      <c r="K755" s="11">
        <f>Table1[[#This Row],[original_price]]* (Table1[[#This Row],[Markdown percentage updated]])</f>
        <v>0</v>
      </c>
      <c r="L7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55" s="6">
        <v>127.59</v>
      </c>
      <c r="N7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55" s="7">
        <v>45785</v>
      </c>
      <c r="P755">
        <v>1</v>
      </c>
      <c r="Q755" s="17" t="str">
        <f>IF(Table1[[#This Row],[stock_quantity]]=0,"NO STOCK",
IF(Table1[[#This Row],[stock_quantity]]&lt;=10,"LOW STOCK",
"IN STOCK"))</f>
        <v>LOW STOCK</v>
      </c>
      <c r="R755" s="1">
        <f t="shared" si="46"/>
        <v>4.9000000000000004</v>
      </c>
      <c r="S755">
        <v>4.9000000000000004</v>
      </c>
      <c r="T755" t="b">
        <v>0</v>
      </c>
      <c r="U755" t="str">
        <f t="shared" si="47"/>
        <v>No Return</v>
      </c>
    </row>
    <row r="756" spans="1:22" hidden="1" x14ac:dyDescent="0.3">
      <c r="A756" t="s">
        <v>809</v>
      </c>
      <c r="B756" t="s">
        <v>27</v>
      </c>
      <c r="C756" t="s">
        <v>53</v>
      </c>
      <c r="D756" t="s">
        <v>62</v>
      </c>
      <c r="E756" t="str">
        <f t="shared" si="44"/>
        <v>L</v>
      </c>
      <c r="G756" t="s">
        <v>64</v>
      </c>
      <c r="H756" s="8">
        <v>73.040000000000006</v>
      </c>
      <c r="I756" s="3">
        <f t="shared" si="45"/>
        <v>0</v>
      </c>
      <c r="J756" s="4">
        <v>0</v>
      </c>
      <c r="K756" s="11">
        <f>Table1[[#This Row],[original_price]]* (Table1[[#This Row],[Markdown percentage updated]])</f>
        <v>0</v>
      </c>
      <c r="L7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56" s="6">
        <v>73.040000000000006</v>
      </c>
      <c r="N7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56" s="7">
        <v>45875</v>
      </c>
      <c r="P756">
        <v>44</v>
      </c>
      <c r="Q756" s="16" t="str">
        <f>IF(Table1[[#This Row],[stock_quantity]]=0,"NO STOCK",
IF(Table1[[#This Row],[stock_quantity]]&lt;=10,"LOW STOCK",
"IN STOCK"))</f>
        <v>IN STOCK</v>
      </c>
      <c r="R756" s="1">
        <f t="shared" si="46"/>
        <v>4.2</v>
      </c>
      <c r="S756">
        <v>4.2</v>
      </c>
      <c r="T756" t="b">
        <v>0</v>
      </c>
      <c r="U756" t="str">
        <f t="shared" si="47"/>
        <v>No Return</v>
      </c>
    </row>
    <row r="757" spans="1:22" hidden="1" x14ac:dyDescent="0.3">
      <c r="A757" t="s">
        <v>810</v>
      </c>
      <c r="B757" t="s">
        <v>15</v>
      </c>
      <c r="C757" t="s">
        <v>22</v>
      </c>
      <c r="D757" t="s">
        <v>23</v>
      </c>
      <c r="E757" t="str">
        <f t="shared" si="44"/>
        <v>OS</v>
      </c>
      <c r="F757" t="s">
        <v>18</v>
      </c>
      <c r="G757" t="s">
        <v>56</v>
      </c>
      <c r="H757" s="8">
        <v>129.46</v>
      </c>
      <c r="I757" s="3">
        <f t="shared" si="45"/>
        <v>0</v>
      </c>
      <c r="J757" s="4">
        <v>0</v>
      </c>
      <c r="K757" s="11">
        <f>Table1[[#This Row],[original_price]]* (Table1[[#This Row],[Markdown percentage updated]])</f>
        <v>0</v>
      </c>
      <c r="L7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57" s="6">
        <v>129.46</v>
      </c>
      <c r="N7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57" s="7">
        <v>45875</v>
      </c>
      <c r="P757">
        <v>32</v>
      </c>
      <c r="Q757" s="16" t="str">
        <f>IF(Table1[[#This Row],[stock_quantity]]=0,"NO STOCK",
IF(Table1[[#This Row],[stock_quantity]]&lt;=10,"LOW STOCK",
"IN STOCK"))</f>
        <v>IN STOCK</v>
      </c>
      <c r="R757" s="1">
        <f t="shared" si="46"/>
        <v>4</v>
      </c>
      <c r="S757">
        <v>4</v>
      </c>
      <c r="T757" t="b">
        <v>0</v>
      </c>
      <c r="U757" t="str">
        <f t="shared" si="47"/>
        <v>No Return</v>
      </c>
    </row>
    <row r="758" spans="1:22" hidden="1" x14ac:dyDescent="0.3">
      <c r="A758" t="s">
        <v>811</v>
      </c>
      <c r="B758" t="s">
        <v>27</v>
      </c>
      <c r="C758" t="s">
        <v>32</v>
      </c>
      <c r="D758" t="s">
        <v>23</v>
      </c>
      <c r="E758" t="str">
        <f t="shared" si="44"/>
        <v>S</v>
      </c>
      <c r="G758" t="s">
        <v>35</v>
      </c>
      <c r="H758" s="8">
        <v>51.3</v>
      </c>
      <c r="I758" s="3">
        <f t="shared" si="45"/>
        <v>0</v>
      </c>
      <c r="J758" s="4">
        <v>0</v>
      </c>
      <c r="K758" s="11">
        <f>Table1[[#This Row],[original_price]]* (Table1[[#This Row],[Markdown percentage updated]])</f>
        <v>0</v>
      </c>
      <c r="L7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58" s="6">
        <v>51.3</v>
      </c>
      <c r="N7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58" s="7">
        <v>45875</v>
      </c>
      <c r="P758">
        <v>33</v>
      </c>
      <c r="Q758" s="16" t="str">
        <f>IF(Table1[[#This Row],[stock_quantity]]=0,"NO STOCK",
IF(Table1[[#This Row],[stock_quantity]]&lt;=10,"LOW STOCK",
"IN STOCK"))</f>
        <v>IN STOCK</v>
      </c>
      <c r="R758" s="1">
        <f t="shared" si="46"/>
        <v>0</v>
      </c>
      <c r="T758" t="b">
        <v>0</v>
      </c>
      <c r="U758" t="str">
        <f t="shared" si="47"/>
        <v>No Return</v>
      </c>
    </row>
    <row r="759" spans="1:22" hidden="1" x14ac:dyDescent="0.3">
      <c r="A759" t="s">
        <v>812</v>
      </c>
      <c r="B759" t="s">
        <v>42</v>
      </c>
      <c r="C759" t="s">
        <v>48</v>
      </c>
      <c r="D759" t="s">
        <v>17</v>
      </c>
      <c r="E759" t="str">
        <f t="shared" si="44"/>
        <v>XXL</v>
      </c>
      <c r="F759" t="s">
        <v>24</v>
      </c>
      <c r="G759" t="s">
        <v>40</v>
      </c>
      <c r="H759" s="8">
        <v>173</v>
      </c>
      <c r="I759" s="3">
        <f t="shared" si="45"/>
        <v>0</v>
      </c>
      <c r="J759" s="4">
        <v>0</v>
      </c>
      <c r="K759" s="11">
        <f>Table1[[#This Row],[original_price]]* (Table1[[#This Row],[Markdown percentage updated]])</f>
        <v>0</v>
      </c>
      <c r="L7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59" s="6">
        <v>173</v>
      </c>
      <c r="N7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59" s="7">
        <v>45759</v>
      </c>
      <c r="P759">
        <v>13</v>
      </c>
      <c r="Q759" s="16" t="str">
        <f>IF(Table1[[#This Row],[stock_quantity]]=0,"NO STOCK",
IF(Table1[[#This Row],[stock_quantity]]&lt;=10,"LOW STOCK",
"IN STOCK"))</f>
        <v>IN STOCK</v>
      </c>
      <c r="R759" s="1">
        <f t="shared" si="46"/>
        <v>3.9</v>
      </c>
      <c r="S759">
        <v>3.9</v>
      </c>
      <c r="T759" t="b">
        <v>0</v>
      </c>
      <c r="U759" t="str">
        <f t="shared" si="47"/>
        <v>No Return</v>
      </c>
    </row>
    <row r="760" spans="1:22" hidden="1" x14ac:dyDescent="0.3">
      <c r="A760" t="s">
        <v>813</v>
      </c>
      <c r="B760" t="s">
        <v>27</v>
      </c>
      <c r="C760" t="s">
        <v>22</v>
      </c>
      <c r="D760" t="s">
        <v>62</v>
      </c>
      <c r="E760" t="str">
        <f t="shared" si="44"/>
        <v>OS</v>
      </c>
      <c r="G760" t="s">
        <v>46</v>
      </c>
      <c r="H760" s="8">
        <v>70.72</v>
      </c>
      <c r="I760" s="3">
        <f t="shared" si="45"/>
        <v>0</v>
      </c>
      <c r="J760" s="4">
        <v>0</v>
      </c>
      <c r="K760" s="11">
        <f>Table1[[#This Row],[original_price]]* (Table1[[#This Row],[Markdown percentage updated]])</f>
        <v>0</v>
      </c>
      <c r="L7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60" s="6">
        <v>70.72</v>
      </c>
      <c r="N7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60" s="7">
        <v>45875</v>
      </c>
      <c r="P760">
        <v>18</v>
      </c>
      <c r="Q760" s="16" t="str">
        <f>IF(Table1[[#This Row],[stock_quantity]]=0,"NO STOCK",
IF(Table1[[#This Row],[stock_quantity]]&lt;=10,"LOW STOCK",
"IN STOCK"))</f>
        <v>IN STOCK</v>
      </c>
      <c r="R760" s="1">
        <f t="shared" si="46"/>
        <v>2.8</v>
      </c>
      <c r="S760">
        <v>2.8</v>
      </c>
      <c r="T760" t="b">
        <v>0</v>
      </c>
      <c r="U760" t="str">
        <f t="shared" si="47"/>
        <v>No Return</v>
      </c>
    </row>
    <row r="761" spans="1:22" hidden="1" x14ac:dyDescent="0.3">
      <c r="A761" t="s">
        <v>814</v>
      </c>
      <c r="B761" t="s">
        <v>42</v>
      </c>
      <c r="C761" t="s">
        <v>75</v>
      </c>
      <c r="D761" t="s">
        <v>62</v>
      </c>
      <c r="E761" t="str">
        <f t="shared" si="44"/>
        <v>M</v>
      </c>
      <c r="F761" t="s">
        <v>39</v>
      </c>
      <c r="G761" t="s">
        <v>28</v>
      </c>
      <c r="H761" s="8">
        <v>126.37</v>
      </c>
      <c r="I761" s="3">
        <f t="shared" si="45"/>
        <v>0</v>
      </c>
      <c r="J761" s="4">
        <v>0</v>
      </c>
      <c r="K761" s="11">
        <f>Table1[[#This Row],[original_price]]* (Table1[[#This Row],[Markdown percentage updated]])</f>
        <v>0</v>
      </c>
      <c r="L7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61" s="6">
        <v>126.37</v>
      </c>
      <c r="N7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61" s="7">
        <v>45875</v>
      </c>
      <c r="P761">
        <v>42</v>
      </c>
      <c r="Q761" s="16" t="str">
        <f>IF(Table1[[#This Row],[stock_quantity]]=0,"NO STOCK",
IF(Table1[[#This Row],[stock_quantity]]&lt;=10,"LOW STOCK",
"IN STOCK"))</f>
        <v>IN STOCK</v>
      </c>
      <c r="R761" s="1">
        <f t="shared" si="46"/>
        <v>2</v>
      </c>
      <c r="S761">
        <v>2</v>
      </c>
      <c r="T761" t="b">
        <v>0</v>
      </c>
      <c r="U761" t="str">
        <f t="shared" si="47"/>
        <v>No Return</v>
      </c>
    </row>
    <row r="762" spans="1:22" hidden="1" x14ac:dyDescent="0.3">
      <c r="A762" t="s">
        <v>815</v>
      </c>
      <c r="B762" t="s">
        <v>38</v>
      </c>
      <c r="C762" t="s">
        <v>16</v>
      </c>
      <c r="D762" t="s">
        <v>23</v>
      </c>
      <c r="E762" t="str">
        <f t="shared" si="44"/>
        <v>S</v>
      </c>
      <c r="F762" t="s">
        <v>49</v>
      </c>
      <c r="G762" t="s">
        <v>44</v>
      </c>
      <c r="H762" s="8">
        <v>84.19</v>
      </c>
      <c r="I762" s="3">
        <f t="shared" si="45"/>
        <v>9.6000000000000002E-2</v>
      </c>
      <c r="J762" s="4">
        <v>9.6</v>
      </c>
      <c r="K762" s="11">
        <f>Table1[[#This Row],[original_price]]* (Table1[[#This Row],[Markdown percentage updated]])</f>
        <v>8.0822400000000005</v>
      </c>
      <c r="L7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62" s="6">
        <v>76.11</v>
      </c>
      <c r="N7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762" s="7">
        <v>45875</v>
      </c>
      <c r="P762">
        <v>45</v>
      </c>
      <c r="Q762" s="16" t="str">
        <f>IF(Table1[[#This Row],[stock_quantity]]=0,"NO STOCK",
IF(Table1[[#This Row],[stock_quantity]]&lt;=10,"LOW STOCK",
"IN STOCK"))</f>
        <v>IN STOCK</v>
      </c>
      <c r="R762" s="1">
        <f t="shared" si="46"/>
        <v>2.1</v>
      </c>
      <c r="S762">
        <v>2.1</v>
      </c>
      <c r="T762" t="b">
        <v>0</v>
      </c>
      <c r="U762" t="str">
        <f t="shared" si="47"/>
        <v>No Return</v>
      </c>
    </row>
    <row r="763" spans="1:22" hidden="1" x14ac:dyDescent="0.3">
      <c r="A763" t="s">
        <v>816</v>
      </c>
      <c r="B763" t="s">
        <v>27</v>
      </c>
      <c r="C763" t="s">
        <v>75</v>
      </c>
      <c r="D763" t="s">
        <v>62</v>
      </c>
      <c r="E763" t="str">
        <f t="shared" si="44"/>
        <v>L</v>
      </c>
      <c r="G763" t="s">
        <v>25</v>
      </c>
      <c r="H763" s="8">
        <v>59.39</v>
      </c>
      <c r="I763" s="3">
        <f t="shared" si="45"/>
        <v>0.44600000000000001</v>
      </c>
      <c r="J763" s="4">
        <v>44.6</v>
      </c>
      <c r="K763" s="11">
        <f>Table1[[#This Row],[original_price]]* (Table1[[#This Row],[Markdown percentage updated]])</f>
        <v>26.487940000000002</v>
      </c>
      <c r="L7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63" s="6">
        <v>32.9</v>
      </c>
      <c r="N7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63" s="7">
        <v>45875</v>
      </c>
      <c r="P763">
        <v>41</v>
      </c>
      <c r="Q763" s="16" t="str">
        <f>IF(Table1[[#This Row],[stock_quantity]]=0,"NO STOCK",
IF(Table1[[#This Row],[stock_quantity]]&lt;=10,"LOW STOCK",
"IN STOCK"))</f>
        <v>IN STOCK</v>
      </c>
      <c r="R763" s="1">
        <f t="shared" si="46"/>
        <v>2.2999999999999998</v>
      </c>
      <c r="S763">
        <v>2.2999999999999998</v>
      </c>
      <c r="T763" t="b">
        <v>1</v>
      </c>
      <c r="U763" s="13" t="str">
        <f t="shared" si="47"/>
        <v>Color Mismatch</v>
      </c>
      <c r="V763" t="s">
        <v>36</v>
      </c>
    </row>
    <row r="764" spans="1:22" hidden="1" x14ac:dyDescent="0.3">
      <c r="A764" t="s">
        <v>817</v>
      </c>
      <c r="B764" t="s">
        <v>15</v>
      </c>
      <c r="C764" t="s">
        <v>43</v>
      </c>
      <c r="D764" t="s">
        <v>34</v>
      </c>
      <c r="E764" t="str">
        <f t="shared" si="44"/>
        <v>L</v>
      </c>
      <c r="F764" t="s">
        <v>58</v>
      </c>
      <c r="G764" t="s">
        <v>46</v>
      </c>
      <c r="H764" s="8">
        <v>195.38</v>
      </c>
      <c r="I764" s="3">
        <f t="shared" si="45"/>
        <v>3.0000000000000001E-3</v>
      </c>
      <c r="J764" s="4">
        <v>0.3</v>
      </c>
      <c r="K764" s="11">
        <f>Table1[[#This Row],[original_price]]* (Table1[[#This Row],[Markdown percentage updated]])</f>
        <v>0.58613999999999999</v>
      </c>
      <c r="L7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64" s="6">
        <v>194.79</v>
      </c>
      <c r="N7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764" s="7">
        <v>45875</v>
      </c>
      <c r="P764">
        <v>30</v>
      </c>
      <c r="Q764" s="16" t="str">
        <f>IF(Table1[[#This Row],[stock_quantity]]=0,"NO STOCK",
IF(Table1[[#This Row],[stock_quantity]]&lt;=10,"LOW STOCK",
"IN STOCK"))</f>
        <v>IN STOCK</v>
      </c>
      <c r="R764" s="1">
        <f t="shared" si="46"/>
        <v>2.9</v>
      </c>
      <c r="S764">
        <v>2.9</v>
      </c>
      <c r="T764" t="b">
        <v>0</v>
      </c>
      <c r="U764" t="str">
        <f t="shared" si="47"/>
        <v>No Return</v>
      </c>
    </row>
    <row r="765" spans="1:22" hidden="1" x14ac:dyDescent="0.3">
      <c r="A765" t="s">
        <v>818</v>
      </c>
      <c r="B765" t="s">
        <v>42</v>
      </c>
      <c r="C765" t="s">
        <v>61</v>
      </c>
      <c r="D765" t="s">
        <v>17</v>
      </c>
      <c r="E765" t="str">
        <f t="shared" si="44"/>
        <v>L</v>
      </c>
      <c r="F765" t="s">
        <v>39</v>
      </c>
      <c r="G765" t="s">
        <v>35</v>
      </c>
      <c r="H765" s="8">
        <v>107.64</v>
      </c>
      <c r="I765" s="3">
        <f t="shared" si="45"/>
        <v>7.4999999999999997E-2</v>
      </c>
      <c r="J765" s="4">
        <v>7.5</v>
      </c>
      <c r="K765" s="11">
        <f>Table1[[#This Row],[original_price]]* (Table1[[#This Row],[Markdown percentage updated]])</f>
        <v>8.0730000000000004</v>
      </c>
      <c r="L7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65" s="6">
        <v>99.57</v>
      </c>
      <c r="N7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765" s="7">
        <v>45545</v>
      </c>
      <c r="P765">
        <v>21</v>
      </c>
      <c r="Q765" s="16" t="str">
        <f>IF(Table1[[#This Row],[stock_quantity]]=0,"NO STOCK",
IF(Table1[[#This Row],[stock_quantity]]&lt;=10,"LOW STOCK",
"IN STOCK"))</f>
        <v>IN STOCK</v>
      </c>
      <c r="R765" s="1">
        <f t="shared" si="46"/>
        <v>4.5999999999999996</v>
      </c>
      <c r="S765">
        <v>4.5999999999999996</v>
      </c>
      <c r="T765" t="b">
        <v>0</v>
      </c>
      <c r="U765" t="str">
        <f t="shared" si="47"/>
        <v>No Return</v>
      </c>
    </row>
    <row r="766" spans="1:22" hidden="1" x14ac:dyDescent="0.3">
      <c r="A766" t="s">
        <v>819</v>
      </c>
      <c r="B766" t="s">
        <v>30</v>
      </c>
      <c r="C766" t="s">
        <v>48</v>
      </c>
      <c r="D766" t="s">
        <v>17</v>
      </c>
      <c r="E766" t="str">
        <f t="shared" si="44"/>
        <v>XL</v>
      </c>
      <c r="F766" t="s">
        <v>24</v>
      </c>
      <c r="G766" t="s">
        <v>44</v>
      </c>
      <c r="H766" s="8">
        <v>63.12</v>
      </c>
      <c r="I766" s="3">
        <f t="shared" si="45"/>
        <v>0</v>
      </c>
      <c r="J766" s="4">
        <v>0</v>
      </c>
      <c r="K766" s="11">
        <f>Table1[[#This Row],[original_price]]* (Table1[[#This Row],[Markdown percentage updated]])</f>
        <v>0</v>
      </c>
      <c r="L7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66" s="6">
        <v>63.12</v>
      </c>
      <c r="N7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66" s="7">
        <v>45604</v>
      </c>
      <c r="P766">
        <v>35</v>
      </c>
      <c r="Q766" s="16" t="str">
        <f>IF(Table1[[#This Row],[stock_quantity]]=0,"NO STOCK",
IF(Table1[[#This Row],[stock_quantity]]&lt;=10,"LOW STOCK",
"IN STOCK"))</f>
        <v>IN STOCK</v>
      </c>
      <c r="R766" s="1">
        <f t="shared" si="46"/>
        <v>2.9</v>
      </c>
      <c r="S766">
        <v>2.9</v>
      </c>
      <c r="T766" t="b">
        <v>0</v>
      </c>
      <c r="U766" t="str">
        <f t="shared" si="47"/>
        <v>No Return</v>
      </c>
    </row>
    <row r="767" spans="1:22" hidden="1" x14ac:dyDescent="0.3">
      <c r="A767" t="s">
        <v>820</v>
      </c>
      <c r="B767" t="s">
        <v>38</v>
      </c>
      <c r="C767" t="s">
        <v>61</v>
      </c>
      <c r="D767" t="s">
        <v>34</v>
      </c>
      <c r="E767" t="str">
        <f t="shared" si="44"/>
        <v>L</v>
      </c>
      <c r="F767" t="s">
        <v>24</v>
      </c>
      <c r="G767" t="s">
        <v>44</v>
      </c>
      <c r="H767" s="8">
        <v>58.91</v>
      </c>
      <c r="I767" s="3">
        <f t="shared" si="45"/>
        <v>0</v>
      </c>
      <c r="J767" s="4">
        <v>0</v>
      </c>
      <c r="K767" s="11">
        <f>Table1[[#This Row],[original_price]]* (Table1[[#This Row],[Markdown percentage updated]])</f>
        <v>0</v>
      </c>
      <c r="L7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67" s="6">
        <v>58.91</v>
      </c>
      <c r="N7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67" s="7">
        <v>45875</v>
      </c>
      <c r="P767">
        <v>17</v>
      </c>
      <c r="Q767" s="16" t="str">
        <f>IF(Table1[[#This Row],[stock_quantity]]=0,"NO STOCK",
IF(Table1[[#This Row],[stock_quantity]]&lt;=10,"LOW STOCK",
"IN STOCK"))</f>
        <v>IN STOCK</v>
      </c>
      <c r="R767" s="1">
        <f t="shared" si="46"/>
        <v>2</v>
      </c>
      <c r="S767">
        <v>2</v>
      </c>
      <c r="T767" t="b">
        <v>0</v>
      </c>
      <c r="U767" t="str">
        <f t="shared" si="47"/>
        <v>No Return</v>
      </c>
    </row>
    <row r="768" spans="1:22" hidden="1" x14ac:dyDescent="0.3">
      <c r="A768" t="s">
        <v>821</v>
      </c>
      <c r="B768" t="s">
        <v>38</v>
      </c>
      <c r="C768" t="s">
        <v>48</v>
      </c>
      <c r="D768" t="s">
        <v>62</v>
      </c>
      <c r="E768" t="str">
        <f t="shared" si="44"/>
        <v>S</v>
      </c>
      <c r="F768" t="s">
        <v>24</v>
      </c>
      <c r="G768" t="s">
        <v>46</v>
      </c>
      <c r="H768" s="8">
        <v>93.27</v>
      </c>
      <c r="I768" s="3">
        <f t="shared" si="45"/>
        <v>0</v>
      </c>
      <c r="J768" s="4">
        <v>0</v>
      </c>
      <c r="K768" s="11">
        <f>Table1[[#This Row],[original_price]]* (Table1[[#This Row],[Markdown percentage updated]])</f>
        <v>0</v>
      </c>
      <c r="L7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68" s="6">
        <v>93.27</v>
      </c>
      <c r="N7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68" s="7">
        <v>45875</v>
      </c>
      <c r="P768">
        <v>18</v>
      </c>
      <c r="Q768" s="16" t="str">
        <f>IF(Table1[[#This Row],[stock_quantity]]=0,"NO STOCK",
IF(Table1[[#This Row],[stock_quantity]]&lt;=10,"LOW STOCK",
"IN STOCK"))</f>
        <v>IN STOCK</v>
      </c>
      <c r="R768" s="1">
        <f t="shared" si="46"/>
        <v>3.7</v>
      </c>
      <c r="S768">
        <v>3.7</v>
      </c>
      <c r="T768" t="b">
        <v>0</v>
      </c>
      <c r="U768" t="str">
        <f t="shared" si="47"/>
        <v>No Return</v>
      </c>
    </row>
    <row r="769" spans="1:22" hidden="1" x14ac:dyDescent="0.3">
      <c r="A769" t="s">
        <v>822</v>
      </c>
      <c r="B769" t="s">
        <v>42</v>
      </c>
      <c r="C769" t="s">
        <v>75</v>
      </c>
      <c r="D769" t="s">
        <v>17</v>
      </c>
      <c r="E769" t="str">
        <f t="shared" si="44"/>
        <v>XS</v>
      </c>
      <c r="F769" t="s">
        <v>18</v>
      </c>
      <c r="G769" t="s">
        <v>46</v>
      </c>
      <c r="H769" s="8">
        <v>147.88</v>
      </c>
      <c r="I769" s="3">
        <f t="shared" si="45"/>
        <v>0.36799999999999999</v>
      </c>
      <c r="J769" s="4">
        <v>36.799999999999997</v>
      </c>
      <c r="K769" s="11">
        <f>Table1[[#This Row],[original_price]]* (Table1[[#This Row],[Markdown percentage updated]])</f>
        <v>54.419840000000001</v>
      </c>
      <c r="L7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69" s="6">
        <v>93.46</v>
      </c>
      <c r="N7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69" s="7">
        <v>45543</v>
      </c>
      <c r="P769">
        <v>37</v>
      </c>
      <c r="Q769" s="16" t="str">
        <f>IF(Table1[[#This Row],[stock_quantity]]=0,"NO STOCK",
IF(Table1[[#This Row],[stock_quantity]]&lt;=10,"LOW STOCK",
"IN STOCK"))</f>
        <v>IN STOCK</v>
      </c>
      <c r="R769" s="1">
        <f t="shared" si="46"/>
        <v>3.3</v>
      </c>
      <c r="S769">
        <v>3.3</v>
      </c>
      <c r="T769" t="b">
        <v>0</v>
      </c>
      <c r="U769" t="str">
        <f t="shared" si="47"/>
        <v>No Return</v>
      </c>
    </row>
    <row r="770" spans="1:22" hidden="1" x14ac:dyDescent="0.3">
      <c r="A770" t="s">
        <v>823</v>
      </c>
      <c r="B770" t="s">
        <v>21</v>
      </c>
      <c r="C770" t="s">
        <v>22</v>
      </c>
      <c r="D770" t="s">
        <v>34</v>
      </c>
      <c r="E770" t="str">
        <f t="shared" ref="E770:E833" si="48">IF(ISBLANK(F773),"OS",F773)</f>
        <v>M</v>
      </c>
      <c r="F770" t="s">
        <v>24</v>
      </c>
      <c r="G770" t="s">
        <v>40</v>
      </c>
      <c r="H770" s="8">
        <v>30.53</v>
      </c>
      <c r="I770" s="3">
        <f t="shared" ref="I770:I833" si="49">J770/100</f>
        <v>0</v>
      </c>
      <c r="J770" s="4">
        <v>0</v>
      </c>
      <c r="K770" s="11">
        <f>Table1[[#This Row],[original_price]]* (Table1[[#This Row],[Markdown percentage updated]])</f>
        <v>0</v>
      </c>
      <c r="L7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70" s="6">
        <v>30.53</v>
      </c>
      <c r="N7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70" s="7">
        <v>45875</v>
      </c>
      <c r="P770">
        <v>25</v>
      </c>
      <c r="Q770" s="16" t="str">
        <f>IF(Table1[[#This Row],[stock_quantity]]=0,"NO STOCK",
IF(Table1[[#This Row],[stock_quantity]]&lt;=10,"LOW STOCK",
"IN STOCK"))</f>
        <v>IN STOCK</v>
      </c>
      <c r="R770" s="1">
        <f t="shared" si="46"/>
        <v>2.5</v>
      </c>
      <c r="S770">
        <v>2.5</v>
      </c>
      <c r="T770" t="b">
        <v>0</v>
      </c>
      <c r="U770" t="str">
        <f t="shared" si="47"/>
        <v>No Return</v>
      </c>
    </row>
    <row r="771" spans="1:22" hidden="1" x14ac:dyDescent="0.3">
      <c r="A771" t="s">
        <v>824</v>
      </c>
      <c r="B771" t="s">
        <v>21</v>
      </c>
      <c r="C771" t="s">
        <v>16</v>
      </c>
      <c r="D771" t="s">
        <v>34</v>
      </c>
      <c r="E771" t="str">
        <f t="shared" si="48"/>
        <v>XS</v>
      </c>
      <c r="F771" t="s">
        <v>39</v>
      </c>
      <c r="G771" t="s">
        <v>35</v>
      </c>
      <c r="H771" s="8">
        <v>104.96</v>
      </c>
      <c r="I771" s="3">
        <f t="shared" si="49"/>
        <v>1.6E-2</v>
      </c>
      <c r="J771" s="4">
        <v>1.6</v>
      </c>
      <c r="K771" s="11">
        <f>Table1[[#This Row],[original_price]]* (Table1[[#This Row],[Markdown percentage updated]])</f>
        <v>1.67936</v>
      </c>
      <c r="L7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71" s="6">
        <v>103.28</v>
      </c>
      <c r="N7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771" s="7">
        <v>45875</v>
      </c>
      <c r="P771">
        <v>33</v>
      </c>
      <c r="Q771" s="16" t="str">
        <f>IF(Table1[[#This Row],[stock_quantity]]=0,"NO STOCK",
IF(Table1[[#This Row],[stock_quantity]]&lt;=10,"LOW STOCK",
"IN STOCK"))</f>
        <v>IN STOCK</v>
      </c>
      <c r="R771" s="1">
        <f t="shared" ref="R771:R834" si="50">IF(ISBLANK(S771), 0, S771)</f>
        <v>2</v>
      </c>
      <c r="S771">
        <v>2</v>
      </c>
      <c r="T771" t="b">
        <v>0</v>
      </c>
      <c r="U771" t="str">
        <f t="shared" ref="U771:U834" si="51">IF(V771="","No Return",V771)</f>
        <v>No Return</v>
      </c>
    </row>
    <row r="772" spans="1:22" hidden="1" x14ac:dyDescent="0.3">
      <c r="A772" t="s">
        <v>825</v>
      </c>
      <c r="B772" t="s">
        <v>42</v>
      </c>
      <c r="C772" t="s">
        <v>48</v>
      </c>
      <c r="D772" t="s">
        <v>23</v>
      </c>
      <c r="E772" t="str">
        <f t="shared" si="48"/>
        <v>XS</v>
      </c>
      <c r="F772" t="s">
        <v>55</v>
      </c>
      <c r="G772" t="s">
        <v>44</v>
      </c>
      <c r="H772" s="8">
        <v>75.52</v>
      </c>
      <c r="I772" s="3">
        <f t="shared" si="49"/>
        <v>0</v>
      </c>
      <c r="J772" s="4">
        <v>0</v>
      </c>
      <c r="K772" s="11">
        <f>Table1[[#This Row],[original_price]]* (Table1[[#This Row],[Markdown percentage updated]])</f>
        <v>0</v>
      </c>
      <c r="L7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72" s="6">
        <v>75.52</v>
      </c>
      <c r="N7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72" s="7">
        <v>45875</v>
      </c>
      <c r="P772">
        <v>2</v>
      </c>
      <c r="Q772" s="17" t="str">
        <f>IF(Table1[[#This Row],[stock_quantity]]=0,"NO STOCK",
IF(Table1[[#This Row],[stock_quantity]]&lt;=10,"LOW STOCK",
"IN STOCK"))</f>
        <v>LOW STOCK</v>
      </c>
      <c r="R772" s="1">
        <f t="shared" si="50"/>
        <v>2.8</v>
      </c>
      <c r="S772">
        <v>2.8</v>
      </c>
      <c r="T772" t="b">
        <v>0</v>
      </c>
      <c r="U772" t="str">
        <f t="shared" si="51"/>
        <v>No Return</v>
      </c>
    </row>
    <row r="773" spans="1:22" hidden="1" x14ac:dyDescent="0.3">
      <c r="A773" t="s">
        <v>826</v>
      </c>
      <c r="B773" t="s">
        <v>38</v>
      </c>
      <c r="C773" t="s">
        <v>61</v>
      </c>
      <c r="D773" t="s">
        <v>23</v>
      </c>
      <c r="E773" t="str">
        <f t="shared" si="48"/>
        <v>OS</v>
      </c>
      <c r="F773" t="s">
        <v>58</v>
      </c>
      <c r="G773" t="s">
        <v>19</v>
      </c>
      <c r="H773" s="8">
        <v>54.7</v>
      </c>
      <c r="I773" s="3">
        <f t="shared" si="49"/>
        <v>0</v>
      </c>
      <c r="J773" s="4">
        <v>0</v>
      </c>
      <c r="K773" s="11">
        <f>Table1[[#This Row],[original_price]]* (Table1[[#This Row],[Markdown percentage updated]])</f>
        <v>0</v>
      </c>
      <c r="L7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73" s="6">
        <v>54.7</v>
      </c>
      <c r="N7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73" s="7">
        <v>45875</v>
      </c>
      <c r="P773">
        <v>18</v>
      </c>
      <c r="Q773" s="16" t="str">
        <f>IF(Table1[[#This Row],[stock_quantity]]=0,"NO STOCK",
IF(Table1[[#This Row],[stock_quantity]]&lt;=10,"LOW STOCK",
"IN STOCK"))</f>
        <v>IN STOCK</v>
      </c>
      <c r="R773" s="1">
        <f t="shared" si="50"/>
        <v>4.2</v>
      </c>
      <c r="S773">
        <v>4.2</v>
      </c>
      <c r="T773" t="b">
        <v>0</v>
      </c>
      <c r="U773" t="str">
        <f t="shared" si="51"/>
        <v>No Return</v>
      </c>
    </row>
    <row r="774" spans="1:22" hidden="1" x14ac:dyDescent="0.3">
      <c r="A774" t="s">
        <v>827</v>
      </c>
      <c r="B774" t="s">
        <v>30</v>
      </c>
      <c r="C774" t="s">
        <v>53</v>
      </c>
      <c r="D774" t="s">
        <v>62</v>
      </c>
      <c r="E774" t="str">
        <f t="shared" si="48"/>
        <v>M</v>
      </c>
      <c r="F774" t="s">
        <v>55</v>
      </c>
      <c r="G774" t="s">
        <v>28</v>
      </c>
      <c r="H774" s="8">
        <v>126.25</v>
      </c>
      <c r="I774" s="3">
        <f t="shared" si="49"/>
        <v>0.25900000000000001</v>
      </c>
      <c r="J774" s="4">
        <v>25.9</v>
      </c>
      <c r="K774" s="11">
        <f>Table1[[#This Row],[original_price]]* (Table1[[#This Row],[Markdown percentage updated]])</f>
        <v>32.698750000000004</v>
      </c>
      <c r="L7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774" s="6">
        <v>93.55</v>
      </c>
      <c r="N7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74" s="7">
        <v>45875</v>
      </c>
      <c r="P774">
        <v>40</v>
      </c>
      <c r="Q774" s="16" t="str">
        <f>IF(Table1[[#This Row],[stock_quantity]]=0,"NO STOCK",
IF(Table1[[#This Row],[stock_quantity]]&lt;=10,"LOW STOCK",
"IN STOCK"))</f>
        <v>IN STOCK</v>
      </c>
      <c r="R774" s="1">
        <f t="shared" si="50"/>
        <v>1.5</v>
      </c>
      <c r="S774">
        <v>1.5</v>
      </c>
      <c r="T774" t="b">
        <v>1</v>
      </c>
      <c r="U774" s="13" t="str">
        <f t="shared" si="51"/>
        <v>Size Issue</v>
      </c>
      <c r="V774" t="s">
        <v>73</v>
      </c>
    </row>
    <row r="775" spans="1:22" hidden="1" x14ac:dyDescent="0.3">
      <c r="A775" t="s">
        <v>828</v>
      </c>
      <c r="B775" t="s">
        <v>30</v>
      </c>
      <c r="C775" t="s">
        <v>32</v>
      </c>
      <c r="D775" t="s">
        <v>62</v>
      </c>
      <c r="E775" t="str">
        <f t="shared" si="48"/>
        <v>XXL</v>
      </c>
      <c r="F775" t="s">
        <v>55</v>
      </c>
      <c r="G775" t="s">
        <v>44</v>
      </c>
      <c r="H775" s="8">
        <v>63.86</v>
      </c>
      <c r="I775" s="3">
        <f t="shared" si="49"/>
        <v>0.52800000000000002</v>
      </c>
      <c r="J775" s="4">
        <v>52.8</v>
      </c>
      <c r="K775" s="11">
        <f>Table1[[#This Row],[original_price]]* (Table1[[#This Row],[Markdown percentage updated]])</f>
        <v>33.71808</v>
      </c>
      <c r="L7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75" s="6">
        <v>30.14</v>
      </c>
      <c r="N7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75" s="7">
        <v>45875</v>
      </c>
      <c r="P775">
        <v>23</v>
      </c>
      <c r="Q775" s="16" t="str">
        <f>IF(Table1[[#This Row],[stock_quantity]]=0,"NO STOCK",
IF(Table1[[#This Row],[stock_quantity]]&lt;=10,"LOW STOCK",
"IN STOCK"))</f>
        <v>IN STOCK</v>
      </c>
      <c r="R775" s="1">
        <f t="shared" si="50"/>
        <v>0</v>
      </c>
      <c r="T775" t="b">
        <v>0</v>
      </c>
      <c r="U775" t="str">
        <f t="shared" si="51"/>
        <v>No Return</v>
      </c>
    </row>
    <row r="776" spans="1:22" hidden="1" x14ac:dyDescent="0.3">
      <c r="A776" t="s">
        <v>829</v>
      </c>
      <c r="B776" t="s">
        <v>27</v>
      </c>
      <c r="C776" t="s">
        <v>22</v>
      </c>
      <c r="D776" t="s">
        <v>23</v>
      </c>
      <c r="E776" t="str">
        <f t="shared" si="48"/>
        <v>XXL</v>
      </c>
      <c r="G776" t="s">
        <v>19</v>
      </c>
      <c r="H776" s="8">
        <v>75.930000000000007</v>
      </c>
      <c r="I776" s="3">
        <f t="shared" si="49"/>
        <v>0</v>
      </c>
      <c r="J776" s="4">
        <v>0</v>
      </c>
      <c r="K776" s="11">
        <f>Table1[[#This Row],[original_price]]* (Table1[[#This Row],[Markdown percentage updated]])</f>
        <v>0</v>
      </c>
      <c r="L7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76" s="6">
        <v>75.930000000000007</v>
      </c>
      <c r="N7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76" s="7">
        <v>45875</v>
      </c>
      <c r="P776">
        <v>32</v>
      </c>
      <c r="Q776" s="16" t="str">
        <f>IF(Table1[[#This Row],[stock_quantity]]=0,"NO STOCK",
IF(Table1[[#This Row],[stock_quantity]]&lt;=10,"LOW STOCK",
"IN STOCK"))</f>
        <v>IN STOCK</v>
      </c>
      <c r="R776" s="1">
        <f t="shared" si="50"/>
        <v>3.1</v>
      </c>
      <c r="S776">
        <v>3.1</v>
      </c>
      <c r="T776" t="b">
        <v>0</v>
      </c>
      <c r="U776" t="str">
        <f t="shared" si="51"/>
        <v>No Return</v>
      </c>
    </row>
    <row r="777" spans="1:22" hidden="1" x14ac:dyDescent="0.3">
      <c r="A777" t="s">
        <v>830</v>
      </c>
      <c r="B777" t="s">
        <v>21</v>
      </c>
      <c r="C777" t="s">
        <v>16</v>
      </c>
      <c r="D777" t="s">
        <v>34</v>
      </c>
      <c r="E777" t="str">
        <f t="shared" si="48"/>
        <v>S</v>
      </c>
      <c r="F777" t="s">
        <v>58</v>
      </c>
      <c r="G777" t="s">
        <v>70</v>
      </c>
      <c r="H777" s="8">
        <v>82.51</v>
      </c>
      <c r="I777" s="3">
        <f t="shared" si="49"/>
        <v>0.27300000000000002</v>
      </c>
      <c r="J777" s="4">
        <v>27.3</v>
      </c>
      <c r="K777" s="11">
        <f>Table1[[#This Row],[original_price]]* (Table1[[#This Row],[Markdown percentage updated]])</f>
        <v>22.525230000000004</v>
      </c>
      <c r="L7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777" s="6">
        <v>59.98</v>
      </c>
      <c r="N7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77" s="7">
        <v>45875</v>
      </c>
      <c r="P777">
        <v>9</v>
      </c>
      <c r="Q777" s="17" t="str">
        <f>IF(Table1[[#This Row],[stock_quantity]]=0,"NO STOCK",
IF(Table1[[#This Row],[stock_quantity]]&lt;=10,"LOW STOCK",
"IN STOCK"))</f>
        <v>LOW STOCK</v>
      </c>
      <c r="R777" s="1">
        <f t="shared" si="50"/>
        <v>3.8</v>
      </c>
      <c r="S777">
        <v>3.8</v>
      </c>
      <c r="T777" t="b">
        <v>0</v>
      </c>
      <c r="U777" t="str">
        <f t="shared" si="51"/>
        <v>No Return</v>
      </c>
    </row>
    <row r="778" spans="1:22" hidden="1" x14ac:dyDescent="0.3">
      <c r="A778" t="s">
        <v>831</v>
      </c>
      <c r="B778" t="s">
        <v>38</v>
      </c>
      <c r="C778" t="s">
        <v>32</v>
      </c>
      <c r="D778" t="s">
        <v>34</v>
      </c>
      <c r="E778" t="str">
        <f t="shared" si="48"/>
        <v>XS</v>
      </c>
      <c r="F778" t="s">
        <v>49</v>
      </c>
      <c r="G778" t="s">
        <v>46</v>
      </c>
      <c r="H778" s="8">
        <v>46.02</v>
      </c>
      <c r="I778" s="3">
        <f t="shared" si="49"/>
        <v>0</v>
      </c>
      <c r="J778" s="4">
        <v>0</v>
      </c>
      <c r="K778" s="11">
        <f>Table1[[#This Row],[original_price]]* (Table1[[#This Row],[Markdown percentage updated]])</f>
        <v>0</v>
      </c>
      <c r="L7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78" s="6">
        <v>46.02</v>
      </c>
      <c r="N7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78" s="7">
        <v>45875</v>
      </c>
      <c r="P778">
        <v>21</v>
      </c>
      <c r="Q778" s="16" t="str">
        <f>IF(Table1[[#This Row],[stock_quantity]]=0,"NO STOCK",
IF(Table1[[#This Row],[stock_quantity]]&lt;=10,"LOW STOCK",
"IN STOCK"))</f>
        <v>IN STOCK</v>
      </c>
      <c r="R778" s="1">
        <f t="shared" si="50"/>
        <v>1.1000000000000001</v>
      </c>
      <c r="S778">
        <v>1.1000000000000001</v>
      </c>
      <c r="T778" t="b">
        <v>0</v>
      </c>
      <c r="U778" t="str">
        <f t="shared" si="51"/>
        <v>No Return</v>
      </c>
    </row>
    <row r="779" spans="1:22" hidden="1" x14ac:dyDescent="0.3">
      <c r="A779" t="s">
        <v>832</v>
      </c>
      <c r="B779" t="s">
        <v>42</v>
      </c>
      <c r="C779" t="s">
        <v>43</v>
      </c>
      <c r="D779" t="s">
        <v>23</v>
      </c>
      <c r="E779" t="str">
        <f t="shared" si="48"/>
        <v>XS</v>
      </c>
      <c r="F779" t="s">
        <v>49</v>
      </c>
      <c r="G779" t="s">
        <v>70</v>
      </c>
      <c r="H779" s="8">
        <v>125.67</v>
      </c>
      <c r="I779" s="3">
        <f t="shared" si="49"/>
        <v>0.45500000000000002</v>
      </c>
      <c r="J779" s="4">
        <v>45.5</v>
      </c>
      <c r="K779" s="11">
        <f>Table1[[#This Row],[original_price]]* (Table1[[#This Row],[Markdown percentage updated]])</f>
        <v>57.179850000000002</v>
      </c>
      <c r="L7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79" s="6">
        <v>68.489999999999995</v>
      </c>
      <c r="N7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79" s="7">
        <v>45875</v>
      </c>
      <c r="P779">
        <v>27</v>
      </c>
      <c r="Q779" s="16" t="str">
        <f>IF(Table1[[#This Row],[stock_quantity]]=0,"NO STOCK",
IF(Table1[[#This Row],[stock_quantity]]&lt;=10,"LOW STOCK",
"IN STOCK"))</f>
        <v>IN STOCK</v>
      </c>
      <c r="R779" s="1">
        <f t="shared" si="50"/>
        <v>1.6</v>
      </c>
      <c r="S779">
        <v>1.6</v>
      </c>
      <c r="T779" t="b">
        <v>0</v>
      </c>
      <c r="U779" t="str">
        <f t="shared" si="51"/>
        <v>No Return</v>
      </c>
    </row>
    <row r="780" spans="1:22" hidden="1" x14ac:dyDescent="0.3">
      <c r="A780" t="s">
        <v>833</v>
      </c>
      <c r="B780" t="s">
        <v>30</v>
      </c>
      <c r="C780" t="s">
        <v>43</v>
      </c>
      <c r="D780" t="s">
        <v>23</v>
      </c>
      <c r="E780" t="str">
        <f t="shared" si="48"/>
        <v>M</v>
      </c>
      <c r="F780" t="s">
        <v>39</v>
      </c>
      <c r="G780" t="s">
        <v>19</v>
      </c>
      <c r="H780" s="8">
        <v>65.61</v>
      </c>
      <c r="I780" s="3">
        <f t="shared" si="49"/>
        <v>0.50700000000000001</v>
      </c>
      <c r="J780" s="4">
        <v>50.7</v>
      </c>
      <c r="K780" s="11">
        <f>Table1[[#This Row],[original_price]]* (Table1[[#This Row],[Markdown percentage updated]])</f>
        <v>33.264270000000003</v>
      </c>
      <c r="L7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80" s="6">
        <v>32.35</v>
      </c>
      <c r="N7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80" s="7">
        <v>45875</v>
      </c>
      <c r="P780">
        <v>23</v>
      </c>
      <c r="Q780" s="16" t="str">
        <f>IF(Table1[[#This Row],[stock_quantity]]=0,"NO STOCK",
IF(Table1[[#This Row],[stock_quantity]]&lt;=10,"LOW STOCK",
"IN STOCK"))</f>
        <v>IN STOCK</v>
      </c>
      <c r="R780" s="1">
        <f t="shared" si="50"/>
        <v>1.1000000000000001</v>
      </c>
      <c r="S780">
        <v>1.1000000000000001</v>
      </c>
      <c r="T780" t="b">
        <v>0</v>
      </c>
      <c r="U780" t="str">
        <f t="shared" si="51"/>
        <v>No Return</v>
      </c>
    </row>
    <row r="781" spans="1:22" hidden="1" x14ac:dyDescent="0.3">
      <c r="A781" t="s">
        <v>834</v>
      </c>
      <c r="B781" t="s">
        <v>42</v>
      </c>
      <c r="C781" t="s">
        <v>32</v>
      </c>
      <c r="D781" t="s">
        <v>62</v>
      </c>
      <c r="E781" t="str">
        <f t="shared" si="48"/>
        <v>OS</v>
      </c>
      <c r="F781" t="s">
        <v>55</v>
      </c>
      <c r="G781" t="s">
        <v>56</v>
      </c>
      <c r="H781" s="8">
        <v>91.61</v>
      </c>
      <c r="I781" s="3">
        <f t="shared" si="49"/>
        <v>0</v>
      </c>
      <c r="J781" s="4">
        <v>0</v>
      </c>
      <c r="K781" s="11">
        <f>Table1[[#This Row],[original_price]]* (Table1[[#This Row],[Markdown percentage updated]])</f>
        <v>0</v>
      </c>
      <c r="L7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81" s="6">
        <v>91.61</v>
      </c>
      <c r="N7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81" s="7">
        <v>45875</v>
      </c>
      <c r="P781">
        <v>31</v>
      </c>
      <c r="Q781" s="16" t="str">
        <f>IF(Table1[[#This Row],[stock_quantity]]=0,"NO STOCK",
IF(Table1[[#This Row],[stock_quantity]]&lt;=10,"LOW STOCK",
"IN STOCK"))</f>
        <v>IN STOCK</v>
      </c>
      <c r="R781" s="1">
        <f t="shared" si="50"/>
        <v>1.4</v>
      </c>
      <c r="S781">
        <v>1.4</v>
      </c>
      <c r="T781" t="b">
        <v>0</v>
      </c>
      <c r="U781" t="str">
        <f t="shared" si="51"/>
        <v>No Return</v>
      </c>
    </row>
    <row r="782" spans="1:22" hidden="1" x14ac:dyDescent="0.3">
      <c r="A782" t="s">
        <v>835</v>
      </c>
      <c r="B782" t="s">
        <v>15</v>
      </c>
      <c r="C782" t="s">
        <v>48</v>
      </c>
      <c r="D782" t="s">
        <v>62</v>
      </c>
      <c r="E782" t="str">
        <f t="shared" si="48"/>
        <v>OS</v>
      </c>
      <c r="F782" t="s">
        <v>55</v>
      </c>
      <c r="G782" t="s">
        <v>25</v>
      </c>
      <c r="H782" s="8">
        <v>162.78</v>
      </c>
      <c r="I782" s="3">
        <f t="shared" si="49"/>
        <v>0</v>
      </c>
      <c r="J782" s="4">
        <v>0</v>
      </c>
      <c r="K782" s="11">
        <f>Table1[[#This Row],[original_price]]* (Table1[[#This Row],[Markdown percentage updated]])</f>
        <v>0</v>
      </c>
      <c r="L7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82" s="6">
        <v>162.78</v>
      </c>
      <c r="N7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82" s="7">
        <v>45875</v>
      </c>
      <c r="P782">
        <v>0</v>
      </c>
      <c r="Q782" s="13" t="str">
        <f>IF(Table1[[#This Row],[stock_quantity]]=0,"NO STOCK",
IF(Table1[[#This Row],[stock_quantity]]&lt;=10,"LOW STOCK",
"IN STOCK"))</f>
        <v>NO STOCK</v>
      </c>
      <c r="R782" s="1">
        <f t="shared" si="50"/>
        <v>0</v>
      </c>
      <c r="T782" t="b">
        <v>0</v>
      </c>
      <c r="U782" t="str">
        <f t="shared" si="51"/>
        <v>No Return</v>
      </c>
    </row>
    <row r="783" spans="1:22" hidden="1" x14ac:dyDescent="0.3">
      <c r="A783" t="s">
        <v>836</v>
      </c>
      <c r="B783" t="s">
        <v>15</v>
      </c>
      <c r="C783" t="s">
        <v>43</v>
      </c>
      <c r="D783" t="s">
        <v>23</v>
      </c>
      <c r="E783" t="str">
        <f t="shared" si="48"/>
        <v>S</v>
      </c>
      <c r="F783" t="s">
        <v>58</v>
      </c>
      <c r="G783" t="s">
        <v>40</v>
      </c>
      <c r="H783" s="8">
        <v>134.35</v>
      </c>
      <c r="I783" s="3">
        <f t="shared" si="49"/>
        <v>0.35299999999999998</v>
      </c>
      <c r="J783" s="4">
        <v>35.299999999999997</v>
      </c>
      <c r="K783" s="11">
        <f>Table1[[#This Row],[original_price]]* (Table1[[#This Row],[Markdown percentage updated]])</f>
        <v>47.425549999999994</v>
      </c>
      <c r="L7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83" s="6">
        <v>86.92</v>
      </c>
      <c r="N7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83" s="7">
        <v>45875</v>
      </c>
      <c r="P783">
        <v>36</v>
      </c>
      <c r="Q783" s="16" t="str">
        <f>IF(Table1[[#This Row],[stock_quantity]]=0,"NO STOCK",
IF(Table1[[#This Row],[stock_quantity]]&lt;=10,"LOW STOCK",
"IN STOCK"))</f>
        <v>IN STOCK</v>
      </c>
      <c r="R783" s="1">
        <f t="shared" si="50"/>
        <v>0</v>
      </c>
      <c r="T783" t="b">
        <v>0</v>
      </c>
      <c r="U783" t="str">
        <f t="shared" si="51"/>
        <v>No Return</v>
      </c>
    </row>
    <row r="784" spans="1:22" hidden="1" x14ac:dyDescent="0.3">
      <c r="A784" t="s">
        <v>837</v>
      </c>
      <c r="B784" t="s">
        <v>38</v>
      </c>
      <c r="C784" t="s">
        <v>43</v>
      </c>
      <c r="D784" t="s">
        <v>17</v>
      </c>
      <c r="E784" t="str">
        <f t="shared" si="48"/>
        <v>XL</v>
      </c>
      <c r="G784" t="s">
        <v>40</v>
      </c>
      <c r="H784" s="8">
        <v>77.739999999999995</v>
      </c>
      <c r="I784" s="3">
        <f t="shared" si="49"/>
        <v>0.38799999999999996</v>
      </c>
      <c r="J784" s="4">
        <v>38.799999999999997</v>
      </c>
      <c r="K784" s="11">
        <f>Table1[[#This Row],[original_price]]* (Table1[[#This Row],[Markdown percentage updated]])</f>
        <v>30.163119999999996</v>
      </c>
      <c r="L7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84" s="6">
        <v>47.58</v>
      </c>
      <c r="N7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84" s="7">
        <v>45849</v>
      </c>
      <c r="P784">
        <v>23</v>
      </c>
      <c r="Q784" s="16" t="str">
        <f>IF(Table1[[#This Row],[stock_quantity]]=0,"NO STOCK",
IF(Table1[[#This Row],[stock_quantity]]&lt;=10,"LOW STOCK",
"IN STOCK"))</f>
        <v>IN STOCK</v>
      </c>
      <c r="R784" s="1">
        <f t="shared" si="50"/>
        <v>4.3</v>
      </c>
      <c r="S784">
        <v>4.3</v>
      </c>
      <c r="T784" t="b">
        <v>0</v>
      </c>
      <c r="U784" t="str">
        <f t="shared" si="51"/>
        <v>No Return</v>
      </c>
    </row>
    <row r="785" spans="1:22" hidden="1" x14ac:dyDescent="0.3">
      <c r="A785" t="s">
        <v>838</v>
      </c>
      <c r="B785" t="s">
        <v>27</v>
      </c>
      <c r="C785" t="s">
        <v>61</v>
      </c>
      <c r="D785" t="s">
        <v>62</v>
      </c>
      <c r="E785" t="str">
        <f t="shared" si="48"/>
        <v>S</v>
      </c>
      <c r="G785" t="s">
        <v>70</v>
      </c>
      <c r="H785" s="8">
        <v>49.33</v>
      </c>
      <c r="I785" s="3">
        <f t="shared" si="49"/>
        <v>0.59899999999999998</v>
      </c>
      <c r="J785" s="4">
        <v>59.9</v>
      </c>
      <c r="K785" s="11">
        <f>Table1[[#This Row],[original_price]]* (Table1[[#This Row],[Markdown percentage updated]])</f>
        <v>29.548669999999998</v>
      </c>
      <c r="L7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85" s="6">
        <v>19.78</v>
      </c>
      <c r="N7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85" s="7">
        <v>45875</v>
      </c>
      <c r="P785">
        <v>47</v>
      </c>
      <c r="Q785" s="16" t="str">
        <f>IF(Table1[[#This Row],[stock_quantity]]=0,"NO STOCK",
IF(Table1[[#This Row],[stock_quantity]]&lt;=10,"LOW STOCK",
"IN STOCK"))</f>
        <v>IN STOCK</v>
      </c>
      <c r="R785" s="1">
        <f t="shared" si="50"/>
        <v>0</v>
      </c>
      <c r="T785" t="b">
        <v>0</v>
      </c>
      <c r="U785" t="str">
        <f t="shared" si="51"/>
        <v>No Return</v>
      </c>
    </row>
    <row r="786" spans="1:22" hidden="1" x14ac:dyDescent="0.3">
      <c r="A786" t="s">
        <v>839</v>
      </c>
      <c r="B786" t="s">
        <v>15</v>
      </c>
      <c r="C786" t="s">
        <v>75</v>
      </c>
      <c r="D786" t="s">
        <v>62</v>
      </c>
      <c r="E786" t="str">
        <f t="shared" si="48"/>
        <v>S</v>
      </c>
      <c r="F786" t="s">
        <v>39</v>
      </c>
      <c r="G786" t="s">
        <v>40</v>
      </c>
      <c r="H786" s="8">
        <v>231.52</v>
      </c>
      <c r="I786" s="3">
        <f t="shared" si="49"/>
        <v>0.17300000000000001</v>
      </c>
      <c r="J786" s="4">
        <v>17.3</v>
      </c>
      <c r="K786" s="11">
        <f>Table1[[#This Row],[original_price]]* (Table1[[#This Row],[Markdown percentage updated]])</f>
        <v>40.052960000000006</v>
      </c>
      <c r="L7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786" s="6">
        <v>191.47</v>
      </c>
      <c r="N7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86" s="7">
        <v>45875</v>
      </c>
      <c r="P786">
        <v>49</v>
      </c>
      <c r="Q786" s="16" t="str">
        <f>IF(Table1[[#This Row],[stock_quantity]]=0,"NO STOCK",
IF(Table1[[#This Row],[stock_quantity]]&lt;=10,"LOW STOCK",
"IN STOCK"))</f>
        <v>IN STOCK</v>
      </c>
      <c r="R786" s="1">
        <f t="shared" si="50"/>
        <v>2.1</v>
      </c>
      <c r="S786">
        <v>2.1</v>
      </c>
      <c r="T786" t="b">
        <v>0</v>
      </c>
      <c r="U786" t="str">
        <f t="shared" si="51"/>
        <v>No Return</v>
      </c>
    </row>
    <row r="787" spans="1:22" hidden="1" x14ac:dyDescent="0.3">
      <c r="A787" t="s">
        <v>840</v>
      </c>
      <c r="B787" t="s">
        <v>15</v>
      </c>
      <c r="C787" t="s">
        <v>61</v>
      </c>
      <c r="D787" t="s">
        <v>23</v>
      </c>
      <c r="E787" t="str">
        <f t="shared" si="48"/>
        <v>XL</v>
      </c>
      <c r="F787" t="s">
        <v>18</v>
      </c>
      <c r="G787" t="s">
        <v>35</v>
      </c>
      <c r="H787" s="8">
        <v>140.1</v>
      </c>
      <c r="I787" s="3">
        <f t="shared" si="49"/>
        <v>0</v>
      </c>
      <c r="J787" s="4">
        <v>0</v>
      </c>
      <c r="K787" s="11">
        <f>Table1[[#This Row],[original_price]]* (Table1[[#This Row],[Markdown percentage updated]])</f>
        <v>0</v>
      </c>
      <c r="L7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87" s="6">
        <v>140.1</v>
      </c>
      <c r="N7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87" s="7">
        <v>45875</v>
      </c>
      <c r="P787">
        <v>14</v>
      </c>
      <c r="Q787" s="16" t="str">
        <f>IF(Table1[[#This Row],[stock_quantity]]=0,"NO STOCK",
IF(Table1[[#This Row],[stock_quantity]]&lt;=10,"LOW STOCK",
"IN STOCK"))</f>
        <v>IN STOCK</v>
      </c>
      <c r="R787" s="1">
        <f t="shared" si="50"/>
        <v>3.9</v>
      </c>
      <c r="S787">
        <v>3.9</v>
      </c>
      <c r="T787" t="b">
        <v>0</v>
      </c>
      <c r="U787" t="str">
        <f t="shared" si="51"/>
        <v>No Return</v>
      </c>
    </row>
    <row r="788" spans="1:22" hidden="1" x14ac:dyDescent="0.3">
      <c r="A788" t="s">
        <v>841</v>
      </c>
      <c r="B788" t="s">
        <v>42</v>
      </c>
      <c r="C788" t="s">
        <v>53</v>
      </c>
      <c r="D788" t="s">
        <v>62</v>
      </c>
      <c r="E788" t="str">
        <f t="shared" si="48"/>
        <v>S</v>
      </c>
      <c r="F788" t="s">
        <v>39</v>
      </c>
      <c r="G788" t="s">
        <v>25</v>
      </c>
      <c r="H788" s="8">
        <v>117.38</v>
      </c>
      <c r="I788" s="3">
        <f t="shared" si="49"/>
        <v>0.27800000000000002</v>
      </c>
      <c r="J788" s="4">
        <v>27.8</v>
      </c>
      <c r="K788" s="11">
        <f>Table1[[#This Row],[original_price]]* (Table1[[#This Row],[Markdown percentage updated]])</f>
        <v>32.631640000000004</v>
      </c>
      <c r="L7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788" s="6">
        <v>84.75</v>
      </c>
      <c r="N7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88" s="7">
        <v>45875</v>
      </c>
      <c r="P788">
        <v>34</v>
      </c>
      <c r="Q788" s="16" t="str">
        <f>IF(Table1[[#This Row],[stock_quantity]]=0,"NO STOCK",
IF(Table1[[#This Row],[stock_quantity]]&lt;=10,"LOW STOCK",
"IN STOCK"))</f>
        <v>IN STOCK</v>
      </c>
      <c r="R788" s="1">
        <f t="shared" si="50"/>
        <v>2.8</v>
      </c>
      <c r="S788">
        <v>2.8</v>
      </c>
      <c r="T788" t="b">
        <v>1</v>
      </c>
      <c r="U788" s="13" t="str">
        <f t="shared" si="51"/>
        <v>Quality Issue</v>
      </c>
      <c r="V788" t="s">
        <v>83</v>
      </c>
    </row>
    <row r="789" spans="1:22" hidden="1" x14ac:dyDescent="0.3">
      <c r="A789" t="s">
        <v>842</v>
      </c>
      <c r="B789" t="s">
        <v>21</v>
      </c>
      <c r="C789" t="s">
        <v>53</v>
      </c>
      <c r="D789" t="s">
        <v>17</v>
      </c>
      <c r="E789" t="str">
        <f t="shared" si="48"/>
        <v>XL</v>
      </c>
      <c r="F789" t="s">
        <v>39</v>
      </c>
      <c r="G789" t="s">
        <v>66</v>
      </c>
      <c r="H789" s="8">
        <v>83.98</v>
      </c>
      <c r="I789" s="3">
        <f t="shared" si="49"/>
        <v>0</v>
      </c>
      <c r="J789" s="4">
        <v>0</v>
      </c>
      <c r="K789" s="11">
        <f>Table1[[#This Row],[original_price]]* (Table1[[#This Row],[Markdown percentage updated]])</f>
        <v>0</v>
      </c>
      <c r="L7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89" s="6">
        <v>83.98</v>
      </c>
      <c r="N7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89" s="7">
        <v>45533</v>
      </c>
      <c r="P789">
        <v>23</v>
      </c>
      <c r="Q789" s="16" t="str">
        <f>IF(Table1[[#This Row],[stock_quantity]]=0,"NO STOCK",
IF(Table1[[#This Row],[stock_quantity]]&lt;=10,"LOW STOCK",
"IN STOCK"))</f>
        <v>IN STOCK</v>
      </c>
      <c r="R789" s="1">
        <f t="shared" si="50"/>
        <v>1.9</v>
      </c>
      <c r="S789">
        <v>1.9</v>
      </c>
      <c r="T789" t="b">
        <v>0</v>
      </c>
      <c r="U789" t="str">
        <f t="shared" si="51"/>
        <v>No Return</v>
      </c>
    </row>
    <row r="790" spans="1:22" hidden="1" x14ac:dyDescent="0.3">
      <c r="A790" t="s">
        <v>843</v>
      </c>
      <c r="B790" t="s">
        <v>42</v>
      </c>
      <c r="C790" t="s">
        <v>48</v>
      </c>
      <c r="D790" t="s">
        <v>17</v>
      </c>
      <c r="E790" t="str">
        <f t="shared" si="48"/>
        <v>XS</v>
      </c>
      <c r="F790" t="s">
        <v>18</v>
      </c>
      <c r="G790" t="s">
        <v>64</v>
      </c>
      <c r="H790" s="8">
        <v>111.67</v>
      </c>
      <c r="I790" s="3">
        <f t="shared" si="49"/>
        <v>0.53500000000000003</v>
      </c>
      <c r="J790" s="4">
        <v>53.5</v>
      </c>
      <c r="K790" s="11">
        <f>Table1[[#This Row],[original_price]]* (Table1[[#This Row],[Markdown percentage updated]])</f>
        <v>59.743450000000003</v>
      </c>
      <c r="L7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90" s="6">
        <v>51.93</v>
      </c>
      <c r="N7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90" s="7">
        <v>45693</v>
      </c>
      <c r="P790">
        <v>19</v>
      </c>
      <c r="Q790" s="16" t="str">
        <f>IF(Table1[[#This Row],[stock_quantity]]=0,"NO STOCK",
IF(Table1[[#This Row],[stock_quantity]]&lt;=10,"LOW STOCK",
"IN STOCK"))</f>
        <v>IN STOCK</v>
      </c>
      <c r="R790" s="1">
        <f t="shared" si="50"/>
        <v>0</v>
      </c>
      <c r="T790" t="b">
        <v>0</v>
      </c>
      <c r="U790" t="str">
        <f t="shared" si="51"/>
        <v>No Return</v>
      </c>
    </row>
    <row r="791" spans="1:22" hidden="1" x14ac:dyDescent="0.3">
      <c r="A791" t="s">
        <v>844</v>
      </c>
      <c r="B791" t="s">
        <v>38</v>
      </c>
      <c r="C791" t="s">
        <v>48</v>
      </c>
      <c r="D791" t="s">
        <v>62</v>
      </c>
      <c r="E791" t="str">
        <f t="shared" si="48"/>
        <v>M</v>
      </c>
      <c r="F791" t="s">
        <v>39</v>
      </c>
      <c r="G791" t="s">
        <v>35</v>
      </c>
      <c r="H791" s="8">
        <v>25.16</v>
      </c>
      <c r="I791" s="3">
        <f t="shared" si="49"/>
        <v>0</v>
      </c>
      <c r="J791" s="4">
        <v>0</v>
      </c>
      <c r="K791" s="11">
        <f>Table1[[#This Row],[original_price]]* (Table1[[#This Row],[Markdown percentage updated]])</f>
        <v>0</v>
      </c>
      <c r="L7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91" s="6">
        <v>25.16</v>
      </c>
      <c r="N7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91" s="7">
        <v>45875</v>
      </c>
      <c r="P791">
        <v>37</v>
      </c>
      <c r="Q791" s="16" t="str">
        <f>IF(Table1[[#This Row],[stock_quantity]]=0,"NO STOCK",
IF(Table1[[#This Row],[stock_quantity]]&lt;=10,"LOW STOCK",
"IN STOCK"))</f>
        <v>IN STOCK</v>
      </c>
      <c r="R791" s="1">
        <f t="shared" si="50"/>
        <v>2.8</v>
      </c>
      <c r="S791">
        <v>2.8</v>
      </c>
      <c r="T791" t="b">
        <v>0</v>
      </c>
      <c r="U791" t="str">
        <f t="shared" si="51"/>
        <v>No Return</v>
      </c>
    </row>
    <row r="792" spans="1:22" hidden="1" x14ac:dyDescent="0.3">
      <c r="A792" t="s">
        <v>845</v>
      </c>
      <c r="B792" t="s">
        <v>15</v>
      </c>
      <c r="C792" t="s">
        <v>32</v>
      </c>
      <c r="D792" t="s">
        <v>34</v>
      </c>
      <c r="E792" t="str">
        <f t="shared" si="48"/>
        <v>S</v>
      </c>
      <c r="F792" t="s">
        <v>18</v>
      </c>
      <c r="G792" t="s">
        <v>44</v>
      </c>
      <c r="H792" s="8">
        <v>175.82</v>
      </c>
      <c r="I792" s="3">
        <f t="shared" si="49"/>
        <v>0.23</v>
      </c>
      <c r="J792" s="4">
        <v>23</v>
      </c>
      <c r="K792" s="11">
        <f>Table1[[#This Row],[original_price]]* (Table1[[#This Row],[Markdown percentage updated]])</f>
        <v>40.438600000000001</v>
      </c>
      <c r="L7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792" s="6">
        <v>135.38</v>
      </c>
      <c r="N7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92" s="7">
        <v>45875</v>
      </c>
      <c r="P792">
        <v>1</v>
      </c>
      <c r="Q792" s="17" t="str">
        <f>IF(Table1[[#This Row],[stock_quantity]]=0,"NO STOCK",
IF(Table1[[#This Row],[stock_quantity]]&lt;=10,"LOW STOCK",
"IN STOCK"))</f>
        <v>LOW STOCK</v>
      </c>
      <c r="R792" s="1">
        <f t="shared" si="50"/>
        <v>3.7</v>
      </c>
      <c r="S792">
        <v>3.7</v>
      </c>
      <c r="T792" t="b">
        <v>0</v>
      </c>
      <c r="U792" t="str">
        <f t="shared" si="51"/>
        <v>No Return</v>
      </c>
    </row>
    <row r="793" spans="1:22" hidden="1" x14ac:dyDescent="0.3">
      <c r="A793" t="s">
        <v>846</v>
      </c>
      <c r="B793" t="s">
        <v>21</v>
      </c>
      <c r="C793" t="s">
        <v>43</v>
      </c>
      <c r="D793" t="s">
        <v>62</v>
      </c>
      <c r="E793" t="str">
        <f t="shared" si="48"/>
        <v>XXL</v>
      </c>
      <c r="F793" t="s">
        <v>55</v>
      </c>
      <c r="G793" t="s">
        <v>46</v>
      </c>
      <c r="H793" s="8">
        <v>53.25</v>
      </c>
      <c r="I793" s="3">
        <f t="shared" si="49"/>
        <v>0.375</v>
      </c>
      <c r="J793" s="4">
        <v>37.5</v>
      </c>
      <c r="K793" s="11">
        <f>Table1[[#This Row],[original_price]]* (Table1[[#This Row],[Markdown percentage updated]])</f>
        <v>19.96875</v>
      </c>
      <c r="L7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93" s="6">
        <v>33.28</v>
      </c>
      <c r="N7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793" s="7">
        <v>45875</v>
      </c>
      <c r="P793">
        <v>33</v>
      </c>
      <c r="Q793" s="16" t="str">
        <f>IF(Table1[[#This Row],[stock_quantity]]=0,"NO STOCK",
IF(Table1[[#This Row],[stock_quantity]]&lt;=10,"LOW STOCK",
"IN STOCK"))</f>
        <v>IN STOCK</v>
      </c>
      <c r="R793" s="1">
        <f t="shared" si="50"/>
        <v>4.3</v>
      </c>
      <c r="S793">
        <v>4.3</v>
      </c>
      <c r="T793" t="b">
        <v>0</v>
      </c>
      <c r="U793" t="str">
        <f t="shared" si="51"/>
        <v>No Return</v>
      </c>
    </row>
    <row r="794" spans="1:22" hidden="1" x14ac:dyDescent="0.3">
      <c r="A794" t="s">
        <v>847</v>
      </c>
      <c r="B794" t="s">
        <v>15</v>
      </c>
      <c r="C794" t="s">
        <v>32</v>
      </c>
      <c r="D794" t="s">
        <v>34</v>
      </c>
      <c r="E794" t="str">
        <f t="shared" si="48"/>
        <v>OS</v>
      </c>
      <c r="F794" t="s">
        <v>58</v>
      </c>
      <c r="G794" t="s">
        <v>66</v>
      </c>
      <c r="H794" s="8">
        <v>215.19</v>
      </c>
      <c r="I794" s="3">
        <f t="shared" si="49"/>
        <v>0.43</v>
      </c>
      <c r="J794" s="4">
        <v>43</v>
      </c>
      <c r="K794" s="11">
        <f>Table1[[#This Row],[original_price]]* (Table1[[#This Row],[Markdown percentage updated]])</f>
        <v>92.531700000000001</v>
      </c>
      <c r="L7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94" s="6">
        <v>122.66</v>
      </c>
      <c r="N7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794" s="7">
        <v>45875</v>
      </c>
      <c r="P794">
        <v>48</v>
      </c>
      <c r="Q794" s="16" t="str">
        <f>IF(Table1[[#This Row],[stock_quantity]]=0,"NO STOCK",
IF(Table1[[#This Row],[stock_quantity]]&lt;=10,"LOW STOCK",
"IN STOCK"))</f>
        <v>IN STOCK</v>
      </c>
      <c r="R794" s="1">
        <f t="shared" si="50"/>
        <v>2.5</v>
      </c>
      <c r="S794">
        <v>2.5</v>
      </c>
      <c r="T794" t="b">
        <v>0</v>
      </c>
      <c r="U794" t="str">
        <f t="shared" si="51"/>
        <v>No Return</v>
      </c>
    </row>
    <row r="795" spans="1:22" hidden="1" x14ac:dyDescent="0.3">
      <c r="A795" t="s">
        <v>848</v>
      </c>
      <c r="B795" t="s">
        <v>38</v>
      </c>
      <c r="C795" t="s">
        <v>16</v>
      </c>
      <c r="D795" t="s">
        <v>62</v>
      </c>
      <c r="E795" t="str">
        <f t="shared" si="48"/>
        <v>S</v>
      </c>
      <c r="F795" t="s">
        <v>39</v>
      </c>
      <c r="G795" t="s">
        <v>25</v>
      </c>
      <c r="H795" s="8">
        <v>78.41</v>
      </c>
      <c r="I795" s="3">
        <f t="shared" si="49"/>
        <v>0.20699999999999999</v>
      </c>
      <c r="J795" s="4">
        <v>20.7</v>
      </c>
      <c r="K795" s="11">
        <f>Table1[[#This Row],[original_price]]* (Table1[[#This Row],[Markdown percentage updated]])</f>
        <v>16.230869999999999</v>
      </c>
      <c r="L7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795" s="6">
        <v>62.18</v>
      </c>
      <c r="N7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795" s="7">
        <v>45875</v>
      </c>
      <c r="P795">
        <v>9</v>
      </c>
      <c r="Q795" s="17" t="str">
        <f>IF(Table1[[#This Row],[stock_quantity]]=0,"NO STOCK",
IF(Table1[[#This Row],[stock_quantity]]&lt;=10,"LOW STOCK",
"IN STOCK"))</f>
        <v>LOW STOCK</v>
      </c>
      <c r="R795" s="1">
        <f t="shared" si="50"/>
        <v>4.4000000000000004</v>
      </c>
      <c r="S795">
        <v>4.4000000000000004</v>
      </c>
      <c r="T795" t="b">
        <v>0</v>
      </c>
      <c r="U795" t="str">
        <f t="shared" si="51"/>
        <v>No Return</v>
      </c>
    </row>
    <row r="796" spans="1:22" hidden="1" x14ac:dyDescent="0.3">
      <c r="A796" t="s">
        <v>849</v>
      </c>
      <c r="B796" t="s">
        <v>30</v>
      </c>
      <c r="C796" t="s">
        <v>16</v>
      </c>
      <c r="D796" t="s">
        <v>62</v>
      </c>
      <c r="E796" t="str">
        <f t="shared" si="48"/>
        <v>XXL</v>
      </c>
      <c r="F796" t="s">
        <v>49</v>
      </c>
      <c r="G796" t="s">
        <v>25</v>
      </c>
      <c r="H796" s="8">
        <v>173.15</v>
      </c>
      <c r="I796" s="3">
        <f t="shared" si="49"/>
        <v>0</v>
      </c>
      <c r="J796" s="4">
        <v>0</v>
      </c>
      <c r="K796" s="11">
        <f>Table1[[#This Row],[original_price]]* (Table1[[#This Row],[Markdown percentage updated]])</f>
        <v>0</v>
      </c>
      <c r="L7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96" s="6">
        <v>173.15</v>
      </c>
      <c r="N7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96" s="7">
        <v>45875</v>
      </c>
      <c r="P796">
        <v>45</v>
      </c>
      <c r="Q796" s="16" t="str">
        <f>IF(Table1[[#This Row],[stock_quantity]]=0,"NO STOCK",
IF(Table1[[#This Row],[stock_quantity]]&lt;=10,"LOW STOCK",
"IN STOCK"))</f>
        <v>IN STOCK</v>
      </c>
      <c r="R796" s="1">
        <f t="shared" si="50"/>
        <v>2.2000000000000002</v>
      </c>
      <c r="S796">
        <v>2.2000000000000002</v>
      </c>
      <c r="T796" t="b">
        <v>0</v>
      </c>
      <c r="U796" t="str">
        <f t="shared" si="51"/>
        <v>No Return</v>
      </c>
    </row>
    <row r="797" spans="1:22" hidden="1" x14ac:dyDescent="0.3">
      <c r="A797" t="s">
        <v>850</v>
      </c>
      <c r="B797" t="s">
        <v>27</v>
      </c>
      <c r="C797" t="s">
        <v>16</v>
      </c>
      <c r="D797" t="s">
        <v>34</v>
      </c>
      <c r="E797" t="str">
        <f t="shared" si="48"/>
        <v>XXL</v>
      </c>
      <c r="G797" t="s">
        <v>44</v>
      </c>
      <c r="H797" s="8">
        <v>16.84</v>
      </c>
      <c r="I797" s="3">
        <f t="shared" si="49"/>
        <v>0.36599999999999999</v>
      </c>
      <c r="J797" s="4">
        <v>36.6</v>
      </c>
      <c r="K797" s="11">
        <f>Table1[[#This Row],[original_price]]* (Table1[[#This Row],[Markdown percentage updated]])</f>
        <v>6.1634399999999996</v>
      </c>
      <c r="L7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797" s="6">
        <v>10.68</v>
      </c>
      <c r="N7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797" s="7">
        <v>45875</v>
      </c>
      <c r="P797">
        <v>34</v>
      </c>
      <c r="Q797" s="16" t="str">
        <f>IF(Table1[[#This Row],[stock_quantity]]=0,"NO STOCK",
IF(Table1[[#This Row],[stock_quantity]]&lt;=10,"LOW STOCK",
"IN STOCK"))</f>
        <v>IN STOCK</v>
      </c>
      <c r="R797" s="1">
        <f t="shared" si="50"/>
        <v>1.7</v>
      </c>
      <c r="S797">
        <v>1.7</v>
      </c>
      <c r="T797" t="b">
        <v>0</v>
      </c>
      <c r="U797" t="str">
        <f t="shared" si="51"/>
        <v>No Return</v>
      </c>
    </row>
    <row r="798" spans="1:22" hidden="1" x14ac:dyDescent="0.3">
      <c r="A798" t="s">
        <v>851</v>
      </c>
      <c r="B798" t="s">
        <v>15</v>
      </c>
      <c r="C798" t="s">
        <v>75</v>
      </c>
      <c r="D798" t="s">
        <v>62</v>
      </c>
      <c r="E798" t="str">
        <f t="shared" si="48"/>
        <v>XL</v>
      </c>
      <c r="F798" t="s">
        <v>39</v>
      </c>
      <c r="G798" t="s">
        <v>66</v>
      </c>
      <c r="H798" s="8">
        <v>128.6</v>
      </c>
      <c r="I798" s="3">
        <f t="shared" si="49"/>
        <v>0</v>
      </c>
      <c r="J798" s="4">
        <v>0</v>
      </c>
      <c r="K798" s="11">
        <f>Table1[[#This Row],[original_price]]* (Table1[[#This Row],[Markdown percentage updated]])</f>
        <v>0</v>
      </c>
      <c r="L7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98" s="6">
        <v>128.6</v>
      </c>
      <c r="N7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98" s="7">
        <v>45875</v>
      </c>
      <c r="P798">
        <v>11</v>
      </c>
      <c r="Q798" s="16" t="str">
        <f>IF(Table1[[#This Row],[stock_quantity]]=0,"NO STOCK",
IF(Table1[[#This Row],[stock_quantity]]&lt;=10,"LOW STOCK",
"IN STOCK"))</f>
        <v>IN STOCK</v>
      </c>
      <c r="R798" s="1">
        <f t="shared" si="50"/>
        <v>2.2999999999999998</v>
      </c>
      <c r="S798">
        <v>2.2999999999999998</v>
      </c>
      <c r="T798" t="b">
        <v>0</v>
      </c>
      <c r="U798" t="str">
        <f t="shared" si="51"/>
        <v>No Return</v>
      </c>
    </row>
    <row r="799" spans="1:22" hidden="1" x14ac:dyDescent="0.3">
      <c r="A799" t="s">
        <v>852</v>
      </c>
      <c r="B799" t="s">
        <v>15</v>
      </c>
      <c r="C799" t="s">
        <v>53</v>
      </c>
      <c r="D799" t="s">
        <v>17</v>
      </c>
      <c r="E799" t="str">
        <f t="shared" si="48"/>
        <v>XL</v>
      </c>
      <c r="F799" t="s">
        <v>49</v>
      </c>
      <c r="G799" t="s">
        <v>46</v>
      </c>
      <c r="H799" s="8">
        <v>131.74</v>
      </c>
      <c r="I799" s="3">
        <f t="shared" si="49"/>
        <v>0</v>
      </c>
      <c r="J799" s="4">
        <v>0</v>
      </c>
      <c r="K799" s="11">
        <f>Table1[[#This Row],[original_price]]* (Table1[[#This Row],[Markdown percentage updated]])</f>
        <v>0</v>
      </c>
      <c r="L7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799" s="6">
        <v>131.74</v>
      </c>
      <c r="N7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799" s="7">
        <v>45548</v>
      </c>
      <c r="P799">
        <v>46</v>
      </c>
      <c r="Q799" s="16" t="str">
        <f>IF(Table1[[#This Row],[stock_quantity]]=0,"NO STOCK",
IF(Table1[[#This Row],[stock_quantity]]&lt;=10,"LOW STOCK",
"IN STOCK"))</f>
        <v>IN STOCK</v>
      </c>
      <c r="R799" s="1">
        <f t="shared" si="50"/>
        <v>4.5999999999999996</v>
      </c>
      <c r="S799">
        <v>4.5999999999999996</v>
      </c>
      <c r="T799" t="b">
        <v>0</v>
      </c>
      <c r="U799" t="str">
        <f t="shared" si="51"/>
        <v>No Return</v>
      </c>
    </row>
    <row r="800" spans="1:22" hidden="1" x14ac:dyDescent="0.3">
      <c r="A800" t="s">
        <v>853</v>
      </c>
      <c r="B800" t="s">
        <v>38</v>
      </c>
      <c r="C800" t="s">
        <v>75</v>
      </c>
      <c r="D800" t="s">
        <v>62</v>
      </c>
      <c r="E800" t="str">
        <f t="shared" si="48"/>
        <v>XL</v>
      </c>
      <c r="F800" t="s">
        <v>49</v>
      </c>
      <c r="G800" t="s">
        <v>35</v>
      </c>
      <c r="H800" s="8">
        <v>28.15</v>
      </c>
      <c r="I800" s="3">
        <f t="shared" si="49"/>
        <v>0.127</v>
      </c>
      <c r="J800" s="4">
        <v>12.7</v>
      </c>
      <c r="K800" s="11">
        <f>Table1[[#This Row],[original_price]]* (Table1[[#This Row],[Markdown percentage updated]])</f>
        <v>3.5750500000000001</v>
      </c>
      <c r="L8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00" s="6">
        <v>24.57</v>
      </c>
      <c r="N8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800" s="7">
        <v>45875</v>
      </c>
      <c r="P800">
        <v>13</v>
      </c>
      <c r="Q800" s="16" t="str">
        <f>IF(Table1[[#This Row],[stock_quantity]]=0,"NO STOCK",
IF(Table1[[#This Row],[stock_quantity]]&lt;=10,"LOW STOCK",
"IN STOCK"))</f>
        <v>IN STOCK</v>
      </c>
      <c r="R800" s="1">
        <f t="shared" si="50"/>
        <v>3.9</v>
      </c>
      <c r="S800">
        <v>3.9</v>
      </c>
      <c r="T800" t="b">
        <v>0</v>
      </c>
      <c r="U800" t="str">
        <f t="shared" si="51"/>
        <v>No Return</v>
      </c>
    </row>
    <row r="801" spans="1:22" hidden="1" x14ac:dyDescent="0.3">
      <c r="A801" t="s">
        <v>854</v>
      </c>
      <c r="B801" t="s">
        <v>15</v>
      </c>
      <c r="C801" t="s">
        <v>75</v>
      </c>
      <c r="D801" t="s">
        <v>23</v>
      </c>
      <c r="E801" t="str">
        <f t="shared" si="48"/>
        <v>S</v>
      </c>
      <c r="F801" t="s">
        <v>18</v>
      </c>
      <c r="G801" t="s">
        <v>19</v>
      </c>
      <c r="H801" s="8">
        <v>165.1</v>
      </c>
      <c r="I801" s="3">
        <f t="shared" si="49"/>
        <v>0.58399999999999996</v>
      </c>
      <c r="J801" s="4">
        <v>58.4</v>
      </c>
      <c r="K801" s="11">
        <f>Table1[[#This Row],[original_price]]* (Table1[[#This Row],[Markdown percentage updated]])</f>
        <v>96.418399999999991</v>
      </c>
      <c r="L8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01" s="6">
        <v>68.680000000000007</v>
      </c>
      <c r="N8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01" s="7">
        <v>45875</v>
      </c>
      <c r="P801">
        <v>29</v>
      </c>
      <c r="Q801" s="16" t="str">
        <f>IF(Table1[[#This Row],[stock_quantity]]=0,"NO STOCK",
IF(Table1[[#This Row],[stock_quantity]]&lt;=10,"LOW STOCK",
"IN STOCK"))</f>
        <v>IN STOCK</v>
      </c>
      <c r="R801" s="1">
        <f t="shared" si="50"/>
        <v>1.2</v>
      </c>
      <c r="S801">
        <v>1.2</v>
      </c>
      <c r="T801" t="b">
        <v>0</v>
      </c>
      <c r="U801" t="str">
        <f t="shared" si="51"/>
        <v>No Return</v>
      </c>
    </row>
    <row r="802" spans="1:22" hidden="1" x14ac:dyDescent="0.3">
      <c r="A802" t="s">
        <v>855</v>
      </c>
      <c r="B802" t="s">
        <v>21</v>
      </c>
      <c r="C802" t="s">
        <v>43</v>
      </c>
      <c r="D802" t="s">
        <v>17</v>
      </c>
      <c r="E802" t="str">
        <f t="shared" si="48"/>
        <v>OS</v>
      </c>
      <c r="F802" t="s">
        <v>18</v>
      </c>
      <c r="G802" t="s">
        <v>40</v>
      </c>
      <c r="H802" s="8">
        <v>49.62</v>
      </c>
      <c r="I802" s="3">
        <f t="shared" si="49"/>
        <v>8.0000000000000002E-3</v>
      </c>
      <c r="J802" s="4">
        <v>0.8</v>
      </c>
      <c r="K802" s="11">
        <f>Table1[[#This Row],[original_price]]* (Table1[[#This Row],[Markdown percentage updated]])</f>
        <v>0.39695999999999998</v>
      </c>
      <c r="L8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02" s="6">
        <v>49.22</v>
      </c>
      <c r="N8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802" s="7">
        <v>45613</v>
      </c>
      <c r="P802">
        <v>22</v>
      </c>
      <c r="Q802" s="16" t="str">
        <f>IF(Table1[[#This Row],[stock_quantity]]=0,"NO STOCK",
IF(Table1[[#This Row],[stock_quantity]]&lt;=10,"LOW STOCK",
"IN STOCK"))</f>
        <v>IN STOCK</v>
      </c>
      <c r="R802" s="1">
        <f t="shared" si="50"/>
        <v>2.2999999999999998</v>
      </c>
      <c r="S802">
        <v>2.2999999999999998</v>
      </c>
      <c r="T802" t="b">
        <v>0</v>
      </c>
      <c r="U802" t="str">
        <f t="shared" si="51"/>
        <v>No Return</v>
      </c>
    </row>
    <row r="803" spans="1:22" hidden="1" x14ac:dyDescent="0.3">
      <c r="A803" t="s">
        <v>856</v>
      </c>
      <c r="B803" t="s">
        <v>21</v>
      </c>
      <c r="C803" t="s">
        <v>32</v>
      </c>
      <c r="D803" t="s">
        <v>34</v>
      </c>
      <c r="E803" t="str">
        <f t="shared" si="48"/>
        <v>S</v>
      </c>
      <c r="F803" t="s">
        <v>18</v>
      </c>
      <c r="G803" t="s">
        <v>28</v>
      </c>
      <c r="H803" s="8">
        <v>98.52</v>
      </c>
      <c r="I803" s="3">
        <f t="shared" si="49"/>
        <v>0.18899999999999997</v>
      </c>
      <c r="J803" s="4">
        <v>18.899999999999999</v>
      </c>
      <c r="K803" s="11">
        <f>Table1[[#This Row],[original_price]]* (Table1[[#This Row],[Markdown percentage updated]])</f>
        <v>18.620279999999998</v>
      </c>
      <c r="L8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03" s="6">
        <v>79.900000000000006</v>
      </c>
      <c r="N8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03" s="7">
        <v>45875</v>
      </c>
      <c r="P803">
        <v>37</v>
      </c>
      <c r="Q803" s="16" t="str">
        <f>IF(Table1[[#This Row],[stock_quantity]]=0,"NO STOCK",
IF(Table1[[#This Row],[stock_quantity]]&lt;=10,"LOW STOCK",
"IN STOCK"))</f>
        <v>IN STOCK</v>
      </c>
      <c r="R803" s="1">
        <f t="shared" si="50"/>
        <v>4.0999999999999996</v>
      </c>
      <c r="S803">
        <v>4.0999999999999996</v>
      </c>
      <c r="T803" t="b">
        <v>1</v>
      </c>
      <c r="U803" s="13" t="str">
        <f t="shared" si="51"/>
        <v>Wrong Item</v>
      </c>
      <c r="V803" t="s">
        <v>125</v>
      </c>
    </row>
    <row r="804" spans="1:22" hidden="1" x14ac:dyDescent="0.3">
      <c r="A804" t="s">
        <v>857</v>
      </c>
      <c r="B804" t="s">
        <v>30</v>
      </c>
      <c r="C804" t="s">
        <v>43</v>
      </c>
      <c r="D804" t="s">
        <v>34</v>
      </c>
      <c r="E804" t="str">
        <f t="shared" si="48"/>
        <v>OS</v>
      </c>
      <c r="F804" t="s">
        <v>39</v>
      </c>
      <c r="G804" t="s">
        <v>46</v>
      </c>
      <c r="H804" s="8">
        <v>94.19</v>
      </c>
      <c r="I804" s="3">
        <f t="shared" si="49"/>
        <v>0.308</v>
      </c>
      <c r="J804" s="4">
        <v>30.8</v>
      </c>
      <c r="K804" s="11">
        <f>Table1[[#This Row],[original_price]]* (Table1[[#This Row],[Markdown percentage updated]])</f>
        <v>29.01052</v>
      </c>
      <c r="L8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04" s="6">
        <v>65.180000000000007</v>
      </c>
      <c r="N8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04" s="7">
        <v>45875</v>
      </c>
      <c r="P804">
        <v>31</v>
      </c>
      <c r="Q804" s="16" t="str">
        <f>IF(Table1[[#This Row],[stock_quantity]]=0,"NO STOCK",
IF(Table1[[#This Row],[stock_quantity]]&lt;=10,"LOW STOCK",
"IN STOCK"))</f>
        <v>IN STOCK</v>
      </c>
      <c r="R804" s="1">
        <f t="shared" si="50"/>
        <v>1.4</v>
      </c>
      <c r="S804">
        <v>1.4</v>
      </c>
      <c r="T804" t="b">
        <v>0</v>
      </c>
      <c r="U804" t="str">
        <f t="shared" si="51"/>
        <v>No Return</v>
      </c>
    </row>
    <row r="805" spans="1:22" hidden="1" x14ac:dyDescent="0.3">
      <c r="A805" t="s">
        <v>858</v>
      </c>
      <c r="B805" t="s">
        <v>27</v>
      </c>
      <c r="C805" t="s">
        <v>75</v>
      </c>
      <c r="D805" t="s">
        <v>23</v>
      </c>
      <c r="E805" t="str">
        <f t="shared" si="48"/>
        <v>XS</v>
      </c>
      <c r="G805" t="s">
        <v>40</v>
      </c>
      <c r="H805" s="8">
        <v>23.5</v>
      </c>
      <c r="I805" s="3">
        <f t="shared" si="49"/>
        <v>0</v>
      </c>
      <c r="J805" s="4">
        <v>0</v>
      </c>
      <c r="K805" s="11">
        <f>Table1[[#This Row],[original_price]]* (Table1[[#This Row],[Markdown percentage updated]])</f>
        <v>0</v>
      </c>
      <c r="L8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05" s="6">
        <v>23.5</v>
      </c>
      <c r="N8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05" s="7">
        <v>45875</v>
      </c>
      <c r="P805">
        <v>14</v>
      </c>
      <c r="Q805" s="16" t="str">
        <f>IF(Table1[[#This Row],[stock_quantity]]=0,"NO STOCK",
IF(Table1[[#This Row],[stock_quantity]]&lt;=10,"LOW STOCK",
"IN STOCK"))</f>
        <v>IN STOCK</v>
      </c>
      <c r="R805" s="1">
        <f t="shared" si="50"/>
        <v>3.9</v>
      </c>
      <c r="S805">
        <v>3.9</v>
      </c>
      <c r="T805" t="b">
        <v>1</v>
      </c>
      <c r="U805" s="13" t="str">
        <f t="shared" si="51"/>
        <v>Quality Issue</v>
      </c>
      <c r="V805" t="s">
        <v>83</v>
      </c>
    </row>
    <row r="806" spans="1:22" hidden="1" x14ac:dyDescent="0.3">
      <c r="A806" t="s">
        <v>859</v>
      </c>
      <c r="B806" t="s">
        <v>38</v>
      </c>
      <c r="C806" t="s">
        <v>16</v>
      </c>
      <c r="D806" t="s">
        <v>34</v>
      </c>
      <c r="E806" t="str">
        <f t="shared" si="48"/>
        <v>M</v>
      </c>
      <c r="F806" t="s">
        <v>39</v>
      </c>
      <c r="G806" t="s">
        <v>56</v>
      </c>
      <c r="H806" s="8">
        <v>109.36</v>
      </c>
      <c r="I806" s="3">
        <f t="shared" si="49"/>
        <v>0</v>
      </c>
      <c r="J806" s="4">
        <v>0</v>
      </c>
      <c r="K806" s="11">
        <f>Table1[[#This Row],[original_price]]* (Table1[[#This Row],[Markdown percentage updated]])</f>
        <v>0</v>
      </c>
      <c r="L8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06" s="6">
        <v>109.36</v>
      </c>
      <c r="N8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06" s="7">
        <v>45875</v>
      </c>
      <c r="P806">
        <v>0</v>
      </c>
      <c r="Q806" s="13" t="str">
        <f>IF(Table1[[#This Row],[stock_quantity]]=0,"NO STOCK",
IF(Table1[[#This Row],[stock_quantity]]&lt;=10,"LOW STOCK",
"IN STOCK"))</f>
        <v>NO STOCK</v>
      </c>
      <c r="R806" s="1">
        <f t="shared" si="50"/>
        <v>1.1000000000000001</v>
      </c>
      <c r="S806">
        <v>1.1000000000000001</v>
      </c>
      <c r="T806" t="b">
        <v>0</v>
      </c>
      <c r="U806" t="str">
        <f t="shared" si="51"/>
        <v>No Return</v>
      </c>
    </row>
    <row r="807" spans="1:22" hidden="1" x14ac:dyDescent="0.3">
      <c r="A807" t="s">
        <v>860</v>
      </c>
      <c r="B807" t="s">
        <v>27</v>
      </c>
      <c r="C807" t="s">
        <v>48</v>
      </c>
      <c r="D807" t="s">
        <v>34</v>
      </c>
      <c r="E807" t="str">
        <f t="shared" si="48"/>
        <v>M</v>
      </c>
      <c r="G807" t="s">
        <v>44</v>
      </c>
      <c r="H807" s="8">
        <v>69.73</v>
      </c>
      <c r="I807" s="3">
        <f t="shared" si="49"/>
        <v>0</v>
      </c>
      <c r="J807" s="4">
        <v>0</v>
      </c>
      <c r="K807" s="11">
        <f>Table1[[#This Row],[original_price]]* (Table1[[#This Row],[Markdown percentage updated]])</f>
        <v>0</v>
      </c>
      <c r="L8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07" s="6">
        <v>69.73</v>
      </c>
      <c r="N8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07" s="7">
        <v>45875</v>
      </c>
      <c r="P807">
        <v>7</v>
      </c>
      <c r="Q807" s="17" t="str">
        <f>IF(Table1[[#This Row],[stock_quantity]]=0,"NO STOCK",
IF(Table1[[#This Row],[stock_quantity]]&lt;=10,"LOW STOCK",
"IN STOCK"))</f>
        <v>LOW STOCK</v>
      </c>
      <c r="R807" s="1">
        <f t="shared" si="50"/>
        <v>1.1000000000000001</v>
      </c>
      <c r="S807">
        <v>1.1000000000000001</v>
      </c>
      <c r="T807" t="b">
        <v>1</v>
      </c>
      <c r="U807" s="13" t="str">
        <f t="shared" si="51"/>
        <v>Color Mismatch</v>
      </c>
      <c r="V807" t="s">
        <v>36</v>
      </c>
    </row>
    <row r="808" spans="1:22" hidden="1" x14ac:dyDescent="0.3">
      <c r="A808" t="s">
        <v>861</v>
      </c>
      <c r="B808" t="s">
        <v>30</v>
      </c>
      <c r="C808" t="s">
        <v>48</v>
      </c>
      <c r="D808" t="s">
        <v>62</v>
      </c>
      <c r="E808" t="str">
        <f t="shared" si="48"/>
        <v>S</v>
      </c>
      <c r="F808" t="s">
        <v>55</v>
      </c>
      <c r="G808" t="s">
        <v>46</v>
      </c>
      <c r="H808" s="8">
        <v>199.03</v>
      </c>
      <c r="I808" s="3">
        <f t="shared" si="49"/>
        <v>0.57299999999999995</v>
      </c>
      <c r="J808" s="4">
        <v>57.3</v>
      </c>
      <c r="K808" s="11">
        <f>Table1[[#This Row],[original_price]]* (Table1[[#This Row],[Markdown percentage updated]])</f>
        <v>114.04418999999999</v>
      </c>
      <c r="L8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08" s="6">
        <v>84.99</v>
      </c>
      <c r="N8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08" s="7">
        <v>45875</v>
      </c>
      <c r="P808">
        <v>37</v>
      </c>
      <c r="Q808" s="16" t="str">
        <f>IF(Table1[[#This Row],[stock_quantity]]=0,"NO STOCK",
IF(Table1[[#This Row],[stock_quantity]]&lt;=10,"LOW STOCK",
"IN STOCK"))</f>
        <v>IN STOCK</v>
      </c>
      <c r="R808" s="1">
        <f t="shared" si="50"/>
        <v>3.4</v>
      </c>
      <c r="S808">
        <v>3.4</v>
      </c>
      <c r="T808" t="b">
        <v>0</v>
      </c>
      <c r="U808" t="str">
        <f t="shared" si="51"/>
        <v>No Return</v>
      </c>
    </row>
    <row r="809" spans="1:22" hidden="1" x14ac:dyDescent="0.3">
      <c r="A809" t="s">
        <v>862</v>
      </c>
      <c r="B809" t="s">
        <v>38</v>
      </c>
      <c r="C809" t="s">
        <v>61</v>
      </c>
      <c r="D809" t="s">
        <v>17</v>
      </c>
      <c r="E809" t="str">
        <f t="shared" si="48"/>
        <v>XL</v>
      </c>
      <c r="F809" t="s">
        <v>58</v>
      </c>
      <c r="G809" t="s">
        <v>35</v>
      </c>
      <c r="H809" s="8">
        <v>82.32</v>
      </c>
      <c r="I809" s="3">
        <f t="shared" si="49"/>
        <v>0.56700000000000006</v>
      </c>
      <c r="J809" s="4">
        <v>56.7</v>
      </c>
      <c r="K809" s="11">
        <f>Table1[[#This Row],[original_price]]* (Table1[[#This Row],[Markdown percentage updated]])</f>
        <v>46.675440000000002</v>
      </c>
      <c r="L8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09" s="6">
        <v>35.64</v>
      </c>
      <c r="N8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09" s="7">
        <v>45649</v>
      </c>
      <c r="P809">
        <v>41</v>
      </c>
      <c r="Q809" s="16" t="str">
        <f>IF(Table1[[#This Row],[stock_quantity]]=0,"NO STOCK",
IF(Table1[[#This Row],[stock_quantity]]&lt;=10,"LOW STOCK",
"IN STOCK"))</f>
        <v>IN STOCK</v>
      </c>
      <c r="R809" s="1">
        <f t="shared" si="50"/>
        <v>0</v>
      </c>
      <c r="T809" t="b">
        <v>0</v>
      </c>
      <c r="U809" t="str">
        <f t="shared" si="51"/>
        <v>No Return</v>
      </c>
    </row>
    <row r="810" spans="1:22" hidden="1" x14ac:dyDescent="0.3">
      <c r="A810" t="s">
        <v>863</v>
      </c>
      <c r="B810" t="s">
        <v>38</v>
      </c>
      <c r="C810" t="s">
        <v>22</v>
      </c>
      <c r="D810" t="s">
        <v>17</v>
      </c>
      <c r="E810" t="str">
        <f t="shared" si="48"/>
        <v>XL</v>
      </c>
      <c r="F810" t="s">
        <v>58</v>
      </c>
      <c r="G810" t="s">
        <v>64</v>
      </c>
      <c r="H810" s="8">
        <v>52.42</v>
      </c>
      <c r="I810" s="3">
        <f t="shared" si="49"/>
        <v>9.9000000000000005E-2</v>
      </c>
      <c r="J810" s="4">
        <v>9.9</v>
      </c>
      <c r="K810" s="11">
        <f>Table1[[#This Row],[original_price]]* (Table1[[#This Row],[Markdown percentage updated]])</f>
        <v>5.1895800000000003</v>
      </c>
      <c r="L8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10" s="6">
        <v>47.23</v>
      </c>
      <c r="N8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810" s="7">
        <v>45581</v>
      </c>
      <c r="P810">
        <v>42</v>
      </c>
      <c r="Q810" s="16" t="str">
        <f>IF(Table1[[#This Row],[stock_quantity]]=0,"NO STOCK",
IF(Table1[[#This Row],[stock_quantity]]&lt;=10,"LOW STOCK",
"IN STOCK"))</f>
        <v>IN STOCK</v>
      </c>
      <c r="R810" s="1">
        <f t="shared" si="50"/>
        <v>3.5</v>
      </c>
      <c r="S810">
        <v>3.5</v>
      </c>
      <c r="T810" t="b">
        <v>0</v>
      </c>
      <c r="U810" t="str">
        <f t="shared" si="51"/>
        <v>No Return</v>
      </c>
    </row>
    <row r="811" spans="1:22" hidden="1" x14ac:dyDescent="0.3">
      <c r="A811" t="s">
        <v>864</v>
      </c>
      <c r="B811" t="s">
        <v>15</v>
      </c>
      <c r="C811" t="s">
        <v>53</v>
      </c>
      <c r="D811" t="s">
        <v>34</v>
      </c>
      <c r="E811" t="str">
        <f t="shared" si="48"/>
        <v>XXL</v>
      </c>
      <c r="F811" t="s">
        <v>39</v>
      </c>
      <c r="G811" t="s">
        <v>35</v>
      </c>
      <c r="H811" s="8">
        <v>180.49</v>
      </c>
      <c r="I811" s="3">
        <f t="shared" si="49"/>
        <v>0</v>
      </c>
      <c r="J811" s="4">
        <v>0</v>
      </c>
      <c r="K811" s="11">
        <f>Table1[[#This Row],[original_price]]* (Table1[[#This Row],[Markdown percentage updated]])</f>
        <v>0</v>
      </c>
      <c r="L8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11" s="6">
        <v>180.49</v>
      </c>
      <c r="N8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11" s="7">
        <v>45875</v>
      </c>
      <c r="P811">
        <v>18</v>
      </c>
      <c r="Q811" s="16" t="str">
        <f>IF(Table1[[#This Row],[stock_quantity]]=0,"NO STOCK",
IF(Table1[[#This Row],[stock_quantity]]&lt;=10,"LOW STOCK",
"IN STOCK"))</f>
        <v>IN STOCK</v>
      </c>
      <c r="R811" s="1">
        <f t="shared" si="50"/>
        <v>2.5</v>
      </c>
      <c r="S811">
        <v>2.5</v>
      </c>
      <c r="T811" t="b">
        <v>1</v>
      </c>
      <c r="U811" s="13" t="str">
        <f t="shared" si="51"/>
        <v>Wrong Item</v>
      </c>
      <c r="V811" t="s">
        <v>125</v>
      </c>
    </row>
    <row r="812" spans="1:22" hidden="1" x14ac:dyDescent="0.3">
      <c r="A812" t="s">
        <v>865</v>
      </c>
      <c r="B812" t="s">
        <v>42</v>
      </c>
      <c r="C812" t="s">
        <v>53</v>
      </c>
      <c r="D812" t="s">
        <v>34</v>
      </c>
      <c r="E812" t="str">
        <f t="shared" si="48"/>
        <v>M</v>
      </c>
      <c r="F812" t="s">
        <v>18</v>
      </c>
      <c r="G812" t="s">
        <v>35</v>
      </c>
      <c r="H812" s="8">
        <v>63.02</v>
      </c>
      <c r="I812" s="3">
        <f t="shared" si="49"/>
        <v>0</v>
      </c>
      <c r="J812" s="4">
        <v>0</v>
      </c>
      <c r="K812" s="11">
        <f>Table1[[#This Row],[original_price]]* (Table1[[#This Row],[Markdown percentage updated]])</f>
        <v>0</v>
      </c>
      <c r="L8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12" s="6">
        <v>63.02</v>
      </c>
      <c r="N8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12" s="7">
        <v>45875</v>
      </c>
      <c r="P812">
        <v>37</v>
      </c>
      <c r="Q812" s="16" t="str">
        <f>IF(Table1[[#This Row],[stock_quantity]]=0,"NO STOCK",
IF(Table1[[#This Row],[stock_quantity]]&lt;=10,"LOW STOCK",
"IN STOCK"))</f>
        <v>IN STOCK</v>
      </c>
      <c r="R812" s="1">
        <f t="shared" si="50"/>
        <v>2.5</v>
      </c>
      <c r="S812">
        <v>2.5</v>
      </c>
      <c r="T812" t="b">
        <v>0</v>
      </c>
      <c r="U812" t="str">
        <f t="shared" si="51"/>
        <v>No Return</v>
      </c>
    </row>
    <row r="813" spans="1:22" hidden="1" x14ac:dyDescent="0.3">
      <c r="A813" t="s">
        <v>866</v>
      </c>
      <c r="B813" t="s">
        <v>21</v>
      </c>
      <c r="C813" t="s">
        <v>43</v>
      </c>
      <c r="D813" t="s">
        <v>17</v>
      </c>
      <c r="E813" t="str">
        <f t="shared" si="48"/>
        <v>L</v>
      </c>
      <c r="F813" t="s">
        <v>18</v>
      </c>
      <c r="G813" t="s">
        <v>19</v>
      </c>
      <c r="H813" s="8">
        <v>97.05</v>
      </c>
      <c r="I813" s="3">
        <f t="shared" si="49"/>
        <v>0</v>
      </c>
      <c r="J813" s="4">
        <v>0</v>
      </c>
      <c r="K813" s="11">
        <f>Table1[[#This Row],[original_price]]* (Table1[[#This Row],[Markdown percentage updated]])</f>
        <v>0</v>
      </c>
      <c r="L8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13" s="6">
        <v>97.05</v>
      </c>
      <c r="N8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13" s="7">
        <v>45651</v>
      </c>
      <c r="P813">
        <v>9</v>
      </c>
      <c r="Q813" s="17" t="str">
        <f>IF(Table1[[#This Row],[stock_quantity]]=0,"NO STOCK",
IF(Table1[[#This Row],[stock_quantity]]&lt;=10,"LOW STOCK",
"IN STOCK"))</f>
        <v>LOW STOCK</v>
      </c>
      <c r="R813" s="1">
        <f t="shared" si="50"/>
        <v>0</v>
      </c>
      <c r="T813" t="b">
        <v>0</v>
      </c>
      <c r="U813" t="str">
        <f t="shared" si="51"/>
        <v>No Return</v>
      </c>
    </row>
    <row r="814" spans="1:22" hidden="1" x14ac:dyDescent="0.3">
      <c r="A814" t="s">
        <v>867</v>
      </c>
      <c r="B814" t="s">
        <v>38</v>
      </c>
      <c r="C814" t="s">
        <v>16</v>
      </c>
      <c r="D814" t="s">
        <v>23</v>
      </c>
      <c r="E814" t="str">
        <f t="shared" si="48"/>
        <v>XS</v>
      </c>
      <c r="F814" t="s">
        <v>49</v>
      </c>
      <c r="G814" t="s">
        <v>25</v>
      </c>
      <c r="H814" s="8">
        <v>79.62</v>
      </c>
      <c r="I814" s="3">
        <f t="shared" si="49"/>
        <v>0</v>
      </c>
      <c r="J814" s="4">
        <v>0</v>
      </c>
      <c r="K814" s="11">
        <f>Table1[[#This Row],[original_price]]* (Table1[[#This Row],[Markdown percentage updated]])</f>
        <v>0</v>
      </c>
      <c r="L8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14" s="6">
        <v>79.62</v>
      </c>
      <c r="N8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14" s="7">
        <v>45875</v>
      </c>
      <c r="P814">
        <v>37</v>
      </c>
      <c r="Q814" s="16" t="str">
        <f>IF(Table1[[#This Row],[stock_quantity]]=0,"NO STOCK",
IF(Table1[[#This Row],[stock_quantity]]&lt;=10,"LOW STOCK",
"IN STOCK"))</f>
        <v>IN STOCK</v>
      </c>
      <c r="R814" s="1">
        <f t="shared" si="50"/>
        <v>4.0999999999999996</v>
      </c>
      <c r="S814">
        <v>4.0999999999999996</v>
      </c>
      <c r="T814" t="b">
        <v>0</v>
      </c>
      <c r="U814" t="str">
        <f t="shared" si="51"/>
        <v>No Return</v>
      </c>
    </row>
    <row r="815" spans="1:22" hidden="1" x14ac:dyDescent="0.3">
      <c r="A815" t="s">
        <v>868</v>
      </c>
      <c r="B815" t="s">
        <v>42</v>
      </c>
      <c r="C815" t="s">
        <v>16</v>
      </c>
      <c r="D815" t="s">
        <v>23</v>
      </c>
      <c r="E815" t="str">
        <f t="shared" si="48"/>
        <v>XS</v>
      </c>
      <c r="F815" t="s">
        <v>58</v>
      </c>
      <c r="G815" t="s">
        <v>19</v>
      </c>
      <c r="H815" s="8">
        <v>82.5</v>
      </c>
      <c r="I815" s="3">
        <f t="shared" si="49"/>
        <v>0</v>
      </c>
      <c r="J815" s="4">
        <v>0</v>
      </c>
      <c r="K815" s="11">
        <f>Table1[[#This Row],[original_price]]* (Table1[[#This Row],[Markdown percentage updated]])</f>
        <v>0</v>
      </c>
      <c r="L8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15" s="6">
        <v>82.5</v>
      </c>
      <c r="N8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15" s="7">
        <v>45875</v>
      </c>
      <c r="P815">
        <v>0</v>
      </c>
      <c r="Q815" s="13" t="str">
        <f>IF(Table1[[#This Row],[stock_quantity]]=0,"NO STOCK",
IF(Table1[[#This Row],[stock_quantity]]&lt;=10,"LOW STOCK",
"IN STOCK"))</f>
        <v>NO STOCK</v>
      </c>
      <c r="R815" s="1">
        <f t="shared" si="50"/>
        <v>0</v>
      </c>
      <c r="T815" t="b">
        <v>0</v>
      </c>
      <c r="U815" t="str">
        <f t="shared" si="51"/>
        <v>No Return</v>
      </c>
    </row>
    <row r="816" spans="1:22" hidden="1" x14ac:dyDescent="0.3">
      <c r="A816" t="s">
        <v>869</v>
      </c>
      <c r="B816" t="s">
        <v>38</v>
      </c>
      <c r="C816" t="s">
        <v>53</v>
      </c>
      <c r="D816" t="s">
        <v>17</v>
      </c>
      <c r="E816" t="str">
        <f t="shared" si="48"/>
        <v>M</v>
      </c>
      <c r="F816" t="s">
        <v>24</v>
      </c>
      <c r="G816" t="s">
        <v>66</v>
      </c>
      <c r="H816" s="8">
        <v>117.18</v>
      </c>
      <c r="I816" s="3">
        <f t="shared" si="49"/>
        <v>0.13699999999999998</v>
      </c>
      <c r="J816" s="4">
        <v>13.7</v>
      </c>
      <c r="K816" s="11">
        <f>Table1[[#This Row],[original_price]]* (Table1[[#This Row],[Markdown percentage updated]])</f>
        <v>16.053660000000001</v>
      </c>
      <c r="L8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16" s="6">
        <v>101.13</v>
      </c>
      <c r="N8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16" s="7">
        <v>45871</v>
      </c>
      <c r="P816">
        <v>5</v>
      </c>
      <c r="Q816" s="17" t="str">
        <f>IF(Table1[[#This Row],[stock_quantity]]=0,"NO STOCK",
IF(Table1[[#This Row],[stock_quantity]]&lt;=10,"LOW STOCK",
"IN STOCK"))</f>
        <v>LOW STOCK</v>
      </c>
      <c r="R816" s="1">
        <f t="shared" si="50"/>
        <v>4.8</v>
      </c>
      <c r="S816">
        <v>4.8</v>
      </c>
      <c r="T816" t="b">
        <v>0</v>
      </c>
      <c r="U816" t="str">
        <f t="shared" si="51"/>
        <v>No Return</v>
      </c>
    </row>
    <row r="817" spans="1:22" hidden="1" x14ac:dyDescent="0.3">
      <c r="A817" t="s">
        <v>870</v>
      </c>
      <c r="B817" t="s">
        <v>15</v>
      </c>
      <c r="C817" t="s">
        <v>53</v>
      </c>
      <c r="D817" t="s">
        <v>17</v>
      </c>
      <c r="E817" t="str">
        <f t="shared" si="48"/>
        <v>OS</v>
      </c>
      <c r="F817" t="s">
        <v>55</v>
      </c>
      <c r="G817" t="s">
        <v>70</v>
      </c>
      <c r="H817" s="8">
        <v>174.05</v>
      </c>
      <c r="I817" s="3">
        <f t="shared" si="49"/>
        <v>0</v>
      </c>
      <c r="J817" s="4">
        <v>0</v>
      </c>
      <c r="K817" s="11">
        <f>Table1[[#This Row],[original_price]]* (Table1[[#This Row],[Markdown percentage updated]])</f>
        <v>0</v>
      </c>
      <c r="L8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17" s="6">
        <v>174.05</v>
      </c>
      <c r="N8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17" s="7">
        <v>45760</v>
      </c>
      <c r="P817">
        <v>9</v>
      </c>
      <c r="Q817" s="17" t="str">
        <f>IF(Table1[[#This Row],[stock_quantity]]=0,"NO STOCK",
IF(Table1[[#This Row],[stock_quantity]]&lt;=10,"LOW STOCK",
"IN STOCK"))</f>
        <v>LOW STOCK</v>
      </c>
      <c r="R817" s="1">
        <f t="shared" si="50"/>
        <v>0</v>
      </c>
      <c r="T817" t="b">
        <v>0</v>
      </c>
      <c r="U817" t="str">
        <f t="shared" si="51"/>
        <v>No Return</v>
      </c>
    </row>
    <row r="818" spans="1:22" hidden="1" x14ac:dyDescent="0.3">
      <c r="A818" t="s">
        <v>871</v>
      </c>
      <c r="B818" t="s">
        <v>38</v>
      </c>
      <c r="C818" t="s">
        <v>75</v>
      </c>
      <c r="D818" t="s">
        <v>17</v>
      </c>
      <c r="E818" t="str">
        <f t="shared" si="48"/>
        <v>L</v>
      </c>
      <c r="F818" t="s">
        <v>55</v>
      </c>
      <c r="G818" t="s">
        <v>70</v>
      </c>
      <c r="H818" s="8">
        <v>58.29</v>
      </c>
      <c r="I818" s="3">
        <f t="shared" si="49"/>
        <v>0</v>
      </c>
      <c r="J818" s="4">
        <v>0</v>
      </c>
      <c r="K818" s="11">
        <f>Table1[[#This Row],[original_price]]* (Table1[[#This Row],[Markdown percentage updated]])</f>
        <v>0</v>
      </c>
      <c r="L8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18" s="6">
        <v>58.29</v>
      </c>
      <c r="N8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18" s="7">
        <v>45664</v>
      </c>
      <c r="P818">
        <v>22</v>
      </c>
      <c r="Q818" s="16" t="str">
        <f>IF(Table1[[#This Row],[stock_quantity]]=0,"NO STOCK",
IF(Table1[[#This Row],[stock_quantity]]&lt;=10,"LOW STOCK",
"IN STOCK"))</f>
        <v>IN STOCK</v>
      </c>
      <c r="R818" s="1">
        <f t="shared" si="50"/>
        <v>2.2999999999999998</v>
      </c>
      <c r="S818">
        <v>2.2999999999999998</v>
      </c>
      <c r="T818" t="b">
        <v>0</v>
      </c>
      <c r="U818" t="str">
        <f t="shared" si="51"/>
        <v>No Return</v>
      </c>
    </row>
    <row r="819" spans="1:22" hidden="1" x14ac:dyDescent="0.3">
      <c r="A819" t="s">
        <v>872</v>
      </c>
      <c r="B819" t="s">
        <v>38</v>
      </c>
      <c r="C819" t="s">
        <v>48</v>
      </c>
      <c r="D819" t="s">
        <v>62</v>
      </c>
      <c r="E819" t="str">
        <f t="shared" si="48"/>
        <v>XXL</v>
      </c>
      <c r="F819" t="s">
        <v>58</v>
      </c>
      <c r="G819" t="s">
        <v>35</v>
      </c>
      <c r="H819" s="8">
        <v>61.42</v>
      </c>
      <c r="I819" s="3">
        <f t="shared" si="49"/>
        <v>0.57499999999999996</v>
      </c>
      <c r="J819" s="4">
        <v>57.5</v>
      </c>
      <c r="K819" s="11">
        <f>Table1[[#This Row],[original_price]]* (Table1[[#This Row],[Markdown percentage updated]])</f>
        <v>35.316499999999998</v>
      </c>
      <c r="L8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19" s="6">
        <v>26.1</v>
      </c>
      <c r="N8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19" s="7">
        <v>45875</v>
      </c>
      <c r="P819">
        <v>3</v>
      </c>
      <c r="Q819" s="17" t="str">
        <f>IF(Table1[[#This Row],[stock_quantity]]=0,"NO STOCK",
IF(Table1[[#This Row],[stock_quantity]]&lt;=10,"LOW STOCK",
"IN STOCK"))</f>
        <v>LOW STOCK</v>
      </c>
      <c r="R819" s="1">
        <f t="shared" si="50"/>
        <v>4.8</v>
      </c>
      <c r="S819">
        <v>4.8</v>
      </c>
      <c r="T819" t="b">
        <v>0</v>
      </c>
      <c r="U819" t="str">
        <f t="shared" si="51"/>
        <v>No Return</v>
      </c>
    </row>
    <row r="820" spans="1:22" hidden="1" x14ac:dyDescent="0.3">
      <c r="A820" t="s">
        <v>873</v>
      </c>
      <c r="B820" t="s">
        <v>27</v>
      </c>
      <c r="C820" t="s">
        <v>16</v>
      </c>
      <c r="D820" t="s">
        <v>23</v>
      </c>
      <c r="E820" t="str">
        <f t="shared" si="48"/>
        <v>OS</v>
      </c>
      <c r="G820" t="s">
        <v>25</v>
      </c>
      <c r="H820" s="8">
        <v>20.239999999999998</v>
      </c>
      <c r="I820" s="3">
        <f t="shared" si="49"/>
        <v>0</v>
      </c>
      <c r="J820" s="4">
        <v>0</v>
      </c>
      <c r="K820" s="11">
        <f>Table1[[#This Row],[original_price]]* (Table1[[#This Row],[Markdown percentage updated]])</f>
        <v>0</v>
      </c>
      <c r="L8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20" s="6">
        <v>20.239999999999998</v>
      </c>
      <c r="N8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20" s="7">
        <v>45875</v>
      </c>
      <c r="P820">
        <v>20</v>
      </c>
      <c r="Q820" s="16" t="str">
        <f>IF(Table1[[#This Row],[stock_quantity]]=0,"NO STOCK",
IF(Table1[[#This Row],[stock_quantity]]&lt;=10,"LOW STOCK",
"IN STOCK"))</f>
        <v>IN STOCK</v>
      </c>
      <c r="R820" s="1">
        <f t="shared" si="50"/>
        <v>4.0999999999999996</v>
      </c>
      <c r="S820">
        <v>4.0999999999999996</v>
      </c>
      <c r="T820" t="b">
        <v>0</v>
      </c>
      <c r="U820" t="str">
        <f t="shared" si="51"/>
        <v>No Return</v>
      </c>
    </row>
    <row r="821" spans="1:22" hidden="1" x14ac:dyDescent="0.3">
      <c r="A821" t="s">
        <v>874</v>
      </c>
      <c r="B821" t="s">
        <v>38</v>
      </c>
      <c r="C821" t="s">
        <v>16</v>
      </c>
      <c r="D821" t="s">
        <v>34</v>
      </c>
      <c r="E821" t="str">
        <f t="shared" si="48"/>
        <v>S</v>
      </c>
      <c r="F821" t="s">
        <v>24</v>
      </c>
      <c r="G821" t="s">
        <v>19</v>
      </c>
      <c r="H821" s="8">
        <v>88.58</v>
      </c>
      <c r="I821" s="3">
        <f t="shared" si="49"/>
        <v>0</v>
      </c>
      <c r="J821" s="4">
        <v>0</v>
      </c>
      <c r="K821" s="11">
        <f>Table1[[#This Row],[original_price]]* (Table1[[#This Row],[Markdown percentage updated]])</f>
        <v>0</v>
      </c>
      <c r="L8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21" s="6">
        <v>88.58</v>
      </c>
      <c r="N8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21" s="7">
        <v>45875</v>
      </c>
      <c r="P821">
        <v>50</v>
      </c>
      <c r="Q821" s="16" t="str">
        <f>IF(Table1[[#This Row],[stock_quantity]]=0,"NO STOCK",
IF(Table1[[#This Row],[stock_quantity]]&lt;=10,"LOW STOCK",
"IN STOCK"))</f>
        <v>IN STOCK</v>
      </c>
      <c r="R821" s="1">
        <f t="shared" si="50"/>
        <v>0</v>
      </c>
      <c r="T821" t="b">
        <v>0</v>
      </c>
      <c r="U821" t="str">
        <f t="shared" si="51"/>
        <v>No Return</v>
      </c>
    </row>
    <row r="822" spans="1:22" hidden="1" x14ac:dyDescent="0.3">
      <c r="A822" t="s">
        <v>875</v>
      </c>
      <c r="B822" t="s">
        <v>38</v>
      </c>
      <c r="C822" t="s">
        <v>53</v>
      </c>
      <c r="D822" t="s">
        <v>23</v>
      </c>
      <c r="E822" t="str">
        <f t="shared" si="48"/>
        <v>XL</v>
      </c>
      <c r="F822" t="s">
        <v>49</v>
      </c>
      <c r="G822" t="s">
        <v>66</v>
      </c>
      <c r="H822" s="8">
        <v>67.92</v>
      </c>
      <c r="I822" s="3">
        <f t="shared" si="49"/>
        <v>0</v>
      </c>
      <c r="J822" s="4">
        <v>0</v>
      </c>
      <c r="K822" s="11">
        <f>Table1[[#This Row],[original_price]]* (Table1[[#This Row],[Markdown percentage updated]])</f>
        <v>0</v>
      </c>
      <c r="L8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22" s="6">
        <v>67.92</v>
      </c>
      <c r="N8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22" s="7">
        <v>45875</v>
      </c>
      <c r="P822">
        <v>23</v>
      </c>
      <c r="Q822" s="16" t="str">
        <f>IF(Table1[[#This Row],[stock_quantity]]=0,"NO STOCK",
IF(Table1[[#This Row],[stock_quantity]]&lt;=10,"LOW STOCK",
"IN STOCK"))</f>
        <v>IN STOCK</v>
      </c>
      <c r="R822" s="1">
        <f t="shared" si="50"/>
        <v>1.8</v>
      </c>
      <c r="S822">
        <v>1.8</v>
      </c>
      <c r="T822" t="b">
        <v>1</v>
      </c>
      <c r="U822" s="13" t="str">
        <f t="shared" si="51"/>
        <v>Size Issue</v>
      </c>
      <c r="V822" t="s">
        <v>73</v>
      </c>
    </row>
    <row r="823" spans="1:22" hidden="1" x14ac:dyDescent="0.3">
      <c r="A823" t="s">
        <v>876</v>
      </c>
      <c r="B823" t="s">
        <v>27</v>
      </c>
      <c r="C823" t="s">
        <v>53</v>
      </c>
      <c r="D823" t="s">
        <v>34</v>
      </c>
      <c r="E823" t="str">
        <f t="shared" si="48"/>
        <v>L</v>
      </c>
      <c r="G823" t="s">
        <v>35</v>
      </c>
      <c r="H823" s="8">
        <v>25.39</v>
      </c>
      <c r="I823" s="3">
        <f t="shared" si="49"/>
        <v>0</v>
      </c>
      <c r="J823" s="4">
        <v>0</v>
      </c>
      <c r="K823" s="11">
        <f>Table1[[#This Row],[original_price]]* (Table1[[#This Row],[Markdown percentage updated]])</f>
        <v>0</v>
      </c>
      <c r="L8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23" s="6">
        <v>25.39</v>
      </c>
      <c r="N8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23" s="7">
        <v>45875</v>
      </c>
      <c r="P823">
        <v>42</v>
      </c>
      <c r="Q823" s="16" t="str">
        <f>IF(Table1[[#This Row],[stock_quantity]]=0,"NO STOCK",
IF(Table1[[#This Row],[stock_quantity]]&lt;=10,"LOW STOCK",
"IN STOCK"))</f>
        <v>IN STOCK</v>
      </c>
      <c r="R823" s="1">
        <f t="shared" si="50"/>
        <v>1.8</v>
      </c>
      <c r="S823">
        <v>1.8</v>
      </c>
      <c r="T823" t="b">
        <v>0</v>
      </c>
      <c r="U823" t="str">
        <f t="shared" si="51"/>
        <v>No Return</v>
      </c>
    </row>
    <row r="824" spans="1:22" hidden="1" x14ac:dyDescent="0.3">
      <c r="A824" t="s">
        <v>877</v>
      </c>
      <c r="B824" t="s">
        <v>42</v>
      </c>
      <c r="C824" t="s">
        <v>75</v>
      </c>
      <c r="D824" t="s">
        <v>23</v>
      </c>
      <c r="E824" t="str">
        <f t="shared" si="48"/>
        <v>OS</v>
      </c>
      <c r="F824" t="s">
        <v>39</v>
      </c>
      <c r="G824" t="s">
        <v>28</v>
      </c>
      <c r="H824" s="8">
        <v>115.89</v>
      </c>
      <c r="I824" s="3">
        <f t="shared" si="49"/>
        <v>0.39399999999999996</v>
      </c>
      <c r="J824" s="4">
        <v>39.4</v>
      </c>
      <c r="K824" s="11">
        <f>Table1[[#This Row],[original_price]]* (Table1[[#This Row],[Markdown percentage updated]])</f>
        <v>45.660659999999993</v>
      </c>
      <c r="L8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24" s="6">
        <v>70.23</v>
      </c>
      <c r="N8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24" s="7">
        <v>45875</v>
      </c>
      <c r="P824">
        <v>14</v>
      </c>
      <c r="Q824" s="16" t="str">
        <f>IF(Table1[[#This Row],[stock_quantity]]=0,"NO STOCK",
IF(Table1[[#This Row],[stock_quantity]]&lt;=10,"LOW STOCK",
"IN STOCK"))</f>
        <v>IN STOCK</v>
      </c>
      <c r="R824" s="1">
        <f t="shared" si="50"/>
        <v>3.8</v>
      </c>
      <c r="S824">
        <v>3.8</v>
      </c>
      <c r="T824" t="b">
        <v>1</v>
      </c>
      <c r="U824" s="13" t="str">
        <f t="shared" si="51"/>
        <v>Damaged</v>
      </c>
      <c r="V824" t="s">
        <v>78</v>
      </c>
    </row>
    <row r="825" spans="1:22" x14ac:dyDescent="0.3">
      <c r="A825" t="s">
        <v>878</v>
      </c>
      <c r="B825" t="s">
        <v>38</v>
      </c>
      <c r="C825" t="s">
        <v>75</v>
      </c>
      <c r="D825" t="s">
        <v>62</v>
      </c>
      <c r="E825" t="str">
        <f t="shared" si="48"/>
        <v>S</v>
      </c>
      <c r="F825" t="s">
        <v>18</v>
      </c>
      <c r="G825" t="s">
        <v>44</v>
      </c>
      <c r="H825" s="8">
        <v>103.94</v>
      </c>
      <c r="I825" s="3">
        <f t="shared" si="49"/>
        <v>0.161</v>
      </c>
      <c r="J825" s="4">
        <v>16.100000000000001</v>
      </c>
      <c r="K825" s="11">
        <f>Table1[[#This Row],[original_price]]* (Table1[[#This Row],[Markdown percentage updated]])</f>
        <v>16.73434</v>
      </c>
      <c r="L8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25" s="6">
        <v>87.21</v>
      </c>
      <c r="N8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25" s="7">
        <v>45875</v>
      </c>
      <c r="P825">
        <v>6</v>
      </c>
      <c r="Q825" s="17" t="str">
        <f>IF(Table1[[#This Row],[stock_quantity]]=0,"NO STOCK",
IF(Table1[[#This Row],[stock_quantity]]&lt;=10,"LOW STOCK",
"IN STOCK"))</f>
        <v>LOW STOCK</v>
      </c>
      <c r="R825" s="1">
        <f t="shared" si="50"/>
        <v>4.9000000000000004</v>
      </c>
      <c r="S825">
        <v>4.9000000000000004</v>
      </c>
      <c r="T825" t="b">
        <v>1</v>
      </c>
      <c r="U825" s="13" t="str">
        <f t="shared" si="51"/>
        <v>Changed Mind</v>
      </c>
      <c r="V825" t="s">
        <v>115</v>
      </c>
    </row>
    <row r="826" spans="1:22" hidden="1" x14ac:dyDescent="0.3">
      <c r="A826" t="s">
        <v>879</v>
      </c>
      <c r="B826" t="s">
        <v>30</v>
      </c>
      <c r="C826" t="s">
        <v>61</v>
      </c>
      <c r="D826" t="s">
        <v>23</v>
      </c>
      <c r="E826" t="str">
        <f t="shared" si="48"/>
        <v>XXL</v>
      </c>
      <c r="F826" t="s">
        <v>24</v>
      </c>
      <c r="G826" t="s">
        <v>19</v>
      </c>
      <c r="H826" s="8">
        <v>94.72</v>
      </c>
      <c r="I826" s="3">
        <f t="shared" si="49"/>
        <v>0.20499999999999999</v>
      </c>
      <c r="J826" s="4">
        <v>20.5</v>
      </c>
      <c r="K826" s="11">
        <f>Table1[[#This Row],[original_price]]* (Table1[[#This Row],[Markdown percentage updated]])</f>
        <v>19.4176</v>
      </c>
      <c r="L8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826" s="6">
        <v>75.3</v>
      </c>
      <c r="N8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26" s="7">
        <v>45875</v>
      </c>
      <c r="P826">
        <v>24</v>
      </c>
      <c r="Q826" s="16" t="str">
        <f>IF(Table1[[#This Row],[stock_quantity]]=0,"NO STOCK",
IF(Table1[[#This Row],[stock_quantity]]&lt;=10,"LOW STOCK",
"IN STOCK"))</f>
        <v>IN STOCK</v>
      </c>
      <c r="R826" s="1">
        <f t="shared" si="50"/>
        <v>3.6</v>
      </c>
      <c r="S826">
        <v>3.6</v>
      </c>
      <c r="T826" t="b">
        <v>0</v>
      </c>
      <c r="U826" t="str">
        <f t="shared" si="51"/>
        <v>No Return</v>
      </c>
    </row>
    <row r="827" spans="1:22" hidden="1" x14ac:dyDescent="0.3">
      <c r="A827" t="s">
        <v>880</v>
      </c>
      <c r="B827" t="s">
        <v>27</v>
      </c>
      <c r="C827" t="s">
        <v>53</v>
      </c>
      <c r="D827" t="s">
        <v>34</v>
      </c>
      <c r="E827" t="str">
        <f t="shared" si="48"/>
        <v>XL</v>
      </c>
      <c r="G827" t="s">
        <v>25</v>
      </c>
      <c r="H827" s="8">
        <v>23.28</v>
      </c>
      <c r="I827" s="3">
        <f t="shared" si="49"/>
        <v>0</v>
      </c>
      <c r="J827" s="4">
        <v>0</v>
      </c>
      <c r="K827" s="11">
        <f>Table1[[#This Row],[original_price]]* (Table1[[#This Row],[Markdown percentage updated]])</f>
        <v>0</v>
      </c>
      <c r="L8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27" s="6">
        <v>23.28</v>
      </c>
      <c r="N8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27" s="7">
        <v>45875</v>
      </c>
      <c r="P827">
        <v>44</v>
      </c>
      <c r="Q827" s="16" t="str">
        <f>IF(Table1[[#This Row],[stock_quantity]]=0,"NO STOCK",
IF(Table1[[#This Row],[stock_quantity]]&lt;=10,"LOW STOCK",
"IN STOCK"))</f>
        <v>IN STOCK</v>
      </c>
      <c r="R827" s="1">
        <f t="shared" si="50"/>
        <v>3.1</v>
      </c>
      <c r="S827">
        <v>3.1</v>
      </c>
      <c r="T827" t="b">
        <v>1</v>
      </c>
      <c r="U827" s="13" t="str">
        <f t="shared" si="51"/>
        <v>Quality Issue</v>
      </c>
      <c r="V827" t="s">
        <v>83</v>
      </c>
    </row>
    <row r="828" spans="1:22" hidden="1" x14ac:dyDescent="0.3">
      <c r="A828" t="s">
        <v>881</v>
      </c>
      <c r="B828" t="s">
        <v>21</v>
      </c>
      <c r="C828" t="s">
        <v>61</v>
      </c>
      <c r="D828" t="s">
        <v>62</v>
      </c>
      <c r="E828" t="str">
        <f t="shared" si="48"/>
        <v>OS</v>
      </c>
      <c r="F828" t="s">
        <v>39</v>
      </c>
      <c r="G828" t="s">
        <v>25</v>
      </c>
      <c r="H828" s="8">
        <v>90.73</v>
      </c>
      <c r="I828" s="3">
        <f t="shared" si="49"/>
        <v>0</v>
      </c>
      <c r="J828" s="4">
        <v>0</v>
      </c>
      <c r="K828" s="11">
        <f>Table1[[#This Row],[original_price]]* (Table1[[#This Row],[Markdown percentage updated]])</f>
        <v>0</v>
      </c>
      <c r="L8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28" s="6">
        <v>90.73</v>
      </c>
      <c r="N8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28" s="7">
        <v>45875</v>
      </c>
      <c r="P828">
        <v>14</v>
      </c>
      <c r="Q828" s="16" t="str">
        <f>IF(Table1[[#This Row],[stock_quantity]]=0,"NO STOCK",
IF(Table1[[#This Row],[stock_quantity]]&lt;=10,"LOW STOCK",
"IN STOCK"))</f>
        <v>IN STOCK</v>
      </c>
      <c r="R828" s="1">
        <f t="shared" si="50"/>
        <v>1.1000000000000001</v>
      </c>
      <c r="S828">
        <v>1.1000000000000001</v>
      </c>
      <c r="T828" t="b">
        <v>0</v>
      </c>
      <c r="U828" t="str">
        <f t="shared" si="51"/>
        <v>No Return</v>
      </c>
    </row>
    <row r="829" spans="1:22" hidden="1" x14ac:dyDescent="0.3">
      <c r="A829" t="s">
        <v>882</v>
      </c>
      <c r="B829" t="s">
        <v>38</v>
      </c>
      <c r="C829" t="s">
        <v>48</v>
      </c>
      <c r="D829" t="s">
        <v>34</v>
      </c>
      <c r="E829" t="str">
        <f t="shared" si="48"/>
        <v>OS</v>
      </c>
      <c r="F829" t="s">
        <v>49</v>
      </c>
      <c r="G829" t="s">
        <v>46</v>
      </c>
      <c r="H829" s="8">
        <v>25.74</v>
      </c>
      <c r="I829" s="3">
        <f t="shared" si="49"/>
        <v>0</v>
      </c>
      <c r="J829" s="4">
        <v>0</v>
      </c>
      <c r="K829" s="11">
        <f>Table1[[#This Row],[original_price]]* (Table1[[#This Row],[Markdown percentage updated]])</f>
        <v>0</v>
      </c>
      <c r="L8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29" s="6">
        <v>25.74</v>
      </c>
      <c r="N8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29" s="7">
        <v>45875</v>
      </c>
      <c r="P829">
        <v>33</v>
      </c>
      <c r="Q829" s="16" t="str">
        <f>IF(Table1[[#This Row],[stock_quantity]]=0,"NO STOCK",
IF(Table1[[#This Row],[stock_quantity]]&lt;=10,"LOW STOCK",
"IN STOCK"))</f>
        <v>IN STOCK</v>
      </c>
      <c r="R829" s="1">
        <f t="shared" si="50"/>
        <v>1.1000000000000001</v>
      </c>
      <c r="S829">
        <v>1.1000000000000001</v>
      </c>
      <c r="T829" t="b">
        <v>1</v>
      </c>
      <c r="U829" s="13" t="str">
        <f t="shared" si="51"/>
        <v>Color Mismatch</v>
      </c>
      <c r="V829" t="s">
        <v>36</v>
      </c>
    </row>
    <row r="830" spans="1:22" hidden="1" x14ac:dyDescent="0.3">
      <c r="A830" t="s">
        <v>883</v>
      </c>
      <c r="B830" t="s">
        <v>30</v>
      </c>
      <c r="C830" t="s">
        <v>53</v>
      </c>
      <c r="D830" t="s">
        <v>17</v>
      </c>
      <c r="E830" t="str">
        <f t="shared" si="48"/>
        <v>XXL</v>
      </c>
      <c r="F830" t="s">
        <v>18</v>
      </c>
      <c r="G830" t="s">
        <v>40</v>
      </c>
      <c r="H830" s="8">
        <v>162.97</v>
      </c>
      <c r="I830" s="3">
        <f t="shared" si="49"/>
        <v>0</v>
      </c>
      <c r="J830" s="4">
        <v>0</v>
      </c>
      <c r="K830" s="11">
        <f>Table1[[#This Row],[original_price]]* (Table1[[#This Row],[Markdown percentage updated]])</f>
        <v>0</v>
      </c>
      <c r="L8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30" s="6">
        <v>162.97</v>
      </c>
      <c r="N8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30" s="7">
        <v>45618</v>
      </c>
      <c r="P830">
        <v>47</v>
      </c>
      <c r="Q830" s="16" t="str">
        <f>IF(Table1[[#This Row],[stock_quantity]]=0,"NO STOCK",
IF(Table1[[#This Row],[stock_quantity]]&lt;=10,"LOW STOCK",
"IN STOCK"))</f>
        <v>IN STOCK</v>
      </c>
      <c r="R830" s="1">
        <f t="shared" si="50"/>
        <v>2.2000000000000002</v>
      </c>
      <c r="S830">
        <v>2.2000000000000002</v>
      </c>
      <c r="T830" t="b">
        <v>1</v>
      </c>
      <c r="U830" s="13" t="str">
        <f t="shared" si="51"/>
        <v>Wrong Item</v>
      </c>
      <c r="V830" t="s">
        <v>125</v>
      </c>
    </row>
    <row r="831" spans="1:22" hidden="1" x14ac:dyDescent="0.3">
      <c r="A831" t="s">
        <v>884</v>
      </c>
      <c r="B831" t="s">
        <v>27</v>
      </c>
      <c r="C831" t="s">
        <v>48</v>
      </c>
      <c r="D831" t="s">
        <v>23</v>
      </c>
      <c r="E831" t="str">
        <f t="shared" si="48"/>
        <v>L</v>
      </c>
      <c r="G831" t="s">
        <v>28</v>
      </c>
      <c r="H831" s="8">
        <v>50.33</v>
      </c>
      <c r="I831" s="3">
        <f t="shared" si="49"/>
        <v>8.6999999999999994E-2</v>
      </c>
      <c r="J831" s="4">
        <v>8.6999999999999993</v>
      </c>
      <c r="K831" s="11">
        <f>Table1[[#This Row],[original_price]]* (Table1[[#This Row],[Markdown percentage updated]])</f>
        <v>4.3787099999999999</v>
      </c>
      <c r="L8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31" s="6">
        <v>45.95</v>
      </c>
      <c r="N8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831" s="7">
        <v>45875</v>
      </c>
      <c r="P831">
        <v>14</v>
      </c>
      <c r="Q831" s="16" t="str">
        <f>IF(Table1[[#This Row],[stock_quantity]]=0,"NO STOCK",
IF(Table1[[#This Row],[stock_quantity]]&lt;=10,"LOW STOCK",
"IN STOCK"))</f>
        <v>IN STOCK</v>
      </c>
      <c r="R831" s="1">
        <f t="shared" si="50"/>
        <v>1.3</v>
      </c>
      <c r="S831">
        <v>1.3</v>
      </c>
      <c r="T831" t="b">
        <v>0</v>
      </c>
      <c r="U831" t="str">
        <f t="shared" si="51"/>
        <v>No Return</v>
      </c>
    </row>
    <row r="832" spans="1:22" hidden="1" x14ac:dyDescent="0.3">
      <c r="A832" t="s">
        <v>885</v>
      </c>
      <c r="B832" t="s">
        <v>30</v>
      </c>
      <c r="C832" t="s">
        <v>22</v>
      </c>
      <c r="D832" t="s">
        <v>17</v>
      </c>
      <c r="E832" t="str">
        <f t="shared" si="48"/>
        <v>S</v>
      </c>
      <c r="G832" t="s">
        <v>25</v>
      </c>
      <c r="H832" s="8">
        <v>60.38</v>
      </c>
      <c r="I832" s="3">
        <f t="shared" si="49"/>
        <v>0</v>
      </c>
      <c r="J832" s="4">
        <v>0</v>
      </c>
      <c r="K832" s="11">
        <f>Table1[[#This Row],[original_price]]* (Table1[[#This Row],[Markdown percentage updated]])</f>
        <v>0</v>
      </c>
      <c r="L8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32" s="6">
        <v>60.38</v>
      </c>
      <c r="N8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32" s="7">
        <v>45776</v>
      </c>
      <c r="P832">
        <v>0</v>
      </c>
      <c r="Q832" s="13" t="str">
        <f>IF(Table1[[#This Row],[stock_quantity]]=0,"NO STOCK",
IF(Table1[[#This Row],[stock_quantity]]&lt;=10,"LOW STOCK",
"IN STOCK"))</f>
        <v>NO STOCK</v>
      </c>
      <c r="R832" s="1">
        <f t="shared" si="50"/>
        <v>0</v>
      </c>
      <c r="T832" t="b">
        <v>0</v>
      </c>
      <c r="U832" t="str">
        <f t="shared" si="51"/>
        <v>No Return</v>
      </c>
    </row>
    <row r="833" spans="1:22" hidden="1" x14ac:dyDescent="0.3">
      <c r="A833" t="s">
        <v>886</v>
      </c>
      <c r="B833" t="s">
        <v>21</v>
      </c>
      <c r="C833" t="s">
        <v>22</v>
      </c>
      <c r="D833" t="s">
        <v>62</v>
      </c>
      <c r="E833" t="str">
        <f t="shared" si="48"/>
        <v>XS</v>
      </c>
      <c r="F833" t="s">
        <v>49</v>
      </c>
      <c r="G833" t="s">
        <v>28</v>
      </c>
      <c r="H833" s="8">
        <v>103.65</v>
      </c>
      <c r="I833" s="3">
        <f t="shared" si="49"/>
        <v>0</v>
      </c>
      <c r="J833" s="4">
        <v>0</v>
      </c>
      <c r="K833" s="11">
        <f>Table1[[#This Row],[original_price]]* (Table1[[#This Row],[Markdown percentage updated]])</f>
        <v>0</v>
      </c>
      <c r="L8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33" s="6">
        <v>103.65</v>
      </c>
      <c r="N8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33" s="7">
        <v>45875</v>
      </c>
      <c r="P833">
        <v>29</v>
      </c>
      <c r="Q833" s="16" t="str">
        <f>IF(Table1[[#This Row],[stock_quantity]]=0,"NO STOCK",
IF(Table1[[#This Row],[stock_quantity]]&lt;=10,"LOW STOCK",
"IN STOCK"))</f>
        <v>IN STOCK</v>
      </c>
      <c r="R833" s="1">
        <f t="shared" si="50"/>
        <v>3.7</v>
      </c>
      <c r="S833">
        <v>3.7</v>
      </c>
      <c r="T833" t="b">
        <v>0</v>
      </c>
      <c r="U833" t="str">
        <f t="shared" si="51"/>
        <v>No Return</v>
      </c>
    </row>
    <row r="834" spans="1:22" x14ac:dyDescent="0.3">
      <c r="A834" t="s">
        <v>887</v>
      </c>
      <c r="B834" t="s">
        <v>38</v>
      </c>
      <c r="C834" t="s">
        <v>61</v>
      </c>
      <c r="D834" t="s">
        <v>17</v>
      </c>
      <c r="E834" t="str">
        <f t="shared" ref="E834:E897" si="52">IF(ISBLANK(F837),"OS",F837)</f>
        <v>XS</v>
      </c>
      <c r="F834" t="s">
        <v>24</v>
      </c>
      <c r="G834" t="s">
        <v>56</v>
      </c>
      <c r="H834" s="8">
        <v>75.14</v>
      </c>
      <c r="I834" s="3">
        <f t="shared" ref="I834:I897" si="53">J834/100</f>
        <v>0</v>
      </c>
      <c r="J834" s="4">
        <v>0</v>
      </c>
      <c r="K834" s="11">
        <f>Table1[[#This Row],[original_price]]* (Table1[[#This Row],[Markdown percentage updated]])</f>
        <v>0</v>
      </c>
      <c r="L8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34" s="6">
        <v>75.14</v>
      </c>
      <c r="N8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34" s="7">
        <v>45684</v>
      </c>
      <c r="P834">
        <v>41</v>
      </c>
      <c r="Q834" s="16" t="str">
        <f>IF(Table1[[#This Row],[stock_quantity]]=0,"NO STOCK",
IF(Table1[[#This Row],[stock_quantity]]&lt;=10,"LOW STOCK",
"IN STOCK"))</f>
        <v>IN STOCK</v>
      </c>
      <c r="R834" s="1">
        <f t="shared" si="50"/>
        <v>0</v>
      </c>
      <c r="T834" t="b">
        <v>1</v>
      </c>
      <c r="U834" s="13" t="str">
        <f t="shared" si="51"/>
        <v>Changed Mind</v>
      </c>
      <c r="V834" t="s">
        <v>115</v>
      </c>
    </row>
    <row r="835" spans="1:22" hidden="1" x14ac:dyDescent="0.3">
      <c r="A835" t="s">
        <v>888</v>
      </c>
      <c r="B835" t="s">
        <v>30</v>
      </c>
      <c r="C835" t="s">
        <v>48</v>
      </c>
      <c r="D835" t="s">
        <v>23</v>
      </c>
      <c r="E835" t="str">
        <f t="shared" si="52"/>
        <v>XXL</v>
      </c>
      <c r="F835" t="s">
        <v>39</v>
      </c>
      <c r="G835" t="s">
        <v>25</v>
      </c>
      <c r="H835" s="8">
        <v>88</v>
      </c>
      <c r="I835" s="3">
        <f t="shared" si="53"/>
        <v>0</v>
      </c>
      <c r="J835" s="4">
        <v>0</v>
      </c>
      <c r="K835" s="11">
        <f>Table1[[#This Row],[original_price]]* (Table1[[#This Row],[Markdown percentage updated]])</f>
        <v>0</v>
      </c>
      <c r="L8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35" s="6">
        <v>88</v>
      </c>
      <c r="N8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35" s="7">
        <v>45875</v>
      </c>
      <c r="P835">
        <v>2</v>
      </c>
      <c r="Q835" s="17" t="str">
        <f>IF(Table1[[#This Row],[stock_quantity]]=0,"NO STOCK",
IF(Table1[[#This Row],[stock_quantity]]&lt;=10,"LOW STOCK",
"IN STOCK"))</f>
        <v>LOW STOCK</v>
      </c>
      <c r="R835" s="1">
        <f t="shared" ref="R835:R898" si="54">IF(ISBLANK(S835), 0, S835)</f>
        <v>1.9</v>
      </c>
      <c r="S835">
        <v>1.9</v>
      </c>
      <c r="T835" t="b">
        <v>0</v>
      </c>
      <c r="U835" t="str">
        <f t="shared" ref="U835:U898" si="55">IF(V835="","No Return",V835)</f>
        <v>No Return</v>
      </c>
    </row>
    <row r="836" spans="1:22" hidden="1" x14ac:dyDescent="0.3">
      <c r="A836" t="s">
        <v>889</v>
      </c>
      <c r="B836" t="s">
        <v>42</v>
      </c>
      <c r="C836" t="s">
        <v>53</v>
      </c>
      <c r="D836" t="s">
        <v>23</v>
      </c>
      <c r="E836" t="str">
        <f t="shared" si="52"/>
        <v>XS</v>
      </c>
      <c r="F836" t="s">
        <v>55</v>
      </c>
      <c r="G836" t="s">
        <v>19</v>
      </c>
      <c r="H836" s="8">
        <v>69.540000000000006</v>
      </c>
      <c r="I836" s="3">
        <f t="shared" si="53"/>
        <v>0</v>
      </c>
      <c r="J836" s="4">
        <v>0</v>
      </c>
      <c r="K836" s="11">
        <f>Table1[[#This Row],[original_price]]* (Table1[[#This Row],[Markdown percentage updated]])</f>
        <v>0</v>
      </c>
      <c r="L8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36" s="6">
        <v>69.540000000000006</v>
      </c>
      <c r="N8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36" s="7">
        <v>45875</v>
      </c>
      <c r="P836">
        <v>21</v>
      </c>
      <c r="Q836" s="16" t="str">
        <f>IF(Table1[[#This Row],[stock_quantity]]=0,"NO STOCK",
IF(Table1[[#This Row],[stock_quantity]]&lt;=10,"LOW STOCK",
"IN STOCK"))</f>
        <v>IN STOCK</v>
      </c>
      <c r="R836" s="1">
        <f t="shared" si="54"/>
        <v>0</v>
      </c>
      <c r="T836" t="b">
        <v>0</v>
      </c>
      <c r="U836" t="str">
        <f t="shared" si="55"/>
        <v>No Return</v>
      </c>
    </row>
    <row r="837" spans="1:22" hidden="1" x14ac:dyDescent="0.3">
      <c r="A837" t="s">
        <v>890</v>
      </c>
      <c r="B837" t="s">
        <v>15</v>
      </c>
      <c r="C837" t="s">
        <v>43</v>
      </c>
      <c r="D837" t="s">
        <v>23</v>
      </c>
      <c r="E837" t="str">
        <f t="shared" si="52"/>
        <v>XL</v>
      </c>
      <c r="F837" t="s">
        <v>55</v>
      </c>
      <c r="G837" t="s">
        <v>25</v>
      </c>
      <c r="H837" s="8">
        <v>209.52</v>
      </c>
      <c r="I837" s="3">
        <f t="shared" si="53"/>
        <v>0</v>
      </c>
      <c r="J837" s="4">
        <v>0</v>
      </c>
      <c r="K837" s="11">
        <f>Table1[[#This Row],[original_price]]* (Table1[[#This Row],[Markdown percentage updated]])</f>
        <v>0</v>
      </c>
      <c r="L8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37" s="6">
        <v>209.52</v>
      </c>
      <c r="N8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37" s="7">
        <v>45875</v>
      </c>
      <c r="P837">
        <v>48</v>
      </c>
      <c r="Q837" s="16" t="str">
        <f>IF(Table1[[#This Row],[stock_quantity]]=0,"NO STOCK",
IF(Table1[[#This Row],[stock_quantity]]&lt;=10,"LOW STOCK",
"IN STOCK"))</f>
        <v>IN STOCK</v>
      </c>
      <c r="R837" s="1">
        <f t="shared" si="54"/>
        <v>2.6</v>
      </c>
      <c r="S837">
        <v>2.6</v>
      </c>
      <c r="T837" t="b">
        <v>0</v>
      </c>
      <c r="U837" t="str">
        <f t="shared" si="55"/>
        <v>No Return</v>
      </c>
    </row>
    <row r="838" spans="1:22" hidden="1" x14ac:dyDescent="0.3">
      <c r="A838" t="s">
        <v>891</v>
      </c>
      <c r="B838" t="s">
        <v>30</v>
      </c>
      <c r="C838" t="s">
        <v>48</v>
      </c>
      <c r="D838" t="s">
        <v>34</v>
      </c>
      <c r="E838" t="str">
        <f t="shared" si="52"/>
        <v>OS</v>
      </c>
      <c r="F838" t="s">
        <v>49</v>
      </c>
      <c r="G838" t="s">
        <v>56</v>
      </c>
      <c r="H838" s="8">
        <v>97.42</v>
      </c>
      <c r="I838" s="3">
        <f t="shared" si="53"/>
        <v>0</v>
      </c>
      <c r="J838" s="4">
        <v>0</v>
      </c>
      <c r="K838" s="11">
        <f>Table1[[#This Row],[original_price]]* (Table1[[#This Row],[Markdown percentage updated]])</f>
        <v>0</v>
      </c>
      <c r="L8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38" s="6">
        <v>97.42</v>
      </c>
      <c r="N8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38" s="7">
        <v>45875</v>
      </c>
      <c r="P838">
        <v>35</v>
      </c>
      <c r="Q838" s="16" t="str">
        <f>IF(Table1[[#This Row],[stock_quantity]]=0,"NO STOCK",
IF(Table1[[#This Row],[stock_quantity]]&lt;=10,"LOW STOCK",
"IN STOCK"))</f>
        <v>IN STOCK</v>
      </c>
      <c r="R838" s="1">
        <f t="shared" si="54"/>
        <v>2</v>
      </c>
      <c r="S838">
        <v>2</v>
      </c>
      <c r="T838" t="b">
        <v>0</v>
      </c>
      <c r="U838" t="str">
        <f t="shared" si="55"/>
        <v>No Return</v>
      </c>
    </row>
    <row r="839" spans="1:22" x14ac:dyDescent="0.3">
      <c r="A839" t="s">
        <v>892</v>
      </c>
      <c r="B839" t="s">
        <v>42</v>
      </c>
      <c r="C839" t="s">
        <v>22</v>
      </c>
      <c r="D839" t="s">
        <v>23</v>
      </c>
      <c r="E839" t="str">
        <f t="shared" si="52"/>
        <v>S</v>
      </c>
      <c r="F839" t="s">
        <v>55</v>
      </c>
      <c r="G839" t="s">
        <v>35</v>
      </c>
      <c r="H839" s="8">
        <v>154.6</v>
      </c>
      <c r="I839" s="3">
        <f t="shared" si="53"/>
        <v>0</v>
      </c>
      <c r="J839" s="4">
        <v>0</v>
      </c>
      <c r="K839" s="11">
        <f>Table1[[#This Row],[original_price]]* (Table1[[#This Row],[Markdown percentage updated]])</f>
        <v>0</v>
      </c>
      <c r="L8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39" s="6">
        <v>154.6</v>
      </c>
      <c r="N8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39" s="7">
        <v>45875</v>
      </c>
      <c r="P839">
        <v>38</v>
      </c>
      <c r="Q839" s="16" t="str">
        <f>IF(Table1[[#This Row],[stock_quantity]]=0,"NO STOCK",
IF(Table1[[#This Row],[stock_quantity]]&lt;=10,"LOW STOCK",
"IN STOCK"))</f>
        <v>IN STOCK</v>
      </c>
      <c r="R839" s="1">
        <f t="shared" si="54"/>
        <v>4.5</v>
      </c>
      <c r="S839">
        <v>4.5</v>
      </c>
      <c r="T839" t="b">
        <v>1</v>
      </c>
      <c r="U839" s="13" t="str">
        <f t="shared" si="55"/>
        <v>Changed Mind</v>
      </c>
      <c r="V839" t="s">
        <v>115</v>
      </c>
    </row>
    <row r="840" spans="1:22" hidden="1" x14ac:dyDescent="0.3">
      <c r="A840" t="s">
        <v>893</v>
      </c>
      <c r="B840" t="s">
        <v>38</v>
      </c>
      <c r="C840" t="s">
        <v>16</v>
      </c>
      <c r="D840" t="s">
        <v>62</v>
      </c>
      <c r="E840" t="str">
        <f t="shared" si="52"/>
        <v>S</v>
      </c>
      <c r="F840" t="s">
        <v>18</v>
      </c>
      <c r="G840" t="s">
        <v>35</v>
      </c>
      <c r="H840" s="8">
        <v>81.59</v>
      </c>
      <c r="I840" s="3">
        <f t="shared" si="53"/>
        <v>0.38</v>
      </c>
      <c r="J840" s="4">
        <v>38</v>
      </c>
      <c r="K840" s="11">
        <f>Table1[[#This Row],[original_price]]* (Table1[[#This Row],[Markdown percentage updated]])</f>
        <v>31.004200000000001</v>
      </c>
      <c r="L8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40" s="6">
        <v>50.59</v>
      </c>
      <c r="N8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40" s="7">
        <v>45875</v>
      </c>
      <c r="P840">
        <v>31</v>
      </c>
      <c r="Q840" s="16" t="str">
        <f>IF(Table1[[#This Row],[stock_quantity]]=0,"NO STOCK",
IF(Table1[[#This Row],[stock_quantity]]&lt;=10,"LOW STOCK",
"IN STOCK"))</f>
        <v>IN STOCK</v>
      </c>
      <c r="R840" s="1">
        <f t="shared" si="54"/>
        <v>1.2</v>
      </c>
      <c r="S840">
        <v>1.2</v>
      </c>
      <c r="T840" t="b">
        <v>0</v>
      </c>
      <c r="U840" t="str">
        <f t="shared" si="55"/>
        <v>No Return</v>
      </c>
    </row>
    <row r="841" spans="1:22" hidden="1" x14ac:dyDescent="0.3">
      <c r="A841" t="s">
        <v>894</v>
      </c>
      <c r="B841" t="s">
        <v>27</v>
      </c>
      <c r="C841" t="s">
        <v>43</v>
      </c>
      <c r="D841" t="s">
        <v>23</v>
      </c>
      <c r="E841" t="str">
        <f t="shared" si="52"/>
        <v>L</v>
      </c>
      <c r="G841" t="s">
        <v>70</v>
      </c>
      <c r="H841" s="8">
        <v>48.04</v>
      </c>
      <c r="I841" s="3">
        <f t="shared" si="53"/>
        <v>0</v>
      </c>
      <c r="J841" s="4">
        <v>0</v>
      </c>
      <c r="K841" s="11">
        <f>Table1[[#This Row],[original_price]]* (Table1[[#This Row],[Markdown percentage updated]])</f>
        <v>0</v>
      </c>
      <c r="L8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41" s="6">
        <v>48.04</v>
      </c>
      <c r="N8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41" s="7">
        <v>45875</v>
      </c>
      <c r="P841">
        <v>46</v>
      </c>
      <c r="Q841" s="16" t="str">
        <f>IF(Table1[[#This Row],[stock_quantity]]=0,"NO STOCK",
IF(Table1[[#This Row],[stock_quantity]]&lt;=10,"LOW STOCK",
"IN STOCK"))</f>
        <v>IN STOCK</v>
      </c>
      <c r="R841" s="1">
        <f t="shared" si="54"/>
        <v>4.8</v>
      </c>
      <c r="S841">
        <v>4.8</v>
      </c>
      <c r="T841" t="b">
        <v>0</v>
      </c>
      <c r="U841" t="str">
        <f t="shared" si="55"/>
        <v>No Return</v>
      </c>
    </row>
    <row r="842" spans="1:22" hidden="1" x14ac:dyDescent="0.3">
      <c r="A842" t="s">
        <v>895</v>
      </c>
      <c r="B842" t="s">
        <v>21</v>
      </c>
      <c r="C842" t="s">
        <v>32</v>
      </c>
      <c r="D842" t="s">
        <v>34</v>
      </c>
      <c r="E842" t="str">
        <f t="shared" si="52"/>
        <v>OS</v>
      </c>
      <c r="F842" t="s">
        <v>39</v>
      </c>
      <c r="G842" t="s">
        <v>46</v>
      </c>
      <c r="H842" s="8">
        <v>70.77</v>
      </c>
      <c r="I842" s="3">
        <f t="shared" si="53"/>
        <v>0</v>
      </c>
      <c r="J842" s="4">
        <v>0</v>
      </c>
      <c r="K842" s="11">
        <f>Table1[[#This Row],[original_price]]* (Table1[[#This Row],[Markdown percentage updated]])</f>
        <v>0</v>
      </c>
      <c r="L8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42" s="6">
        <v>70.77</v>
      </c>
      <c r="N8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42" s="7">
        <v>45875</v>
      </c>
      <c r="P842">
        <v>5</v>
      </c>
      <c r="Q842" s="17" t="str">
        <f>IF(Table1[[#This Row],[stock_quantity]]=0,"NO STOCK",
IF(Table1[[#This Row],[stock_quantity]]&lt;=10,"LOW STOCK",
"IN STOCK"))</f>
        <v>LOW STOCK</v>
      </c>
      <c r="R842" s="1">
        <f t="shared" si="54"/>
        <v>3.7</v>
      </c>
      <c r="S842">
        <v>3.7</v>
      </c>
      <c r="T842" t="b">
        <v>0</v>
      </c>
      <c r="U842" t="str">
        <f t="shared" si="55"/>
        <v>No Return</v>
      </c>
    </row>
    <row r="843" spans="1:22" hidden="1" x14ac:dyDescent="0.3">
      <c r="A843" t="s">
        <v>896</v>
      </c>
      <c r="B843" t="s">
        <v>15</v>
      </c>
      <c r="C843" t="s">
        <v>75</v>
      </c>
      <c r="D843" t="s">
        <v>34</v>
      </c>
      <c r="E843" t="str">
        <f t="shared" si="52"/>
        <v>M</v>
      </c>
      <c r="F843" t="s">
        <v>39</v>
      </c>
      <c r="G843" t="s">
        <v>40</v>
      </c>
      <c r="H843" s="8">
        <v>103.49</v>
      </c>
      <c r="I843" s="3">
        <f t="shared" si="53"/>
        <v>0</v>
      </c>
      <c r="J843" s="4">
        <v>0</v>
      </c>
      <c r="K843" s="11">
        <f>Table1[[#This Row],[original_price]]* (Table1[[#This Row],[Markdown percentage updated]])</f>
        <v>0</v>
      </c>
      <c r="L8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43" s="6">
        <v>103.49</v>
      </c>
      <c r="N8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43" s="7">
        <v>45875</v>
      </c>
      <c r="P843">
        <v>12</v>
      </c>
      <c r="Q843" s="16" t="str">
        <f>IF(Table1[[#This Row],[stock_quantity]]=0,"NO STOCK",
IF(Table1[[#This Row],[stock_quantity]]&lt;=10,"LOW STOCK",
"IN STOCK"))</f>
        <v>IN STOCK</v>
      </c>
      <c r="R843" s="1">
        <f t="shared" si="54"/>
        <v>1.8</v>
      </c>
      <c r="S843">
        <v>1.8</v>
      </c>
      <c r="T843" t="b">
        <v>0</v>
      </c>
      <c r="U843" t="str">
        <f t="shared" si="55"/>
        <v>No Return</v>
      </c>
    </row>
    <row r="844" spans="1:22" hidden="1" x14ac:dyDescent="0.3">
      <c r="A844" t="s">
        <v>897</v>
      </c>
      <c r="B844" t="s">
        <v>15</v>
      </c>
      <c r="C844" t="s">
        <v>22</v>
      </c>
      <c r="D844" t="s">
        <v>17</v>
      </c>
      <c r="E844" t="str">
        <f t="shared" si="52"/>
        <v>XS</v>
      </c>
      <c r="F844" t="s">
        <v>24</v>
      </c>
      <c r="G844" t="s">
        <v>66</v>
      </c>
      <c r="H844" s="8">
        <v>138.88999999999999</v>
      </c>
      <c r="I844" s="3">
        <f t="shared" si="53"/>
        <v>0</v>
      </c>
      <c r="J844" s="4">
        <v>0</v>
      </c>
      <c r="K844" s="11">
        <f>Table1[[#This Row],[original_price]]* (Table1[[#This Row],[Markdown percentage updated]])</f>
        <v>0</v>
      </c>
      <c r="L8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44" s="6">
        <v>138.88999999999999</v>
      </c>
      <c r="N8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44" s="7">
        <v>45687</v>
      </c>
      <c r="P844">
        <v>10</v>
      </c>
      <c r="Q844" s="17" t="str">
        <f>IF(Table1[[#This Row],[stock_quantity]]=0,"NO STOCK",
IF(Table1[[#This Row],[stock_quantity]]&lt;=10,"LOW STOCK",
"IN STOCK"))</f>
        <v>LOW STOCK</v>
      </c>
      <c r="R844" s="1">
        <f t="shared" si="54"/>
        <v>0</v>
      </c>
      <c r="T844" t="b">
        <v>0</v>
      </c>
      <c r="U844" t="str">
        <f t="shared" si="55"/>
        <v>No Return</v>
      </c>
    </row>
    <row r="845" spans="1:22" hidden="1" x14ac:dyDescent="0.3">
      <c r="A845" t="s">
        <v>898</v>
      </c>
      <c r="B845" t="s">
        <v>27</v>
      </c>
      <c r="C845" t="s">
        <v>48</v>
      </c>
      <c r="D845" t="s">
        <v>23</v>
      </c>
      <c r="E845" t="str">
        <f t="shared" si="52"/>
        <v>XXL</v>
      </c>
      <c r="G845" t="s">
        <v>46</v>
      </c>
      <c r="H845" s="8">
        <v>73.510000000000005</v>
      </c>
      <c r="I845" s="3">
        <f t="shared" si="53"/>
        <v>0.32200000000000001</v>
      </c>
      <c r="J845" s="4">
        <v>32.200000000000003</v>
      </c>
      <c r="K845" s="11">
        <f>Table1[[#This Row],[original_price]]* (Table1[[#This Row],[Markdown percentage updated]])</f>
        <v>23.670220000000004</v>
      </c>
      <c r="L8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45" s="6">
        <v>49.84</v>
      </c>
      <c r="N8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45" s="7">
        <v>45875</v>
      </c>
      <c r="P845">
        <v>17</v>
      </c>
      <c r="Q845" s="16" t="str">
        <f>IF(Table1[[#This Row],[stock_quantity]]=0,"NO STOCK",
IF(Table1[[#This Row],[stock_quantity]]&lt;=10,"LOW STOCK",
"IN STOCK"))</f>
        <v>IN STOCK</v>
      </c>
      <c r="R845" s="1">
        <f t="shared" si="54"/>
        <v>0</v>
      </c>
      <c r="T845" t="b">
        <v>1</v>
      </c>
      <c r="U845" s="13" t="str">
        <f t="shared" si="55"/>
        <v>Wrong Item</v>
      </c>
      <c r="V845" t="s">
        <v>125</v>
      </c>
    </row>
    <row r="846" spans="1:22" hidden="1" x14ac:dyDescent="0.3">
      <c r="A846" t="s">
        <v>899</v>
      </c>
      <c r="B846" t="s">
        <v>38</v>
      </c>
      <c r="C846" t="s">
        <v>16</v>
      </c>
      <c r="D846" t="s">
        <v>17</v>
      </c>
      <c r="E846" t="str">
        <f t="shared" si="52"/>
        <v>XL</v>
      </c>
      <c r="F846" t="s">
        <v>58</v>
      </c>
      <c r="G846" t="s">
        <v>66</v>
      </c>
      <c r="H846" s="8">
        <v>82.37</v>
      </c>
      <c r="I846" s="3">
        <f t="shared" si="53"/>
        <v>0</v>
      </c>
      <c r="J846" s="4">
        <v>0</v>
      </c>
      <c r="K846" s="11">
        <f>Table1[[#This Row],[original_price]]* (Table1[[#This Row],[Markdown percentage updated]])</f>
        <v>0</v>
      </c>
      <c r="L8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46" s="6">
        <v>82.37</v>
      </c>
      <c r="N8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46" s="7">
        <v>45812</v>
      </c>
      <c r="P846">
        <v>49</v>
      </c>
      <c r="Q846" s="16" t="str">
        <f>IF(Table1[[#This Row],[stock_quantity]]=0,"NO STOCK",
IF(Table1[[#This Row],[stock_quantity]]&lt;=10,"LOW STOCK",
"IN STOCK"))</f>
        <v>IN STOCK</v>
      </c>
      <c r="R846" s="1">
        <f t="shared" si="54"/>
        <v>3.3</v>
      </c>
      <c r="S846">
        <v>3.3</v>
      </c>
      <c r="T846" t="b">
        <v>0</v>
      </c>
      <c r="U846" t="str">
        <f t="shared" si="55"/>
        <v>No Return</v>
      </c>
    </row>
    <row r="847" spans="1:22" hidden="1" x14ac:dyDescent="0.3">
      <c r="A847" t="s">
        <v>900</v>
      </c>
      <c r="B847" t="s">
        <v>42</v>
      </c>
      <c r="C847" t="s">
        <v>53</v>
      </c>
      <c r="D847" t="s">
        <v>62</v>
      </c>
      <c r="E847" t="str">
        <f t="shared" si="52"/>
        <v>L</v>
      </c>
      <c r="F847" t="s">
        <v>55</v>
      </c>
      <c r="G847" t="s">
        <v>64</v>
      </c>
      <c r="H847" s="8">
        <v>81.709999999999994</v>
      </c>
      <c r="I847" s="3">
        <f t="shared" si="53"/>
        <v>0.18</v>
      </c>
      <c r="J847" s="4">
        <v>18</v>
      </c>
      <c r="K847" s="11">
        <f>Table1[[#This Row],[original_price]]* (Table1[[#This Row],[Markdown percentage updated]])</f>
        <v>14.707799999999999</v>
      </c>
      <c r="L8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47" s="6">
        <v>67</v>
      </c>
      <c r="N8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47" s="7">
        <v>45875</v>
      </c>
      <c r="P847">
        <v>28</v>
      </c>
      <c r="Q847" s="16" t="str">
        <f>IF(Table1[[#This Row],[stock_quantity]]=0,"NO STOCK",
IF(Table1[[#This Row],[stock_quantity]]&lt;=10,"LOW STOCK",
"IN STOCK"))</f>
        <v>IN STOCK</v>
      </c>
      <c r="R847" s="1">
        <f t="shared" si="54"/>
        <v>4.7</v>
      </c>
      <c r="S847">
        <v>4.7</v>
      </c>
      <c r="T847" t="b">
        <v>0</v>
      </c>
      <c r="U847" t="str">
        <f t="shared" si="55"/>
        <v>No Return</v>
      </c>
    </row>
    <row r="848" spans="1:22" hidden="1" x14ac:dyDescent="0.3">
      <c r="A848" t="s">
        <v>901</v>
      </c>
      <c r="B848" t="s">
        <v>42</v>
      </c>
      <c r="C848" t="s">
        <v>32</v>
      </c>
      <c r="D848" t="s">
        <v>23</v>
      </c>
      <c r="E848" t="str">
        <f t="shared" si="52"/>
        <v>XL</v>
      </c>
      <c r="F848" t="s">
        <v>49</v>
      </c>
      <c r="G848" t="s">
        <v>64</v>
      </c>
      <c r="H848" s="8">
        <v>107.02</v>
      </c>
      <c r="I848" s="3">
        <f t="shared" si="53"/>
        <v>0.106</v>
      </c>
      <c r="J848" s="4">
        <v>10.6</v>
      </c>
      <c r="K848" s="11">
        <f>Table1[[#This Row],[original_price]]* (Table1[[#This Row],[Markdown percentage updated]])</f>
        <v>11.344119999999998</v>
      </c>
      <c r="L8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48" s="6">
        <v>95.68</v>
      </c>
      <c r="N8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48" s="7">
        <v>45875</v>
      </c>
      <c r="P848">
        <v>6</v>
      </c>
      <c r="Q848" s="17" t="str">
        <f>IF(Table1[[#This Row],[stock_quantity]]=0,"NO STOCK",
IF(Table1[[#This Row],[stock_quantity]]&lt;=10,"LOW STOCK",
"IN STOCK"))</f>
        <v>LOW STOCK</v>
      </c>
      <c r="R848" s="1">
        <f t="shared" si="54"/>
        <v>0</v>
      </c>
      <c r="T848" t="b">
        <v>0</v>
      </c>
      <c r="U848" t="str">
        <f t="shared" si="55"/>
        <v>No Return</v>
      </c>
    </row>
    <row r="849" spans="1:22" hidden="1" x14ac:dyDescent="0.3">
      <c r="A849" t="s">
        <v>902</v>
      </c>
      <c r="B849" t="s">
        <v>38</v>
      </c>
      <c r="C849" t="s">
        <v>48</v>
      </c>
      <c r="D849" t="s">
        <v>62</v>
      </c>
      <c r="E849" t="str">
        <f t="shared" si="52"/>
        <v>OS</v>
      </c>
      <c r="F849" t="s">
        <v>18</v>
      </c>
      <c r="G849" t="s">
        <v>25</v>
      </c>
      <c r="H849" s="8">
        <v>103.23</v>
      </c>
      <c r="I849" s="3">
        <f t="shared" si="53"/>
        <v>0.187</v>
      </c>
      <c r="J849" s="4">
        <v>18.7</v>
      </c>
      <c r="K849" s="11">
        <f>Table1[[#This Row],[original_price]]* (Table1[[#This Row],[Markdown percentage updated]])</f>
        <v>19.304010000000002</v>
      </c>
      <c r="L8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49" s="6">
        <v>83.93</v>
      </c>
      <c r="N8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49" s="7">
        <v>45875</v>
      </c>
      <c r="P849">
        <v>6</v>
      </c>
      <c r="Q849" s="17" t="str">
        <f>IF(Table1[[#This Row],[stock_quantity]]=0,"NO STOCK",
IF(Table1[[#This Row],[stock_quantity]]&lt;=10,"LOW STOCK",
"IN STOCK"))</f>
        <v>LOW STOCK</v>
      </c>
      <c r="R849" s="1">
        <f t="shared" si="54"/>
        <v>4</v>
      </c>
      <c r="S849">
        <v>4</v>
      </c>
      <c r="T849" t="b">
        <v>0</v>
      </c>
      <c r="U849" t="str">
        <f t="shared" si="55"/>
        <v>No Return</v>
      </c>
    </row>
    <row r="850" spans="1:22" hidden="1" x14ac:dyDescent="0.3">
      <c r="A850" t="s">
        <v>903</v>
      </c>
      <c r="B850" t="s">
        <v>21</v>
      </c>
      <c r="C850" t="s">
        <v>61</v>
      </c>
      <c r="D850" t="s">
        <v>34</v>
      </c>
      <c r="E850" t="str">
        <f t="shared" si="52"/>
        <v>S</v>
      </c>
      <c r="F850" t="s">
        <v>24</v>
      </c>
      <c r="G850" t="s">
        <v>44</v>
      </c>
      <c r="H850" s="8">
        <v>100.48</v>
      </c>
      <c r="I850" s="3">
        <f t="shared" si="53"/>
        <v>0.17600000000000002</v>
      </c>
      <c r="J850" s="4">
        <v>17.600000000000001</v>
      </c>
      <c r="K850" s="11">
        <f>Table1[[#This Row],[original_price]]* (Table1[[#This Row],[Markdown percentage updated]])</f>
        <v>17.684480000000004</v>
      </c>
      <c r="L8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50" s="6">
        <v>82.8</v>
      </c>
      <c r="N8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50" s="7">
        <v>45875</v>
      </c>
      <c r="P850">
        <v>19</v>
      </c>
      <c r="Q850" s="16" t="str">
        <f>IF(Table1[[#This Row],[stock_quantity]]=0,"NO STOCK",
IF(Table1[[#This Row],[stock_quantity]]&lt;=10,"LOW STOCK",
"IN STOCK"))</f>
        <v>IN STOCK</v>
      </c>
      <c r="R850" s="1">
        <f t="shared" si="54"/>
        <v>0</v>
      </c>
      <c r="T850" t="b">
        <v>0</v>
      </c>
      <c r="U850" t="str">
        <f t="shared" si="55"/>
        <v>No Return</v>
      </c>
    </row>
    <row r="851" spans="1:22" hidden="1" x14ac:dyDescent="0.3">
      <c r="A851" t="s">
        <v>904</v>
      </c>
      <c r="B851" t="s">
        <v>30</v>
      </c>
      <c r="C851" t="s">
        <v>53</v>
      </c>
      <c r="D851" t="s">
        <v>23</v>
      </c>
      <c r="E851" t="str">
        <f t="shared" si="52"/>
        <v>S</v>
      </c>
      <c r="F851" t="s">
        <v>18</v>
      </c>
      <c r="G851" t="s">
        <v>35</v>
      </c>
      <c r="H851" s="8">
        <v>160.87</v>
      </c>
      <c r="I851" s="3">
        <f t="shared" si="53"/>
        <v>0.53700000000000003</v>
      </c>
      <c r="J851" s="4">
        <v>53.7</v>
      </c>
      <c r="K851" s="11">
        <f>Table1[[#This Row],[original_price]]* (Table1[[#This Row],[Markdown percentage updated]])</f>
        <v>86.387190000000004</v>
      </c>
      <c r="L8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51" s="6">
        <v>74.48</v>
      </c>
      <c r="N8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51" s="7">
        <v>45875</v>
      </c>
      <c r="P851">
        <v>18</v>
      </c>
      <c r="Q851" s="16" t="str">
        <f>IF(Table1[[#This Row],[stock_quantity]]=0,"NO STOCK",
IF(Table1[[#This Row],[stock_quantity]]&lt;=10,"LOW STOCK",
"IN STOCK"))</f>
        <v>IN STOCK</v>
      </c>
      <c r="R851" s="1">
        <f t="shared" si="54"/>
        <v>0</v>
      </c>
      <c r="T851" t="b">
        <v>0</v>
      </c>
      <c r="U851" t="str">
        <f t="shared" si="55"/>
        <v>No Return</v>
      </c>
    </row>
    <row r="852" spans="1:22" hidden="1" x14ac:dyDescent="0.3">
      <c r="A852" t="s">
        <v>905</v>
      </c>
      <c r="B852" t="s">
        <v>27</v>
      </c>
      <c r="C852" t="s">
        <v>43</v>
      </c>
      <c r="D852" t="s">
        <v>34</v>
      </c>
      <c r="E852" t="str">
        <f t="shared" si="52"/>
        <v>XL</v>
      </c>
      <c r="G852" t="s">
        <v>35</v>
      </c>
      <c r="H852" s="8">
        <v>78.39</v>
      </c>
      <c r="I852" s="3">
        <f t="shared" si="53"/>
        <v>0</v>
      </c>
      <c r="J852" s="4">
        <v>0</v>
      </c>
      <c r="K852" s="11">
        <f>Table1[[#This Row],[original_price]]* (Table1[[#This Row],[Markdown percentage updated]])</f>
        <v>0</v>
      </c>
      <c r="L8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52" s="6">
        <v>78.39</v>
      </c>
      <c r="N8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52" s="7">
        <v>45875</v>
      </c>
      <c r="P852">
        <v>7</v>
      </c>
      <c r="Q852" s="17" t="str">
        <f>IF(Table1[[#This Row],[stock_quantity]]=0,"NO STOCK",
IF(Table1[[#This Row],[stock_quantity]]&lt;=10,"LOW STOCK",
"IN STOCK"))</f>
        <v>LOW STOCK</v>
      </c>
      <c r="R852" s="1">
        <f t="shared" si="54"/>
        <v>4.2</v>
      </c>
      <c r="S852">
        <v>4.2</v>
      </c>
      <c r="T852" t="b">
        <v>0</v>
      </c>
      <c r="U852" t="str">
        <f t="shared" si="55"/>
        <v>No Return</v>
      </c>
    </row>
    <row r="853" spans="1:22" hidden="1" x14ac:dyDescent="0.3">
      <c r="A853" t="s">
        <v>906</v>
      </c>
      <c r="B853" t="s">
        <v>15</v>
      </c>
      <c r="C853" t="s">
        <v>16</v>
      </c>
      <c r="D853" t="s">
        <v>17</v>
      </c>
      <c r="E853" t="str">
        <f t="shared" si="52"/>
        <v>M</v>
      </c>
      <c r="F853" t="s">
        <v>39</v>
      </c>
      <c r="G853" t="s">
        <v>56</v>
      </c>
      <c r="H853" s="8">
        <v>168.38</v>
      </c>
      <c r="I853" s="3">
        <f t="shared" si="53"/>
        <v>0.23100000000000001</v>
      </c>
      <c r="J853" s="4">
        <v>23.1</v>
      </c>
      <c r="K853" s="11">
        <f>Table1[[#This Row],[original_price]]* (Table1[[#This Row],[Markdown percentage updated]])</f>
        <v>38.895780000000002</v>
      </c>
      <c r="L8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853" s="6">
        <v>129.47999999999999</v>
      </c>
      <c r="N8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53" s="7">
        <v>45812</v>
      </c>
      <c r="P853">
        <v>3</v>
      </c>
      <c r="Q853" s="17" t="str">
        <f>IF(Table1[[#This Row],[stock_quantity]]=0,"NO STOCK",
IF(Table1[[#This Row],[stock_quantity]]&lt;=10,"LOW STOCK",
"IN STOCK"))</f>
        <v>LOW STOCK</v>
      </c>
      <c r="R853" s="1">
        <f t="shared" si="54"/>
        <v>2</v>
      </c>
      <c r="S853">
        <v>2</v>
      </c>
      <c r="T853" t="b">
        <v>0</v>
      </c>
      <c r="U853" t="str">
        <f t="shared" si="55"/>
        <v>No Return</v>
      </c>
    </row>
    <row r="854" spans="1:22" hidden="1" x14ac:dyDescent="0.3">
      <c r="A854" t="s">
        <v>907</v>
      </c>
      <c r="B854" t="s">
        <v>30</v>
      </c>
      <c r="C854" t="s">
        <v>32</v>
      </c>
      <c r="D854" t="s">
        <v>23</v>
      </c>
      <c r="E854" t="str">
        <f t="shared" si="52"/>
        <v>XS</v>
      </c>
      <c r="F854" t="s">
        <v>39</v>
      </c>
      <c r="G854" t="s">
        <v>64</v>
      </c>
      <c r="H854" s="8">
        <v>128.35</v>
      </c>
      <c r="I854" s="3">
        <f t="shared" si="53"/>
        <v>0</v>
      </c>
      <c r="J854" s="4">
        <v>0</v>
      </c>
      <c r="K854" s="11">
        <f>Table1[[#This Row],[original_price]]* (Table1[[#This Row],[Markdown percentage updated]])</f>
        <v>0</v>
      </c>
      <c r="L8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54" s="6">
        <v>128.35</v>
      </c>
      <c r="N8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54" s="7">
        <v>45875</v>
      </c>
      <c r="P854">
        <v>20</v>
      </c>
      <c r="Q854" s="16" t="str">
        <f>IF(Table1[[#This Row],[stock_quantity]]=0,"NO STOCK",
IF(Table1[[#This Row],[stock_quantity]]&lt;=10,"LOW STOCK",
"IN STOCK"))</f>
        <v>IN STOCK</v>
      </c>
      <c r="R854" s="1">
        <f t="shared" si="54"/>
        <v>2.5</v>
      </c>
      <c r="S854">
        <v>2.5</v>
      </c>
      <c r="T854" t="b">
        <v>0</v>
      </c>
      <c r="U854" t="str">
        <f t="shared" si="55"/>
        <v>No Return</v>
      </c>
    </row>
    <row r="855" spans="1:22" hidden="1" x14ac:dyDescent="0.3">
      <c r="A855" t="s">
        <v>908</v>
      </c>
      <c r="B855" t="s">
        <v>42</v>
      </c>
      <c r="C855" t="s">
        <v>22</v>
      </c>
      <c r="D855" t="s">
        <v>17</v>
      </c>
      <c r="E855" t="str">
        <f t="shared" si="52"/>
        <v>XXL</v>
      </c>
      <c r="F855" t="s">
        <v>18</v>
      </c>
      <c r="G855" t="s">
        <v>40</v>
      </c>
      <c r="H855" s="8">
        <v>138.16999999999999</v>
      </c>
      <c r="I855" s="3">
        <f t="shared" si="53"/>
        <v>0.03</v>
      </c>
      <c r="J855" s="4">
        <v>3</v>
      </c>
      <c r="K855" s="11">
        <f>Table1[[#This Row],[original_price]]* (Table1[[#This Row],[Markdown percentage updated]])</f>
        <v>4.1450999999999993</v>
      </c>
      <c r="L8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55" s="6">
        <v>134.02000000000001</v>
      </c>
      <c r="N8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855" s="7">
        <v>45751</v>
      </c>
      <c r="P855">
        <v>34</v>
      </c>
      <c r="Q855" s="16" t="str">
        <f>IF(Table1[[#This Row],[stock_quantity]]=0,"NO STOCK",
IF(Table1[[#This Row],[stock_quantity]]&lt;=10,"LOW STOCK",
"IN STOCK"))</f>
        <v>IN STOCK</v>
      </c>
      <c r="R855" s="1">
        <f t="shared" si="54"/>
        <v>4.0999999999999996</v>
      </c>
      <c r="S855">
        <v>4.0999999999999996</v>
      </c>
      <c r="T855" t="b">
        <v>0</v>
      </c>
      <c r="U855" t="str">
        <f t="shared" si="55"/>
        <v>No Return</v>
      </c>
    </row>
    <row r="856" spans="1:22" hidden="1" x14ac:dyDescent="0.3">
      <c r="A856" t="s">
        <v>909</v>
      </c>
      <c r="B856" t="s">
        <v>42</v>
      </c>
      <c r="C856" t="s">
        <v>22</v>
      </c>
      <c r="D856" t="s">
        <v>34</v>
      </c>
      <c r="E856" t="str">
        <f t="shared" si="52"/>
        <v>OS</v>
      </c>
      <c r="F856" t="s">
        <v>58</v>
      </c>
      <c r="G856" t="s">
        <v>64</v>
      </c>
      <c r="H856" s="8">
        <v>52.45</v>
      </c>
      <c r="I856" s="3">
        <f t="shared" si="53"/>
        <v>0</v>
      </c>
      <c r="J856" s="4">
        <v>0</v>
      </c>
      <c r="K856" s="11">
        <f>Table1[[#This Row],[original_price]]* (Table1[[#This Row],[Markdown percentage updated]])</f>
        <v>0</v>
      </c>
      <c r="L8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56" s="6">
        <v>52.45</v>
      </c>
      <c r="N8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56" s="7">
        <v>45875</v>
      </c>
      <c r="P856">
        <v>16</v>
      </c>
      <c r="Q856" s="16" t="str">
        <f>IF(Table1[[#This Row],[stock_quantity]]=0,"NO STOCK",
IF(Table1[[#This Row],[stock_quantity]]&lt;=10,"LOW STOCK",
"IN STOCK"))</f>
        <v>IN STOCK</v>
      </c>
      <c r="R856" s="1">
        <f t="shared" si="54"/>
        <v>1.7</v>
      </c>
      <c r="S856">
        <v>1.7</v>
      </c>
      <c r="T856" t="b">
        <v>0</v>
      </c>
      <c r="U856" t="str">
        <f t="shared" si="55"/>
        <v>No Return</v>
      </c>
    </row>
    <row r="857" spans="1:22" hidden="1" x14ac:dyDescent="0.3">
      <c r="A857" t="s">
        <v>910</v>
      </c>
      <c r="B857" t="s">
        <v>30</v>
      </c>
      <c r="C857" t="s">
        <v>48</v>
      </c>
      <c r="D857" t="s">
        <v>23</v>
      </c>
      <c r="E857" t="str">
        <f t="shared" si="52"/>
        <v>S</v>
      </c>
      <c r="F857" t="s">
        <v>55</v>
      </c>
      <c r="G857" t="s">
        <v>35</v>
      </c>
      <c r="H857" s="8">
        <v>171.53</v>
      </c>
      <c r="I857" s="3">
        <f t="shared" si="53"/>
        <v>0</v>
      </c>
      <c r="J857" s="4">
        <v>0</v>
      </c>
      <c r="K857" s="11">
        <f>Table1[[#This Row],[original_price]]* (Table1[[#This Row],[Markdown percentage updated]])</f>
        <v>0</v>
      </c>
      <c r="L8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57" s="6">
        <v>171.53</v>
      </c>
      <c r="N8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57" s="7">
        <v>45875</v>
      </c>
      <c r="P857">
        <v>12</v>
      </c>
      <c r="Q857" s="16" t="str">
        <f>IF(Table1[[#This Row],[stock_quantity]]=0,"NO STOCK",
IF(Table1[[#This Row],[stock_quantity]]&lt;=10,"LOW STOCK",
"IN STOCK"))</f>
        <v>IN STOCK</v>
      </c>
      <c r="R857" s="1">
        <f t="shared" si="54"/>
        <v>4.8</v>
      </c>
      <c r="S857">
        <v>4.8</v>
      </c>
      <c r="T857" t="b">
        <v>0</v>
      </c>
      <c r="U857" t="str">
        <f t="shared" si="55"/>
        <v>No Return</v>
      </c>
    </row>
    <row r="858" spans="1:22" hidden="1" x14ac:dyDescent="0.3">
      <c r="A858" t="s">
        <v>911</v>
      </c>
      <c r="B858" t="s">
        <v>21</v>
      </c>
      <c r="C858" t="s">
        <v>43</v>
      </c>
      <c r="D858" t="s">
        <v>34</v>
      </c>
      <c r="E858" t="str">
        <f t="shared" si="52"/>
        <v>XL</v>
      </c>
      <c r="F858" t="s">
        <v>49</v>
      </c>
      <c r="G858" t="s">
        <v>70</v>
      </c>
      <c r="H858" s="8">
        <v>81.23</v>
      </c>
      <c r="I858" s="3">
        <f t="shared" si="53"/>
        <v>1.2E-2</v>
      </c>
      <c r="J858" s="4">
        <v>1.2</v>
      </c>
      <c r="K858" s="11">
        <f>Table1[[#This Row],[original_price]]* (Table1[[#This Row],[Markdown percentage updated]])</f>
        <v>0.97476000000000007</v>
      </c>
      <c r="L8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58" s="6">
        <v>80.260000000000005</v>
      </c>
      <c r="N8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858" s="7">
        <v>45875</v>
      </c>
      <c r="P858">
        <v>10</v>
      </c>
      <c r="Q858" s="17" t="str">
        <f>IF(Table1[[#This Row],[stock_quantity]]=0,"NO STOCK",
IF(Table1[[#This Row],[stock_quantity]]&lt;=10,"LOW STOCK",
"IN STOCK"))</f>
        <v>LOW STOCK</v>
      </c>
      <c r="R858" s="1">
        <f t="shared" si="54"/>
        <v>4.9000000000000004</v>
      </c>
      <c r="S858">
        <v>4.9000000000000004</v>
      </c>
      <c r="T858" t="b">
        <v>0</v>
      </c>
      <c r="U858" t="str">
        <f t="shared" si="55"/>
        <v>No Return</v>
      </c>
    </row>
    <row r="859" spans="1:22" hidden="1" x14ac:dyDescent="0.3">
      <c r="A859" t="s">
        <v>912</v>
      </c>
      <c r="B859" t="s">
        <v>27</v>
      </c>
      <c r="C859" t="s">
        <v>32</v>
      </c>
      <c r="D859" t="s">
        <v>17</v>
      </c>
      <c r="E859" t="str">
        <f t="shared" si="52"/>
        <v>L</v>
      </c>
      <c r="G859" t="s">
        <v>44</v>
      </c>
      <c r="H859" s="8">
        <v>31.37</v>
      </c>
      <c r="I859" s="3">
        <f t="shared" si="53"/>
        <v>0.441</v>
      </c>
      <c r="J859" s="4">
        <v>44.1</v>
      </c>
      <c r="K859" s="11">
        <f>Table1[[#This Row],[original_price]]* (Table1[[#This Row],[Markdown percentage updated]])</f>
        <v>13.83417</v>
      </c>
      <c r="L8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59" s="6">
        <v>17.54</v>
      </c>
      <c r="N8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59" s="7">
        <v>45548</v>
      </c>
      <c r="P859">
        <v>11</v>
      </c>
      <c r="Q859" s="16" t="str">
        <f>IF(Table1[[#This Row],[stock_quantity]]=0,"NO STOCK",
IF(Table1[[#This Row],[stock_quantity]]&lt;=10,"LOW STOCK",
"IN STOCK"))</f>
        <v>IN STOCK</v>
      </c>
      <c r="R859" s="1">
        <f t="shared" si="54"/>
        <v>3.4</v>
      </c>
      <c r="S859">
        <v>3.4</v>
      </c>
      <c r="T859" t="b">
        <v>0</v>
      </c>
      <c r="U859" t="str">
        <f t="shared" si="55"/>
        <v>No Return</v>
      </c>
    </row>
    <row r="860" spans="1:22" hidden="1" x14ac:dyDescent="0.3">
      <c r="A860" t="s">
        <v>913</v>
      </c>
      <c r="B860" t="s">
        <v>38</v>
      </c>
      <c r="C860" t="s">
        <v>61</v>
      </c>
      <c r="D860" t="s">
        <v>17</v>
      </c>
      <c r="E860" t="str">
        <f t="shared" si="52"/>
        <v>M</v>
      </c>
      <c r="F860" t="s">
        <v>39</v>
      </c>
      <c r="G860" t="s">
        <v>19</v>
      </c>
      <c r="H860" s="8">
        <v>93.89</v>
      </c>
      <c r="I860" s="3">
        <f t="shared" si="53"/>
        <v>0</v>
      </c>
      <c r="J860" s="4">
        <v>0</v>
      </c>
      <c r="K860" s="11">
        <f>Table1[[#This Row],[original_price]]* (Table1[[#This Row],[Markdown percentage updated]])</f>
        <v>0</v>
      </c>
      <c r="L8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60" s="6">
        <v>93.89</v>
      </c>
      <c r="N8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60" s="7">
        <v>45691</v>
      </c>
      <c r="P860">
        <v>3</v>
      </c>
      <c r="Q860" s="17" t="str">
        <f>IF(Table1[[#This Row],[stock_quantity]]=0,"NO STOCK",
IF(Table1[[#This Row],[stock_quantity]]&lt;=10,"LOW STOCK",
"IN STOCK"))</f>
        <v>LOW STOCK</v>
      </c>
      <c r="R860" s="1">
        <f t="shared" si="54"/>
        <v>1.8</v>
      </c>
      <c r="S860">
        <v>1.8</v>
      </c>
      <c r="T860" t="b">
        <v>0</v>
      </c>
      <c r="U860" t="str">
        <f t="shared" si="55"/>
        <v>No Return</v>
      </c>
    </row>
    <row r="861" spans="1:22" hidden="1" x14ac:dyDescent="0.3">
      <c r="A861" t="s">
        <v>914</v>
      </c>
      <c r="B861" t="s">
        <v>38</v>
      </c>
      <c r="C861" t="s">
        <v>22</v>
      </c>
      <c r="D861" t="s">
        <v>17</v>
      </c>
      <c r="E861" t="str">
        <f t="shared" si="52"/>
        <v>S</v>
      </c>
      <c r="F861" t="s">
        <v>18</v>
      </c>
      <c r="G861" t="s">
        <v>40</v>
      </c>
      <c r="H861" s="8">
        <v>54.84</v>
      </c>
      <c r="I861" s="3">
        <f t="shared" si="53"/>
        <v>0</v>
      </c>
      <c r="J861" s="4">
        <v>0</v>
      </c>
      <c r="K861" s="11">
        <f>Table1[[#This Row],[original_price]]* (Table1[[#This Row],[Markdown percentage updated]])</f>
        <v>0</v>
      </c>
      <c r="L8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61" s="6">
        <v>54.84</v>
      </c>
      <c r="N8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61" s="7">
        <v>45557</v>
      </c>
      <c r="P861">
        <v>12</v>
      </c>
      <c r="Q861" s="16" t="str">
        <f>IF(Table1[[#This Row],[stock_quantity]]=0,"NO STOCK",
IF(Table1[[#This Row],[stock_quantity]]&lt;=10,"LOW STOCK",
"IN STOCK"))</f>
        <v>IN STOCK</v>
      </c>
      <c r="R861" s="1">
        <f t="shared" si="54"/>
        <v>3.2</v>
      </c>
      <c r="S861">
        <v>3.2</v>
      </c>
      <c r="T861" t="b">
        <v>0</v>
      </c>
      <c r="U861" t="str">
        <f t="shared" si="55"/>
        <v>No Return</v>
      </c>
    </row>
    <row r="862" spans="1:22" x14ac:dyDescent="0.3">
      <c r="A862" t="s">
        <v>915</v>
      </c>
      <c r="B862" t="s">
        <v>42</v>
      </c>
      <c r="C862" t="s">
        <v>16</v>
      </c>
      <c r="D862" t="s">
        <v>23</v>
      </c>
      <c r="E862" t="str">
        <f t="shared" si="52"/>
        <v>OS</v>
      </c>
      <c r="F862" t="s">
        <v>24</v>
      </c>
      <c r="G862" t="s">
        <v>19</v>
      </c>
      <c r="H862" s="8">
        <v>140.34</v>
      </c>
      <c r="I862" s="3">
        <f t="shared" si="53"/>
        <v>0</v>
      </c>
      <c r="J862" s="4">
        <v>0</v>
      </c>
      <c r="K862" s="11">
        <f>Table1[[#This Row],[original_price]]* (Table1[[#This Row],[Markdown percentage updated]])</f>
        <v>0</v>
      </c>
      <c r="L8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62" s="6">
        <v>140.34</v>
      </c>
      <c r="N8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62" s="7">
        <v>45875</v>
      </c>
      <c r="P862">
        <v>23</v>
      </c>
      <c r="Q862" s="16" t="str">
        <f>IF(Table1[[#This Row],[stock_quantity]]=0,"NO STOCK",
IF(Table1[[#This Row],[stock_quantity]]&lt;=10,"LOW STOCK",
"IN STOCK"))</f>
        <v>IN STOCK</v>
      </c>
      <c r="R862" s="1">
        <f t="shared" si="54"/>
        <v>2.8</v>
      </c>
      <c r="S862">
        <v>2.8</v>
      </c>
      <c r="T862" t="b">
        <v>1</v>
      </c>
      <c r="U862" s="13" t="str">
        <f t="shared" si="55"/>
        <v>Changed Mind</v>
      </c>
      <c r="V862" t="s">
        <v>115</v>
      </c>
    </row>
    <row r="863" spans="1:22" hidden="1" x14ac:dyDescent="0.3">
      <c r="A863" t="s">
        <v>916</v>
      </c>
      <c r="B863" t="s">
        <v>21</v>
      </c>
      <c r="C863" t="s">
        <v>32</v>
      </c>
      <c r="D863" t="s">
        <v>34</v>
      </c>
      <c r="E863" t="str">
        <f t="shared" si="52"/>
        <v>S</v>
      </c>
      <c r="F863" t="s">
        <v>58</v>
      </c>
      <c r="G863" t="s">
        <v>19</v>
      </c>
      <c r="H863" s="8">
        <v>51.88</v>
      </c>
      <c r="I863" s="3">
        <f t="shared" si="53"/>
        <v>0.16800000000000001</v>
      </c>
      <c r="J863" s="4">
        <v>16.8</v>
      </c>
      <c r="K863" s="11">
        <f>Table1[[#This Row],[original_price]]* (Table1[[#This Row],[Markdown percentage updated]])</f>
        <v>8.7158400000000018</v>
      </c>
      <c r="L8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63" s="6">
        <v>43.16</v>
      </c>
      <c r="N8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863" s="7">
        <v>45875</v>
      </c>
      <c r="P863">
        <v>30</v>
      </c>
      <c r="Q863" s="16" t="str">
        <f>IF(Table1[[#This Row],[stock_quantity]]=0,"NO STOCK",
IF(Table1[[#This Row],[stock_quantity]]&lt;=10,"LOW STOCK",
"IN STOCK"))</f>
        <v>IN STOCK</v>
      </c>
      <c r="R863" s="1">
        <f t="shared" si="54"/>
        <v>1.5</v>
      </c>
      <c r="S863">
        <v>1.5</v>
      </c>
      <c r="T863" t="b">
        <v>0</v>
      </c>
      <c r="U863" t="str">
        <f t="shared" si="55"/>
        <v>No Return</v>
      </c>
    </row>
    <row r="864" spans="1:22" hidden="1" x14ac:dyDescent="0.3">
      <c r="A864" t="s">
        <v>917</v>
      </c>
      <c r="B864" t="s">
        <v>42</v>
      </c>
      <c r="C864" t="s">
        <v>43</v>
      </c>
      <c r="D864" t="s">
        <v>17</v>
      </c>
      <c r="E864" t="str">
        <f t="shared" si="52"/>
        <v>XXL</v>
      </c>
      <c r="F864" t="s">
        <v>39</v>
      </c>
      <c r="G864" t="s">
        <v>66</v>
      </c>
      <c r="H864" s="8">
        <v>136.19999999999999</v>
      </c>
      <c r="I864" s="3">
        <f t="shared" si="53"/>
        <v>0.44299999999999995</v>
      </c>
      <c r="J864" s="4">
        <v>44.3</v>
      </c>
      <c r="K864" s="11">
        <f>Table1[[#This Row],[original_price]]* (Table1[[#This Row],[Markdown percentage updated]])</f>
        <v>60.33659999999999</v>
      </c>
      <c r="L8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64" s="6">
        <v>75.86</v>
      </c>
      <c r="N8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64" s="7">
        <v>45617</v>
      </c>
      <c r="P864">
        <v>49</v>
      </c>
      <c r="Q864" s="16" t="str">
        <f>IF(Table1[[#This Row],[stock_quantity]]=0,"NO STOCK",
IF(Table1[[#This Row],[stock_quantity]]&lt;=10,"LOW STOCK",
"IN STOCK"))</f>
        <v>IN STOCK</v>
      </c>
      <c r="R864" s="1">
        <f t="shared" si="54"/>
        <v>0</v>
      </c>
      <c r="T864" t="b">
        <v>0</v>
      </c>
      <c r="U864" t="str">
        <f t="shared" si="55"/>
        <v>No Return</v>
      </c>
    </row>
    <row r="865" spans="1:22" hidden="1" x14ac:dyDescent="0.3">
      <c r="A865" t="s">
        <v>918</v>
      </c>
      <c r="B865" t="s">
        <v>27</v>
      </c>
      <c r="C865" t="s">
        <v>48</v>
      </c>
      <c r="D865" t="s">
        <v>62</v>
      </c>
      <c r="E865" t="str">
        <f t="shared" si="52"/>
        <v>XXL</v>
      </c>
      <c r="G865" t="s">
        <v>70</v>
      </c>
      <c r="H865" s="8">
        <v>71.19</v>
      </c>
      <c r="I865" s="3">
        <f t="shared" si="53"/>
        <v>0</v>
      </c>
      <c r="J865" s="4">
        <v>0</v>
      </c>
      <c r="K865" s="11">
        <f>Table1[[#This Row],[original_price]]* (Table1[[#This Row],[Markdown percentage updated]])</f>
        <v>0</v>
      </c>
      <c r="L8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65" s="6">
        <v>71.19</v>
      </c>
      <c r="N8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65" s="7">
        <v>45875</v>
      </c>
      <c r="P865">
        <v>14</v>
      </c>
      <c r="Q865" s="16" t="str">
        <f>IF(Table1[[#This Row],[stock_quantity]]=0,"NO STOCK",
IF(Table1[[#This Row],[stock_quantity]]&lt;=10,"LOW STOCK",
"IN STOCK"))</f>
        <v>IN STOCK</v>
      </c>
      <c r="R865" s="1">
        <f t="shared" si="54"/>
        <v>2.8</v>
      </c>
      <c r="S865">
        <v>2.8</v>
      </c>
      <c r="T865" t="b">
        <v>0</v>
      </c>
      <c r="U865" t="str">
        <f t="shared" si="55"/>
        <v>No Return</v>
      </c>
    </row>
    <row r="866" spans="1:22" hidden="1" x14ac:dyDescent="0.3">
      <c r="A866" t="s">
        <v>919</v>
      </c>
      <c r="B866" t="s">
        <v>15</v>
      </c>
      <c r="C866" t="s">
        <v>75</v>
      </c>
      <c r="D866" t="s">
        <v>17</v>
      </c>
      <c r="E866" t="str">
        <f t="shared" si="52"/>
        <v>XL</v>
      </c>
      <c r="F866" t="s">
        <v>39</v>
      </c>
      <c r="G866" t="s">
        <v>64</v>
      </c>
      <c r="H866" s="8">
        <v>241.37</v>
      </c>
      <c r="I866" s="3">
        <f t="shared" si="53"/>
        <v>0.44900000000000001</v>
      </c>
      <c r="J866" s="4">
        <v>44.9</v>
      </c>
      <c r="K866" s="11">
        <f>Table1[[#This Row],[original_price]]* (Table1[[#This Row],[Markdown percentage updated]])</f>
        <v>108.37513</v>
      </c>
      <c r="L8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66" s="6">
        <v>132.99</v>
      </c>
      <c r="N8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66" s="7">
        <v>45792</v>
      </c>
      <c r="P866">
        <v>23</v>
      </c>
      <c r="Q866" s="16" t="str">
        <f>IF(Table1[[#This Row],[stock_quantity]]=0,"NO STOCK",
IF(Table1[[#This Row],[stock_quantity]]&lt;=10,"LOW STOCK",
"IN STOCK"))</f>
        <v>IN STOCK</v>
      </c>
      <c r="R866" s="1">
        <f t="shared" si="54"/>
        <v>2.1</v>
      </c>
      <c r="S866">
        <v>2.1</v>
      </c>
      <c r="T866" t="b">
        <v>0</v>
      </c>
      <c r="U866" t="str">
        <f t="shared" si="55"/>
        <v>No Return</v>
      </c>
    </row>
    <row r="867" spans="1:22" hidden="1" x14ac:dyDescent="0.3">
      <c r="A867" t="s">
        <v>920</v>
      </c>
      <c r="B867" t="s">
        <v>15</v>
      </c>
      <c r="C867" t="s">
        <v>61</v>
      </c>
      <c r="D867" t="s">
        <v>34</v>
      </c>
      <c r="E867" t="str">
        <f t="shared" si="52"/>
        <v>XS</v>
      </c>
      <c r="F867" t="s">
        <v>49</v>
      </c>
      <c r="G867" t="s">
        <v>44</v>
      </c>
      <c r="H867" s="8">
        <v>198.26</v>
      </c>
      <c r="I867" s="3">
        <f t="shared" si="53"/>
        <v>0.51300000000000001</v>
      </c>
      <c r="J867" s="4">
        <v>51.3</v>
      </c>
      <c r="K867" s="11">
        <f>Table1[[#This Row],[original_price]]* (Table1[[#This Row],[Markdown percentage updated]])</f>
        <v>101.70738</v>
      </c>
      <c r="L8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67" s="6">
        <v>96.55</v>
      </c>
      <c r="N8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67" s="7">
        <v>45875</v>
      </c>
      <c r="P867">
        <v>38</v>
      </c>
      <c r="Q867" s="16" t="str">
        <f>IF(Table1[[#This Row],[stock_quantity]]=0,"NO STOCK",
IF(Table1[[#This Row],[stock_quantity]]&lt;=10,"LOW STOCK",
"IN STOCK"))</f>
        <v>IN STOCK</v>
      </c>
      <c r="R867" s="1">
        <f t="shared" si="54"/>
        <v>0</v>
      </c>
      <c r="T867" t="b">
        <v>0</v>
      </c>
      <c r="U867" t="str">
        <f t="shared" si="55"/>
        <v>No Return</v>
      </c>
    </row>
    <row r="868" spans="1:22" hidden="1" x14ac:dyDescent="0.3">
      <c r="A868" t="s">
        <v>921</v>
      </c>
      <c r="B868" t="s">
        <v>38</v>
      </c>
      <c r="C868" t="s">
        <v>53</v>
      </c>
      <c r="D868" t="s">
        <v>23</v>
      </c>
      <c r="E868" t="str">
        <f t="shared" si="52"/>
        <v>OS</v>
      </c>
      <c r="F868" t="s">
        <v>49</v>
      </c>
      <c r="G868" t="s">
        <v>56</v>
      </c>
      <c r="H868" s="8">
        <v>64.069999999999993</v>
      </c>
      <c r="I868" s="3">
        <f t="shared" si="53"/>
        <v>0</v>
      </c>
      <c r="J868" s="4">
        <v>0</v>
      </c>
      <c r="K868" s="11">
        <f>Table1[[#This Row],[original_price]]* (Table1[[#This Row],[Markdown percentage updated]])</f>
        <v>0</v>
      </c>
      <c r="L8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68" s="6">
        <v>64.069999999999993</v>
      </c>
      <c r="N8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68" s="7">
        <v>45875</v>
      </c>
      <c r="P868">
        <v>34</v>
      </c>
      <c r="Q868" s="16" t="str">
        <f>IF(Table1[[#This Row],[stock_quantity]]=0,"NO STOCK",
IF(Table1[[#This Row],[stock_quantity]]&lt;=10,"LOW STOCK",
"IN STOCK"))</f>
        <v>IN STOCK</v>
      </c>
      <c r="R868" s="1">
        <f t="shared" si="54"/>
        <v>0</v>
      </c>
      <c r="T868" t="b">
        <v>0</v>
      </c>
      <c r="U868" t="str">
        <f t="shared" si="55"/>
        <v>No Return</v>
      </c>
    </row>
    <row r="869" spans="1:22" hidden="1" x14ac:dyDescent="0.3">
      <c r="A869" t="s">
        <v>922</v>
      </c>
      <c r="B869" t="s">
        <v>38</v>
      </c>
      <c r="C869" t="s">
        <v>16</v>
      </c>
      <c r="D869" t="s">
        <v>34</v>
      </c>
      <c r="E869" t="str">
        <f t="shared" si="52"/>
        <v>L</v>
      </c>
      <c r="F869" t="s">
        <v>18</v>
      </c>
      <c r="G869" t="s">
        <v>40</v>
      </c>
      <c r="H869" s="8">
        <v>110.15</v>
      </c>
      <c r="I869" s="3">
        <f t="shared" si="53"/>
        <v>0.10400000000000001</v>
      </c>
      <c r="J869" s="4">
        <v>10.4</v>
      </c>
      <c r="K869" s="11">
        <f>Table1[[#This Row],[original_price]]* (Table1[[#This Row],[Markdown percentage updated]])</f>
        <v>11.455600000000002</v>
      </c>
      <c r="L8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69" s="6">
        <v>98.69</v>
      </c>
      <c r="N8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69" s="7">
        <v>45875</v>
      </c>
      <c r="P869">
        <v>36</v>
      </c>
      <c r="Q869" s="16" t="str">
        <f>IF(Table1[[#This Row],[stock_quantity]]=0,"NO STOCK",
IF(Table1[[#This Row],[stock_quantity]]&lt;=10,"LOW STOCK",
"IN STOCK"))</f>
        <v>IN STOCK</v>
      </c>
      <c r="R869" s="1">
        <f t="shared" si="54"/>
        <v>1.6</v>
      </c>
      <c r="S869">
        <v>1.6</v>
      </c>
      <c r="T869" t="b">
        <v>0</v>
      </c>
      <c r="U869" t="str">
        <f t="shared" si="55"/>
        <v>No Return</v>
      </c>
    </row>
    <row r="870" spans="1:22" hidden="1" x14ac:dyDescent="0.3">
      <c r="A870" t="s">
        <v>923</v>
      </c>
      <c r="B870" t="s">
        <v>15</v>
      </c>
      <c r="C870" t="s">
        <v>75</v>
      </c>
      <c r="D870" t="s">
        <v>17</v>
      </c>
      <c r="E870" t="str">
        <f t="shared" si="52"/>
        <v>S</v>
      </c>
      <c r="F870" t="s">
        <v>55</v>
      </c>
      <c r="G870" t="s">
        <v>44</v>
      </c>
      <c r="H870" s="8">
        <v>120.68</v>
      </c>
      <c r="I870" s="3">
        <f t="shared" si="53"/>
        <v>0</v>
      </c>
      <c r="J870" s="4">
        <v>0</v>
      </c>
      <c r="K870" s="11">
        <f>Table1[[#This Row],[original_price]]* (Table1[[#This Row],[Markdown percentage updated]])</f>
        <v>0</v>
      </c>
      <c r="L8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70" s="6">
        <v>120.68</v>
      </c>
      <c r="N8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70" s="7">
        <v>45647</v>
      </c>
      <c r="P870">
        <v>6</v>
      </c>
      <c r="Q870" s="17" t="str">
        <f>IF(Table1[[#This Row],[stock_quantity]]=0,"NO STOCK",
IF(Table1[[#This Row],[stock_quantity]]&lt;=10,"LOW STOCK",
"IN STOCK"))</f>
        <v>LOW STOCK</v>
      </c>
      <c r="R870" s="1">
        <f t="shared" si="54"/>
        <v>1.9</v>
      </c>
      <c r="S870">
        <v>1.9</v>
      </c>
      <c r="T870" t="b">
        <v>0</v>
      </c>
      <c r="U870" t="str">
        <f t="shared" si="55"/>
        <v>No Return</v>
      </c>
    </row>
    <row r="871" spans="1:22" hidden="1" x14ac:dyDescent="0.3">
      <c r="A871" t="s">
        <v>924</v>
      </c>
      <c r="B871" t="s">
        <v>27</v>
      </c>
      <c r="C871" t="s">
        <v>16</v>
      </c>
      <c r="D871" t="s">
        <v>34</v>
      </c>
      <c r="E871" t="str">
        <f t="shared" si="52"/>
        <v>OS</v>
      </c>
      <c r="G871" t="s">
        <v>28</v>
      </c>
      <c r="H871" s="8">
        <v>69.180000000000007</v>
      </c>
      <c r="I871" s="3">
        <f t="shared" si="53"/>
        <v>0.31</v>
      </c>
      <c r="J871" s="4">
        <v>31</v>
      </c>
      <c r="K871" s="11">
        <f>Table1[[#This Row],[original_price]]* (Table1[[#This Row],[Markdown percentage updated]])</f>
        <v>21.445800000000002</v>
      </c>
      <c r="L8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71" s="6">
        <v>47.73</v>
      </c>
      <c r="N8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71" s="7">
        <v>45875</v>
      </c>
      <c r="P871">
        <v>9</v>
      </c>
      <c r="Q871" s="17" t="str">
        <f>IF(Table1[[#This Row],[stock_quantity]]=0,"NO STOCK",
IF(Table1[[#This Row],[stock_quantity]]&lt;=10,"LOW STOCK",
"IN STOCK"))</f>
        <v>LOW STOCK</v>
      </c>
      <c r="R871" s="1">
        <f t="shared" si="54"/>
        <v>2.7</v>
      </c>
      <c r="S871">
        <v>2.7</v>
      </c>
      <c r="T871" t="b">
        <v>1</v>
      </c>
      <c r="U871" s="13" t="str">
        <f t="shared" si="55"/>
        <v>Size Issue</v>
      </c>
      <c r="V871" t="s">
        <v>73</v>
      </c>
    </row>
    <row r="872" spans="1:22" hidden="1" x14ac:dyDescent="0.3">
      <c r="A872" t="s">
        <v>925</v>
      </c>
      <c r="B872" t="s">
        <v>42</v>
      </c>
      <c r="C872" t="s">
        <v>53</v>
      </c>
      <c r="D872" t="s">
        <v>34</v>
      </c>
      <c r="E872" t="str">
        <f t="shared" si="52"/>
        <v>XS</v>
      </c>
      <c r="F872" t="s">
        <v>24</v>
      </c>
      <c r="G872" t="s">
        <v>19</v>
      </c>
      <c r="H872" s="8">
        <v>134.77000000000001</v>
      </c>
      <c r="I872" s="3">
        <f t="shared" si="53"/>
        <v>0</v>
      </c>
      <c r="J872" s="4">
        <v>0</v>
      </c>
      <c r="K872" s="11">
        <f>Table1[[#This Row],[original_price]]* (Table1[[#This Row],[Markdown percentage updated]])</f>
        <v>0</v>
      </c>
      <c r="L8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72" s="6">
        <v>134.77000000000001</v>
      </c>
      <c r="N8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72" s="7">
        <v>45875</v>
      </c>
      <c r="P872">
        <v>36</v>
      </c>
      <c r="Q872" s="16" t="str">
        <f>IF(Table1[[#This Row],[stock_quantity]]=0,"NO STOCK",
IF(Table1[[#This Row],[stock_quantity]]&lt;=10,"LOW STOCK",
"IN STOCK"))</f>
        <v>IN STOCK</v>
      </c>
      <c r="R872" s="1">
        <f t="shared" si="54"/>
        <v>4.8</v>
      </c>
      <c r="S872">
        <v>4.8</v>
      </c>
      <c r="T872" t="b">
        <v>0</v>
      </c>
      <c r="U872" t="str">
        <f t="shared" si="55"/>
        <v>No Return</v>
      </c>
    </row>
    <row r="873" spans="1:22" hidden="1" x14ac:dyDescent="0.3">
      <c r="A873" t="s">
        <v>926</v>
      </c>
      <c r="B873" t="s">
        <v>21</v>
      </c>
      <c r="C873" t="s">
        <v>22</v>
      </c>
      <c r="D873" t="s">
        <v>17</v>
      </c>
      <c r="E873" t="str">
        <f t="shared" si="52"/>
        <v>M</v>
      </c>
      <c r="F873" t="s">
        <v>39</v>
      </c>
      <c r="G873" t="s">
        <v>28</v>
      </c>
      <c r="H873" s="8">
        <v>29.93</v>
      </c>
      <c r="I873" s="3">
        <f t="shared" si="53"/>
        <v>0</v>
      </c>
      <c r="J873" s="4">
        <v>0</v>
      </c>
      <c r="K873" s="11">
        <f>Table1[[#This Row],[original_price]]* (Table1[[#This Row],[Markdown percentage updated]])</f>
        <v>0</v>
      </c>
      <c r="L8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73" s="6">
        <v>29.93</v>
      </c>
      <c r="N8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73" s="7">
        <v>45575</v>
      </c>
      <c r="P873">
        <v>13</v>
      </c>
      <c r="Q873" s="16" t="str">
        <f>IF(Table1[[#This Row],[stock_quantity]]=0,"NO STOCK",
IF(Table1[[#This Row],[stock_quantity]]&lt;=10,"LOW STOCK",
"IN STOCK"))</f>
        <v>IN STOCK</v>
      </c>
      <c r="R873" s="1">
        <f t="shared" si="54"/>
        <v>0</v>
      </c>
      <c r="T873" t="b">
        <v>0</v>
      </c>
      <c r="U873" t="str">
        <f t="shared" si="55"/>
        <v>No Return</v>
      </c>
    </row>
    <row r="874" spans="1:22" hidden="1" x14ac:dyDescent="0.3">
      <c r="A874" t="s">
        <v>927</v>
      </c>
      <c r="B874" t="s">
        <v>27</v>
      </c>
      <c r="C874" t="s">
        <v>61</v>
      </c>
      <c r="D874" t="s">
        <v>23</v>
      </c>
      <c r="E874" t="str">
        <f t="shared" si="52"/>
        <v>XS</v>
      </c>
      <c r="G874" t="s">
        <v>35</v>
      </c>
      <c r="H874" s="8">
        <v>56.09</v>
      </c>
      <c r="I874" s="3">
        <f t="shared" si="53"/>
        <v>0</v>
      </c>
      <c r="J874" s="4">
        <v>0</v>
      </c>
      <c r="K874" s="11">
        <f>Table1[[#This Row],[original_price]]* (Table1[[#This Row],[Markdown percentage updated]])</f>
        <v>0</v>
      </c>
      <c r="L8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74" s="6">
        <v>56.09</v>
      </c>
      <c r="N8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74" s="7">
        <v>45875</v>
      </c>
      <c r="P874">
        <v>21</v>
      </c>
      <c r="Q874" s="16" t="str">
        <f>IF(Table1[[#This Row],[stock_quantity]]=0,"NO STOCK",
IF(Table1[[#This Row],[stock_quantity]]&lt;=10,"LOW STOCK",
"IN STOCK"))</f>
        <v>IN STOCK</v>
      </c>
      <c r="R874" s="1">
        <f t="shared" si="54"/>
        <v>4.9000000000000004</v>
      </c>
      <c r="S874">
        <v>4.9000000000000004</v>
      </c>
      <c r="T874" t="b">
        <v>0</v>
      </c>
      <c r="U874" t="str">
        <f t="shared" si="55"/>
        <v>No Return</v>
      </c>
    </row>
    <row r="875" spans="1:22" hidden="1" x14ac:dyDescent="0.3">
      <c r="A875" t="s">
        <v>928</v>
      </c>
      <c r="B875" t="s">
        <v>30</v>
      </c>
      <c r="C875" t="s">
        <v>61</v>
      </c>
      <c r="D875" t="s">
        <v>34</v>
      </c>
      <c r="E875" t="str">
        <f t="shared" si="52"/>
        <v>OS</v>
      </c>
      <c r="F875" t="s">
        <v>55</v>
      </c>
      <c r="G875" t="s">
        <v>46</v>
      </c>
      <c r="H875" s="8">
        <v>124.81</v>
      </c>
      <c r="I875" s="3">
        <f t="shared" si="53"/>
        <v>0.33100000000000002</v>
      </c>
      <c r="J875" s="4">
        <v>33.1</v>
      </c>
      <c r="K875" s="11">
        <f>Table1[[#This Row],[original_price]]* (Table1[[#This Row],[Markdown percentage updated]])</f>
        <v>41.312110000000004</v>
      </c>
      <c r="L8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75" s="6">
        <v>83.5</v>
      </c>
      <c r="N8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75" s="7">
        <v>45875</v>
      </c>
      <c r="P875">
        <v>45</v>
      </c>
      <c r="Q875" s="16" t="str">
        <f>IF(Table1[[#This Row],[stock_quantity]]=0,"NO STOCK",
IF(Table1[[#This Row],[stock_quantity]]&lt;=10,"LOW STOCK",
"IN STOCK"))</f>
        <v>IN STOCK</v>
      </c>
      <c r="R875" s="1">
        <f t="shared" si="54"/>
        <v>2.4</v>
      </c>
      <c r="S875">
        <v>2.4</v>
      </c>
      <c r="T875" t="b">
        <v>0</v>
      </c>
      <c r="U875" t="str">
        <f t="shared" si="55"/>
        <v>No Return</v>
      </c>
    </row>
    <row r="876" spans="1:22" hidden="1" x14ac:dyDescent="0.3">
      <c r="A876" t="s">
        <v>929</v>
      </c>
      <c r="B876" t="s">
        <v>42</v>
      </c>
      <c r="C876" t="s">
        <v>16</v>
      </c>
      <c r="D876" t="s">
        <v>17</v>
      </c>
      <c r="E876" t="str">
        <f t="shared" si="52"/>
        <v>OS</v>
      </c>
      <c r="F876" t="s">
        <v>58</v>
      </c>
      <c r="G876" t="s">
        <v>35</v>
      </c>
      <c r="H876" s="8">
        <v>94.03</v>
      </c>
      <c r="I876" s="3">
        <f t="shared" si="53"/>
        <v>0.56100000000000005</v>
      </c>
      <c r="J876" s="4">
        <v>56.1</v>
      </c>
      <c r="K876" s="11">
        <f>Table1[[#This Row],[original_price]]* (Table1[[#This Row],[Markdown percentage updated]])</f>
        <v>52.750830000000008</v>
      </c>
      <c r="L8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76" s="6">
        <v>41.28</v>
      </c>
      <c r="N8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76" s="7">
        <v>45642</v>
      </c>
      <c r="P876">
        <v>16</v>
      </c>
      <c r="Q876" s="16" t="str">
        <f>IF(Table1[[#This Row],[stock_quantity]]=0,"NO STOCK",
IF(Table1[[#This Row],[stock_quantity]]&lt;=10,"LOW STOCK",
"IN STOCK"))</f>
        <v>IN STOCK</v>
      </c>
      <c r="R876" s="1">
        <f t="shared" si="54"/>
        <v>1.2</v>
      </c>
      <c r="S876">
        <v>1.2</v>
      </c>
      <c r="T876" t="b">
        <v>0</v>
      </c>
      <c r="U876" t="str">
        <f t="shared" si="55"/>
        <v>No Return</v>
      </c>
    </row>
    <row r="877" spans="1:22" hidden="1" x14ac:dyDescent="0.3">
      <c r="A877" t="s">
        <v>930</v>
      </c>
      <c r="B877" t="s">
        <v>30</v>
      </c>
      <c r="C877" t="s">
        <v>16</v>
      </c>
      <c r="D877" t="s">
        <v>34</v>
      </c>
      <c r="E877" t="str">
        <f t="shared" si="52"/>
        <v>M</v>
      </c>
      <c r="F877" t="s">
        <v>55</v>
      </c>
      <c r="G877" t="s">
        <v>19</v>
      </c>
      <c r="H877" s="8">
        <v>109.51</v>
      </c>
      <c r="I877" s="3">
        <f t="shared" si="53"/>
        <v>8.199999999999999E-2</v>
      </c>
      <c r="J877" s="4">
        <v>8.1999999999999993</v>
      </c>
      <c r="K877" s="11">
        <f>Table1[[#This Row],[original_price]]* (Table1[[#This Row],[Markdown percentage updated]])</f>
        <v>8.9798200000000001</v>
      </c>
      <c r="L8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77" s="6">
        <v>100.53</v>
      </c>
      <c r="N8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877" s="7">
        <v>45875</v>
      </c>
      <c r="P877">
        <v>12</v>
      </c>
      <c r="Q877" s="16" t="str">
        <f>IF(Table1[[#This Row],[stock_quantity]]=0,"NO STOCK",
IF(Table1[[#This Row],[stock_quantity]]&lt;=10,"LOW STOCK",
"IN STOCK"))</f>
        <v>IN STOCK</v>
      </c>
      <c r="R877" s="1">
        <f t="shared" si="54"/>
        <v>0</v>
      </c>
      <c r="T877" t="b">
        <v>0</v>
      </c>
      <c r="U877" t="str">
        <f t="shared" si="55"/>
        <v>No Return</v>
      </c>
    </row>
    <row r="878" spans="1:22" hidden="1" x14ac:dyDescent="0.3">
      <c r="A878" t="s">
        <v>931</v>
      </c>
      <c r="B878" t="s">
        <v>27</v>
      </c>
      <c r="C878" t="s">
        <v>43</v>
      </c>
      <c r="D878" t="s">
        <v>23</v>
      </c>
      <c r="E878" t="str">
        <f t="shared" si="52"/>
        <v>L</v>
      </c>
      <c r="G878" t="s">
        <v>64</v>
      </c>
      <c r="H878" s="8">
        <v>31.13</v>
      </c>
      <c r="I878" s="3">
        <f t="shared" si="53"/>
        <v>0</v>
      </c>
      <c r="J878" s="4">
        <v>0</v>
      </c>
      <c r="K878" s="11">
        <f>Table1[[#This Row],[original_price]]* (Table1[[#This Row],[Markdown percentage updated]])</f>
        <v>0</v>
      </c>
      <c r="L8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78" s="6">
        <v>31.13</v>
      </c>
      <c r="N8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78" s="7">
        <v>45875</v>
      </c>
      <c r="P878">
        <v>29</v>
      </c>
      <c r="Q878" s="16" t="str">
        <f>IF(Table1[[#This Row],[stock_quantity]]=0,"NO STOCK",
IF(Table1[[#This Row],[stock_quantity]]&lt;=10,"LOW STOCK",
"IN STOCK"))</f>
        <v>IN STOCK</v>
      </c>
      <c r="R878" s="1">
        <f t="shared" si="54"/>
        <v>4.7</v>
      </c>
      <c r="S878">
        <v>4.7</v>
      </c>
      <c r="T878" t="b">
        <v>0</v>
      </c>
      <c r="U878" t="str">
        <f t="shared" si="55"/>
        <v>No Return</v>
      </c>
    </row>
    <row r="879" spans="1:22" hidden="1" x14ac:dyDescent="0.3">
      <c r="A879" t="s">
        <v>932</v>
      </c>
      <c r="B879" t="s">
        <v>27</v>
      </c>
      <c r="C879" t="s">
        <v>32</v>
      </c>
      <c r="D879" t="s">
        <v>34</v>
      </c>
      <c r="E879" t="str">
        <f t="shared" si="52"/>
        <v>M</v>
      </c>
      <c r="G879" t="s">
        <v>44</v>
      </c>
      <c r="H879" s="8">
        <v>66.3</v>
      </c>
      <c r="I879" s="3">
        <f t="shared" si="53"/>
        <v>1.7000000000000001E-2</v>
      </c>
      <c r="J879" s="4">
        <v>1.7</v>
      </c>
      <c r="K879" s="11">
        <f>Table1[[#This Row],[original_price]]* (Table1[[#This Row],[Markdown percentage updated]])</f>
        <v>1.1271</v>
      </c>
      <c r="L8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879" s="6">
        <v>65.17</v>
      </c>
      <c r="N8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879" s="7">
        <v>45875</v>
      </c>
      <c r="P879">
        <v>28</v>
      </c>
      <c r="Q879" s="16" t="str">
        <f>IF(Table1[[#This Row],[stock_quantity]]=0,"NO STOCK",
IF(Table1[[#This Row],[stock_quantity]]&lt;=10,"LOW STOCK",
"IN STOCK"))</f>
        <v>IN STOCK</v>
      </c>
      <c r="R879" s="1">
        <f t="shared" si="54"/>
        <v>1.6</v>
      </c>
      <c r="S879">
        <v>1.6</v>
      </c>
      <c r="T879" t="b">
        <v>0</v>
      </c>
      <c r="U879" t="str">
        <f t="shared" si="55"/>
        <v>No Return</v>
      </c>
    </row>
    <row r="880" spans="1:22" hidden="1" x14ac:dyDescent="0.3">
      <c r="A880" t="s">
        <v>933</v>
      </c>
      <c r="B880" t="s">
        <v>38</v>
      </c>
      <c r="C880" t="s">
        <v>48</v>
      </c>
      <c r="D880" t="s">
        <v>23</v>
      </c>
      <c r="E880" t="str">
        <f t="shared" si="52"/>
        <v>S</v>
      </c>
      <c r="F880" t="s">
        <v>58</v>
      </c>
      <c r="G880" t="s">
        <v>19</v>
      </c>
      <c r="H880" s="8">
        <v>66.63</v>
      </c>
      <c r="I880" s="3">
        <f t="shared" si="53"/>
        <v>0.28399999999999997</v>
      </c>
      <c r="J880" s="4">
        <v>28.4</v>
      </c>
      <c r="K880" s="11">
        <f>Table1[[#This Row],[original_price]]* (Table1[[#This Row],[Markdown percentage updated]])</f>
        <v>18.922919999999998</v>
      </c>
      <c r="L8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880" s="6">
        <v>47.71</v>
      </c>
      <c r="N8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80" s="7">
        <v>45875</v>
      </c>
      <c r="P880">
        <v>32</v>
      </c>
      <c r="Q880" s="16" t="str">
        <f>IF(Table1[[#This Row],[stock_quantity]]=0,"NO STOCK",
IF(Table1[[#This Row],[stock_quantity]]&lt;=10,"LOW STOCK",
"IN STOCK"))</f>
        <v>IN STOCK</v>
      </c>
      <c r="R880" s="1">
        <f t="shared" si="54"/>
        <v>2</v>
      </c>
      <c r="S880">
        <v>2</v>
      </c>
      <c r="T880" t="b">
        <v>0</v>
      </c>
      <c r="U880" t="str">
        <f t="shared" si="55"/>
        <v>No Return</v>
      </c>
    </row>
    <row r="881" spans="1:21" hidden="1" x14ac:dyDescent="0.3">
      <c r="A881" t="s">
        <v>934</v>
      </c>
      <c r="B881" t="s">
        <v>38</v>
      </c>
      <c r="C881" t="s">
        <v>43</v>
      </c>
      <c r="D881" t="s">
        <v>17</v>
      </c>
      <c r="E881" t="str">
        <f t="shared" si="52"/>
        <v>XL</v>
      </c>
      <c r="F881" t="s">
        <v>24</v>
      </c>
      <c r="G881" t="s">
        <v>46</v>
      </c>
      <c r="H881" s="8">
        <v>117.63</v>
      </c>
      <c r="I881" s="3">
        <f t="shared" si="53"/>
        <v>0</v>
      </c>
      <c r="J881" s="4">
        <v>0</v>
      </c>
      <c r="K881" s="11">
        <f>Table1[[#This Row],[original_price]]* (Table1[[#This Row],[Markdown percentage updated]])</f>
        <v>0</v>
      </c>
      <c r="L8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81" s="6">
        <v>117.63</v>
      </c>
      <c r="N8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81" s="7">
        <v>45563</v>
      </c>
      <c r="P881">
        <v>18</v>
      </c>
      <c r="Q881" s="16" t="str">
        <f>IF(Table1[[#This Row],[stock_quantity]]=0,"NO STOCK",
IF(Table1[[#This Row],[stock_quantity]]&lt;=10,"LOW STOCK",
"IN STOCK"))</f>
        <v>IN STOCK</v>
      </c>
      <c r="R881" s="1">
        <f t="shared" si="54"/>
        <v>1.2</v>
      </c>
      <c r="S881">
        <v>1.2</v>
      </c>
      <c r="T881" t="b">
        <v>0</v>
      </c>
      <c r="U881" t="str">
        <f t="shared" si="55"/>
        <v>No Return</v>
      </c>
    </row>
    <row r="882" spans="1:21" hidden="1" x14ac:dyDescent="0.3">
      <c r="A882" t="s">
        <v>935</v>
      </c>
      <c r="B882" t="s">
        <v>30</v>
      </c>
      <c r="C882" t="s">
        <v>32</v>
      </c>
      <c r="D882" t="s">
        <v>23</v>
      </c>
      <c r="E882" t="str">
        <f t="shared" si="52"/>
        <v>OS</v>
      </c>
      <c r="F882" t="s">
        <v>58</v>
      </c>
      <c r="G882" t="s">
        <v>66</v>
      </c>
      <c r="H882" s="8">
        <v>174.53</v>
      </c>
      <c r="I882" s="3">
        <f t="shared" si="53"/>
        <v>0</v>
      </c>
      <c r="J882" s="4">
        <v>0</v>
      </c>
      <c r="K882" s="11">
        <f>Table1[[#This Row],[original_price]]* (Table1[[#This Row],[Markdown percentage updated]])</f>
        <v>0</v>
      </c>
      <c r="L8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82" s="6">
        <v>174.53</v>
      </c>
      <c r="N8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82" s="7">
        <v>45875</v>
      </c>
      <c r="P882">
        <v>45</v>
      </c>
      <c r="Q882" s="16" t="str">
        <f>IF(Table1[[#This Row],[stock_quantity]]=0,"NO STOCK",
IF(Table1[[#This Row],[stock_quantity]]&lt;=10,"LOW STOCK",
"IN STOCK"))</f>
        <v>IN STOCK</v>
      </c>
      <c r="R882" s="1">
        <f t="shared" si="54"/>
        <v>0</v>
      </c>
      <c r="T882" t="b">
        <v>0</v>
      </c>
      <c r="U882" t="str">
        <f t="shared" si="55"/>
        <v>No Return</v>
      </c>
    </row>
    <row r="883" spans="1:21" hidden="1" x14ac:dyDescent="0.3">
      <c r="A883" t="s">
        <v>936</v>
      </c>
      <c r="B883" t="s">
        <v>42</v>
      </c>
      <c r="C883" t="s">
        <v>16</v>
      </c>
      <c r="D883" t="s">
        <v>23</v>
      </c>
      <c r="E883" t="str">
        <f t="shared" si="52"/>
        <v>XL</v>
      </c>
      <c r="F883" t="s">
        <v>39</v>
      </c>
      <c r="G883" t="s">
        <v>46</v>
      </c>
      <c r="H883" s="8">
        <v>152.65</v>
      </c>
      <c r="I883" s="3">
        <f t="shared" si="53"/>
        <v>0</v>
      </c>
      <c r="J883" s="4">
        <v>0</v>
      </c>
      <c r="K883" s="11">
        <f>Table1[[#This Row],[original_price]]* (Table1[[#This Row],[Markdown percentage updated]])</f>
        <v>0</v>
      </c>
      <c r="L8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83" s="6">
        <v>152.65</v>
      </c>
      <c r="N8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83" s="7">
        <v>45875</v>
      </c>
      <c r="P883">
        <v>27</v>
      </c>
      <c r="Q883" s="16" t="str">
        <f>IF(Table1[[#This Row],[stock_quantity]]=0,"NO STOCK",
IF(Table1[[#This Row],[stock_quantity]]&lt;=10,"LOW STOCK",
"IN STOCK"))</f>
        <v>IN STOCK</v>
      </c>
      <c r="R883" s="1">
        <f t="shared" si="54"/>
        <v>3.7</v>
      </c>
      <c r="S883">
        <v>3.7</v>
      </c>
      <c r="T883" t="b">
        <v>0</v>
      </c>
      <c r="U883" t="str">
        <f t="shared" si="55"/>
        <v>No Return</v>
      </c>
    </row>
    <row r="884" spans="1:21" hidden="1" x14ac:dyDescent="0.3">
      <c r="A884" t="s">
        <v>937</v>
      </c>
      <c r="B884" t="s">
        <v>15</v>
      </c>
      <c r="C884" t="s">
        <v>53</v>
      </c>
      <c r="D884" t="s">
        <v>62</v>
      </c>
      <c r="E884" t="str">
        <f t="shared" si="52"/>
        <v>OS</v>
      </c>
      <c r="F884" t="s">
        <v>18</v>
      </c>
      <c r="G884" t="s">
        <v>44</v>
      </c>
      <c r="H884" s="8">
        <v>83.24</v>
      </c>
      <c r="I884" s="3">
        <f t="shared" si="53"/>
        <v>0</v>
      </c>
      <c r="J884" s="4">
        <v>0</v>
      </c>
      <c r="K884" s="11">
        <f>Table1[[#This Row],[original_price]]* (Table1[[#This Row],[Markdown percentage updated]])</f>
        <v>0</v>
      </c>
      <c r="L8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84" s="6">
        <v>83.24</v>
      </c>
      <c r="N8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84" s="7">
        <v>45875</v>
      </c>
      <c r="P884">
        <v>16</v>
      </c>
      <c r="Q884" s="16" t="str">
        <f>IF(Table1[[#This Row],[stock_quantity]]=0,"NO STOCK",
IF(Table1[[#This Row],[stock_quantity]]&lt;=10,"LOW STOCK",
"IN STOCK"))</f>
        <v>IN STOCK</v>
      </c>
      <c r="R884" s="1">
        <f t="shared" si="54"/>
        <v>0</v>
      </c>
      <c r="T884" t="b">
        <v>0</v>
      </c>
      <c r="U884" t="str">
        <f t="shared" si="55"/>
        <v>No Return</v>
      </c>
    </row>
    <row r="885" spans="1:21" hidden="1" x14ac:dyDescent="0.3">
      <c r="A885" t="s">
        <v>938</v>
      </c>
      <c r="B885" t="s">
        <v>27</v>
      </c>
      <c r="C885" t="s">
        <v>16</v>
      </c>
      <c r="D885" t="s">
        <v>23</v>
      </c>
      <c r="E885" t="str">
        <f t="shared" si="52"/>
        <v>OS</v>
      </c>
      <c r="G885" t="s">
        <v>70</v>
      </c>
      <c r="H885" s="8">
        <v>40.18</v>
      </c>
      <c r="I885" s="3">
        <f t="shared" si="53"/>
        <v>0</v>
      </c>
      <c r="J885" s="4">
        <v>0</v>
      </c>
      <c r="K885" s="11">
        <f>Table1[[#This Row],[original_price]]* (Table1[[#This Row],[Markdown percentage updated]])</f>
        <v>0</v>
      </c>
      <c r="L8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85" s="6">
        <v>40.18</v>
      </c>
      <c r="N8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85" s="7">
        <v>45875</v>
      </c>
      <c r="P885">
        <v>27</v>
      </c>
      <c r="Q885" s="16" t="str">
        <f>IF(Table1[[#This Row],[stock_quantity]]=0,"NO STOCK",
IF(Table1[[#This Row],[stock_quantity]]&lt;=10,"LOW STOCK",
"IN STOCK"))</f>
        <v>IN STOCK</v>
      </c>
      <c r="R885" s="1">
        <f t="shared" si="54"/>
        <v>4.7</v>
      </c>
      <c r="S885">
        <v>4.7</v>
      </c>
      <c r="T885" t="b">
        <v>0</v>
      </c>
      <c r="U885" t="str">
        <f t="shared" si="55"/>
        <v>No Return</v>
      </c>
    </row>
    <row r="886" spans="1:21" hidden="1" x14ac:dyDescent="0.3">
      <c r="A886" t="s">
        <v>939</v>
      </c>
      <c r="B886" t="s">
        <v>38</v>
      </c>
      <c r="C886" t="s">
        <v>43</v>
      </c>
      <c r="D886" t="s">
        <v>17</v>
      </c>
      <c r="E886" t="str">
        <f t="shared" si="52"/>
        <v>OS</v>
      </c>
      <c r="F886" t="s">
        <v>18</v>
      </c>
      <c r="G886" t="s">
        <v>19</v>
      </c>
      <c r="H886" s="8">
        <v>73.77</v>
      </c>
      <c r="I886" s="3">
        <f t="shared" si="53"/>
        <v>0.22800000000000001</v>
      </c>
      <c r="J886" s="4">
        <v>22.8</v>
      </c>
      <c r="K886" s="11">
        <f>Table1[[#This Row],[original_price]]* (Table1[[#This Row],[Markdown percentage updated]])</f>
        <v>16.819559999999999</v>
      </c>
      <c r="L8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886" s="6">
        <v>56.95</v>
      </c>
      <c r="N8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86" s="7">
        <v>45522</v>
      </c>
      <c r="P886">
        <v>0</v>
      </c>
      <c r="Q886" s="13" t="str">
        <f>IF(Table1[[#This Row],[stock_quantity]]=0,"NO STOCK",
IF(Table1[[#This Row],[stock_quantity]]&lt;=10,"LOW STOCK",
"IN STOCK"))</f>
        <v>NO STOCK</v>
      </c>
      <c r="R886" s="1">
        <f t="shared" si="54"/>
        <v>0</v>
      </c>
      <c r="T886" t="b">
        <v>0</v>
      </c>
      <c r="U886" t="str">
        <f t="shared" si="55"/>
        <v>No Return</v>
      </c>
    </row>
    <row r="887" spans="1:21" hidden="1" x14ac:dyDescent="0.3">
      <c r="A887" t="s">
        <v>940</v>
      </c>
      <c r="B887" t="s">
        <v>27</v>
      </c>
      <c r="C887" t="s">
        <v>75</v>
      </c>
      <c r="D887" t="s">
        <v>23</v>
      </c>
      <c r="E887" t="str">
        <f t="shared" si="52"/>
        <v>OS</v>
      </c>
      <c r="G887" t="s">
        <v>19</v>
      </c>
      <c r="H887" s="8">
        <v>71.3</v>
      </c>
      <c r="I887" s="3">
        <f t="shared" si="53"/>
        <v>0</v>
      </c>
      <c r="J887" s="4">
        <v>0</v>
      </c>
      <c r="K887" s="11">
        <f>Table1[[#This Row],[original_price]]* (Table1[[#This Row],[Markdown percentage updated]])</f>
        <v>0</v>
      </c>
      <c r="L8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87" s="6">
        <v>71.3</v>
      </c>
      <c r="N8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87" s="7">
        <v>45875</v>
      </c>
      <c r="P887">
        <v>29</v>
      </c>
      <c r="Q887" s="16" t="str">
        <f>IF(Table1[[#This Row],[stock_quantity]]=0,"NO STOCK",
IF(Table1[[#This Row],[stock_quantity]]&lt;=10,"LOW STOCK",
"IN STOCK"))</f>
        <v>IN STOCK</v>
      </c>
      <c r="R887" s="1">
        <f t="shared" si="54"/>
        <v>0</v>
      </c>
      <c r="T887" t="b">
        <v>0</v>
      </c>
      <c r="U887" t="str">
        <f t="shared" si="55"/>
        <v>No Return</v>
      </c>
    </row>
    <row r="888" spans="1:21" hidden="1" x14ac:dyDescent="0.3">
      <c r="A888" t="s">
        <v>941</v>
      </c>
      <c r="B888" t="s">
        <v>27</v>
      </c>
      <c r="C888" t="s">
        <v>75</v>
      </c>
      <c r="D888" t="s">
        <v>62</v>
      </c>
      <c r="E888" t="str">
        <f t="shared" si="52"/>
        <v>XL</v>
      </c>
      <c r="G888" t="s">
        <v>56</v>
      </c>
      <c r="H888" s="8">
        <v>50.3</v>
      </c>
      <c r="I888" s="3">
        <f t="shared" si="53"/>
        <v>0.52800000000000002</v>
      </c>
      <c r="J888" s="4">
        <v>52.8</v>
      </c>
      <c r="K888" s="11">
        <f>Table1[[#This Row],[original_price]]* (Table1[[#This Row],[Markdown percentage updated]])</f>
        <v>26.558399999999999</v>
      </c>
      <c r="L8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88" s="6">
        <v>23.74</v>
      </c>
      <c r="N8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88" s="7">
        <v>45875</v>
      </c>
      <c r="P888">
        <v>11</v>
      </c>
      <c r="Q888" s="16" t="str">
        <f>IF(Table1[[#This Row],[stock_quantity]]=0,"NO STOCK",
IF(Table1[[#This Row],[stock_quantity]]&lt;=10,"LOW STOCK",
"IN STOCK"))</f>
        <v>IN STOCK</v>
      </c>
      <c r="R888" s="1">
        <f t="shared" si="54"/>
        <v>0</v>
      </c>
      <c r="T888" t="b">
        <v>0</v>
      </c>
      <c r="U888" t="str">
        <f t="shared" si="55"/>
        <v>No Return</v>
      </c>
    </row>
    <row r="889" spans="1:21" hidden="1" x14ac:dyDescent="0.3">
      <c r="A889" t="s">
        <v>942</v>
      </c>
      <c r="B889" t="s">
        <v>27</v>
      </c>
      <c r="C889" t="s">
        <v>48</v>
      </c>
      <c r="D889" t="s">
        <v>17</v>
      </c>
      <c r="E889" t="str">
        <f t="shared" si="52"/>
        <v>L</v>
      </c>
      <c r="G889" t="s">
        <v>46</v>
      </c>
      <c r="H889" s="8">
        <v>46.97</v>
      </c>
      <c r="I889" s="3">
        <f t="shared" si="53"/>
        <v>0</v>
      </c>
      <c r="J889" s="4">
        <v>0</v>
      </c>
      <c r="K889" s="11">
        <f>Table1[[#This Row],[original_price]]* (Table1[[#This Row],[Markdown percentage updated]])</f>
        <v>0</v>
      </c>
      <c r="L8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89" s="6">
        <v>46.97</v>
      </c>
      <c r="N8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89" s="7">
        <v>45712</v>
      </c>
      <c r="P889">
        <v>33</v>
      </c>
      <c r="Q889" s="16" t="str">
        <f>IF(Table1[[#This Row],[stock_quantity]]=0,"NO STOCK",
IF(Table1[[#This Row],[stock_quantity]]&lt;=10,"LOW STOCK",
"IN STOCK"))</f>
        <v>IN STOCK</v>
      </c>
      <c r="R889" s="1">
        <f t="shared" si="54"/>
        <v>2.6</v>
      </c>
      <c r="S889">
        <v>2.6</v>
      </c>
      <c r="T889" t="b">
        <v>0</v>
      </c>
      <c r="U889" t="str">
        <f t="shared" si="55"/>
        <v>No Return</v>
      </c>
    </row>
    <row r="890" spans="1:21" hidden="1" x14ac:dyDescent="0.3">
      <c r="A890" t="s">
        <v>943</v>
      </c>
      <c r="B890" t="s">
        <v>30</v>
      </c>
      <c r="C890" t="s">
        <v>16</v>
      </c>
      <c r="D890" t="s">
        <v>34</v>
      </c>
      <c r="E890" t="str">
        <f t="shared" si="52"/>
        <v>OS</v>
      </c>
      <c r="G890" t="s">
        <v>70</v>
      </c>
      <c r="H890" s="8">
        <v>162.9</v>
      </c>
      <c r="I890" s="3">
        <f t="shared" si="53"/>
        <v>0</v>
      </c>
      <c r="J890" s="4">
        <v>0</v>
      </c>
      <c r="K890" s="11">
        <f>Table1[[#This Row],[original_price]]* (Table1[[#This Row],[Markdown percentage updated]])</f>
        <v>0</v>
      </c>
      <c r="L8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90" s="6">
        <v>162.9</v>
      </c>
      <c r="N8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90" s="7">
        <v>45875</v>
      </c>
      <c r="P890">
        <v>30</v>
      </c>
      <c r="Q890" s="16" t="str">
        <f>IF(Table1[[#This Row],[stock_quantity]]=0,"NO STOCK",
IF(Table1[[#This Row],[stock_quantity]]&lt;=10,"LOW STOCK",
"IN STOCK"))</f>
        <v>IN STOCK</v>
      </c>
      <c r="R890" s="1">
        <f t="shared" si="54"/>
        <v>1.9</v>
      </c>
      <c r="S890">
        <v>1.9</v>
      </c>
      <c r="T890" t="b">
        <v>0</v>
      </c>
      <c r="U890" t="str">
        <f t="shared" si="55"/>
        <v>No Return</v>
      </c>
    </row>
    <row r="891" spans="1:21" hidden="1" x14ac:dyDescent="0.3">
      <c r="A891" t="s">
        <v>944</v>
      </c>
      <c r="B891" t="s">
        <v>38</v>
      </c>
      <c r="C891" t="s">
        <v>75</v>
      </c>
      <c r="D891" t="s">
        <v>23</v>
      </c>
      <c r="E891" t="str">
        <f t="shared" si="52"/>
        <v>S</v>
      </c>
      <c r="F891" t="s">
        <v>18</v>
      </c>
      <c r="G891" t="s">
        <v>35</v>
      </c>
      <c r="H891" s="8">
        <v>57.14</v>
      </c>
      <c r="I891" s="3">
        <f t="shared" si="53"/>
        <v>0</v>
      </c>
      <c r="J891" s="4">
        <v>0</v>
      </c>
      <c r="K891" s="11">
        <f>Table1[[#This Row],[original_price]]* (Table1[[#This Row],[Markdown percentage updated]])</f>
        <v>0</v>
      </c>
      <c r="L8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91" s="6">
        <v>57.14</v>
      </c>
      <c r="N8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91" s="7">
        <v>45875</v>
      </c>
      <c r="P891">
        <v>39</v>
      </c>
      <c r="Q891" s="16" t="str">
        <f>IF(Table1[[#This Row],[stock_quantity]]=0,"NO STOCK",
IF(Table1[[#This Row],[stock_quantity]]&lt;=10,"LOW STOCK",
"IN STOCK"))</f>
        <v>IN STOCK</v>
      </c>
      <c r="R891" s="1">
        <f t="shared" si="54"/>
        <v>1.4</v>
      </c>
      <c r="S891">
        <v>1.4</v>
      </c>
      <c r="T891" t="b">
        <v>0</v>
      </c>
      <c r="U891" t="str">
        <f t="shared" si="55"/>
        <v>No Return</v>
      </c>
    </row>
    <row r="892" spans="1:21" hidden="1" x14ac:dyDescent="0.3">
      <c r="A892" t="s">
        <v>945</v>
      </c>
      <c r="B892" t="s">
        <v>30</v>
      </c>
      <c r="C892" t="s">
        <v>53</v>
      </c>
      <c r="D892" t="s">
        <v>17</v>
      </c>
      <c r="E892" t="str">
        <f t="shared" si="52"/>
        <v>XS</v>
      </c>
      <c r="F892" t="s">
        <v>24</v>
      </c>
      <c r="G892" t="s">
        <v>66</v>
      </c>
      <c r="H892" s="8">
        <v>93.6</v>
      </c>
      <c r="I892" s="3">
        <f t="shared" si="53"/>
        <v>0</v>
      </c>
      <c r="J892" s="4">
        <v>0</v>
      </c>
      <c r="K892" s="11">
        <f>Table1[[#This Row],[original_price]]* (Table1[[#This Row],[Markdown percentage updated]])</f>
        <v>0</v>
      </c>
      <c r="L8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92" s="6">
        <v>93.6</v>
      </c>
      <c r="N8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92" s="7">
        <v>45544</v>
      </c>
      <c r="P892">
        <v>49</v>
      </c>
      <c r="Q892" s="16" t="str">
        <f>IF(Table1[[#This Row],[stock_quantity]]=0,"NO STOCK",
IF(Table1[[#This Row],[stock_quantity]]&lt;=10,"LOW STOCK",
"IN STOCK"))</f>
        <v>IN STOCK</v>
      </c>
      <c r="R892" s="1">
        <f t="shared" si="54"/>
        <v>4.3</v>
      </c>
      <c r="S892">
        <v>4.3</v>
      </c>
      <c r="T892" t="b">
        <v>0</v>
      </c>
      <c r="U892" t="str">
        <f t="shared" si="55"/>
        <v>No Return</v>
      </c>
    </row>
    <row r="893" spans="1:21" hidden="1" x14ac:dyDescent="0.3">
      <c r="A893" t="s">
        <v>946</v>
      </c>
      <c r="B893" t="s">
        <v>27</v>
      </c>
      <c r="C893" t="s">
        <v>75</v>
      </c>
      <c r="D893" t="s">
        <v>17</v>
      </c>
      <c r="E893" t="str">
        <f t="shared" si="52"/>
        <v>OS</v>
      </c>
      <c r="G893" t="s">
        <v>70</v>
      </c>
      <c r="H893" s="8">
        <v>64.56</v>
      </c>
      <c r="I893" s="3">
        <f t="shared" si="53"/>
        <v>0.43</v>
      </c>
      <c r="J893" s="4">
        <v>43</v>
      </c>
      <c r="K893" s="11">
        <f>Table1[[#This Row],[original_price]]* (Table1[[#This Row],[Markdown percentage updated]])</f>
        <v>27.7608</v>
      </c>
      <c r="L8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93" s="6">
        <v>36.799999999999997</v>
      </c>
      <c r="N8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93" s="7">
        <v>45510</v>
      </c>
      <c r="P893">
        <v>36</v>
      </c>
      <c r="Q893" s="16" t="str">
        <f>IF(Table1[[#This Row],[stock_quantity]]=0,"NO STOCK",
IF(Table1[[#This Row],[stock_quantity]]&lt;=10,"LOW STOCK",
"IN STOCK"))</f>
        <v>IN STOCK</v>
      </c>
      <c r="R893" s="1">
        <f t="shared" si="54"/>
        <v>3.9</v>
      </c>
      <c r="S893">
        <v>3.9</v>
      </c>
      <c r="T893" t="b">
        <v>0</v>
      </c>
      <c r="U893" t="str">
        <f t="shared" si="55"/>
        <v>No Return</v>
      </c>
    </row>
    <row r="894" spans="1:21" hidden="1" x14ac:dyDescent="0.3">
      <c r="A894" t="s">
        <v>947</v>
      </c>
      <c r="B894" t="s">
        <v>15</v>
      </c>
      <c r="C894" t="s">
        <v>53</v>
      </c>
      <c r="D894" t="s">
        <v>23</v>
      </c>
      <c r="E894" t="str">
        <f t="shared" si="52"/>
        <v>XS</v>
      </c>
      <c r="F894" t="s">
        <v>39</v>
      </c>
      <c r="G894" t="s">
        <v>64</v>
      </c>
      <c r="H894" s="8">
        <v>142.34</v>
      </c>
      <c r="I894" s="3">
        <f t="shared" si="53"/>
        <v>0</v>
      </c>
      <c r="J894" s="4">
        <v>0</v>
      </c>
      <c r="K894" s="11">
        <f>Table1[[#This Row],[original_price]]* (Table1[[#This Row],[Markdown percentage updated]])</f>
        <v>0</v>
      </c>
      <c r="L8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94" s="6">
        <v>142.34</v>
      </c>
      <c r="N8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94" s="7">
        <v>45875</v>
      </c>
      <c r="P894">
        <v>43</v>
      </c>
      <c r="Q894" s="16" t="str">
        <f>IF(Table1[[#This Row],[stock_quantity]]=0,"NO STOCK",
IF(Table1[[#This Row],[stock_quantity]]&lt;=10,"LOW STOCK",
"IN STOCK"))</f>
        <v>IN STOCK</v>
      </c>
      <c r="R894" s="1">
        <f t="shared" si="54"/>
        <v>0</v>
      </c>
      <c r="T894" t="b">
        <v>0</v>
      </c>
      <c r="U894" t="str">
        <f t="shared" si="55"/>
        <v>No Return</v>
      </c>
    </row>
    <row r="895" spans="1:21" hidden="1" x14ac:dyDescent="0.3">
      <c r="A895" t="s">
        <v>948</v>
      </c>
      <c r="B895" t="s">
        <v>30</v>
      </c>
      <c r="C895" t="s">
        <v>61</v>
      </c>
      <c r="D895" t="s">
        <v>17</v>
      </c>
      <c r="E895" t="str">
        <f t="shared" si="52"/>
        <v>OS</v>
      </c>
      <c r="F895" t="s">
        <v>55</v>
      </c>
      <c r="G895" t="s">
        <v>35</v>
      </c>
      <c r="H895" s="8">
        <v>111.02</v>
      </c>
      <c r="I895" s="3">
        <f t="shared" si="53"/>
        <v>0.57799999999999996</v>
      </c>
      <c r="J895" s="4">
        <v>57.8</v>
      </c>
      <c r="K895" s="11">
        <f>Table1[[#This Row],[original_price]]* (Table1[[#This Row],[Markdown percentage updated]])</f>
        <v>64.16955999999999</v>
      </c>
      <c r="L8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95" s="6">
        <v>46.85</v>
      </c>
      <c r="N8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895" s="7">
        <v>45796</v>
      </c>
      <c r="P895">
        <v>11</v>
      </c>
      <c r="Q895" s="16" t="str">
        <f>IF(Table1[[#This Row],[stock_quantity]]=0,"NO STOCK",
IF(Table1[[#This Row],[stock_quantity]]&lt;=10,"LOW STOCK",
"IN STOCK"))</f>
        <v>IN STOCK</v>
      </c>
      <c r="R895" s="1">
        <f t="shared" si="54"/>
        <v>2.2000000000000002</v>
      </c>
      <c r="S895">
        <v>2.2000000000000002</v>
      </c>
      <c r="T895" t="b">
        <v>0</v>
      </c>
      <c r="U895" t="str">
        <f t="shared" si="55"/>
        <v>No Return</v>
      </c>
    </row>
    <row r="896" spans="1:21" hidden="1" x14ac:dyDescent="0.3">
      <c r="A896" t="s">
        <v>949</v>
      </c>
      <c r="B896" t="s">
        <v>21</v>
      </c>
      <c r="C896" t="s">
        <v>32</v>
      </c>
      <c r="D896" t="s">
        <v>23</v>
      </c>
      <c r="E896" t="str">
        <f t="shared" si="52"/>
        <v>M</v>
      </c>
      <c r="G896" t="s">
        <v>28</v>
      </c>
      <c r="H896" s="8">
        <v>29.16</v>
      </c>
      <c r="I896" s="3">
        <f t="shared" si="53"/>
        <v>0.49</v>
      </c>
      <c r="J896" s="4">
        <v>49</v>
      </c>
      <c r="K896" s="11">
        <f>Table1[[#This Row],[original_price]]* (Table1[[#This Row],[Markdown percentage updated]])</f>
        <v>14.288399999999999</v>
      </c>
      <c r="L8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896" s="6">
        <v>14.87</v>
      </c>
      <c r="N8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896" s="7">
        <v>45875</v>
      </c>
      <c r="P896">
        <v>31</v>
      </c>
      <c r="Q896" s="16" t="str">
        <f>IF(Table1[[#This Row],[stock_quantity]]=0,"NO STOCK",
IF(Table1[[#This Row],[stock_quantity]]&lt;=10,"LOW STOCK",
"IN STOCK"))</f>
        <v>IN STOCK</v>
      </c>
      <c r="R896" s="1">
        <f t="shared" si="54"/>
        <v>0</v>
      </c>
      <c r="T896" t="b">
        <v>0</v>
      </c>
      <c r="U896" t="str">
        <f t="shared" si="55"/>
        <v>No Return</v>
      </c>
    </row>
    <row r="897" spans="1:22" hidden="1" x14ac:dyDescent="0.3">
      <c r="A897" t="s">
        <v>950</v>
      </c>
      <c r="B897" t="s">
        <v>21</v>
      </c>
      <c r="C897" t="s">
        <v>53</v>
      </c>
      <c r="D897" t="s">
        <v>62</v>
      </c>
      <c r="E897" t="str">
        <f t="shared" si="52"/>
        <v>M</v>
      </c>
      <c r="F897" t="s">
        <v>55</v>
      </c>
      <c r="G897" t="s">
        <v>28</v>
      </c>
      <c r="H897" s="8">
        <v>30.46</v>
      </c>
      <c r="I897" s="3">
        <f t="shared" si="53"/>
        <v>0</v>
      </c>
      <c r="J897" s="4">
        <v>0</v>
      </c>
      <c r="K897" s="11">
        <f>Table1[[#This Row],[original_price]]* (Table1[[#This Row],[Markdown percentage updated]])</f>
        <v>0</v>
      </c>
      <c r="L8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97" s="6">
        <v>30.46</v>
      </c>
      <c r="N8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97" s="7">
        <v>45875</v>
      </c>
      <c r="P897">
        <v>19</v>
      </c>
      <c r="Q897" s="16" t="str">
        <f>IF(Table1[[#This Row],[stock_quantity]]=0,"NO STOCK",
IF(Table1[[#This Row],[stock_quantity]]&lt;=10,"LOW STOCK",
"IN STOCK"))</f>
        <v>IN STOCK</v>
      </c>
      <c r="R897" s="1">
        <f t="shared" si="54"/>
        <v>1.2</v>
      </c>
      <c r="S897">
        <v>1.2</v>
      </c>
      <c r="T897" t="b">
        <v>0</v>
      </c>
      <c r="U897" t="str">
        <f t="shared" si="55"/>
        <v>No Return</v>
      </c>
    </row>
    <row r="898" spans="1:22" hidden="1" x14ac:dyDescent="0.3">
      <c r="A898" t="s">
        <v>951</v>
      </c>
      <c r="B898" t="s">
        <v>27</v>
      </c>
      <c r="C898" t="s">
        <v>75</v>
      </c>
      <c r="D898" t="s">
        <v>23</v>
      </c>
      <c r="E898" t="str">
        <f t="shared" ref="E898:E961" si="56">IF(ISBLANK(F901),"OS",F901)</f>
        <v>L</v>
      </c>
      <c r="G898" t="s">
        <v>44</v>
      </c>
      <c r="H898" s="8">
        <v>31.32</v>
      </c>
      <c r="I898" s="3">
        <f t="shared" ref="I898:I961" si="57">J898/100</f>
        <v>0</v>
      </c>
      <c r="J898" s="4">
        <v>0</v>
      </c>
      <c r="K898" s="11">
        <f>Table1[[#This Row],[original_price]]* (Table1[[#This Row],[Markdown percentage updated]])</f>
        <v>0</v>
      </c>
      <c r="L8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98" s="6">
        <v>31.32</v>
      </c>
      <c r="N8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98" s="7">
        <v>45875</v>
      </c>
      <c r="P898">
        <v>28</v>
      </c>
      <c r="Q898" s="16" t="str">
        <f>IF(Table1[[#This Row],[stock_quantity]]=0,"NO STOCK",
IF(Table1[[#This Row],[stock_quantity]]&lt;=10,"LOW STOCK",
"IN STOCK"))</f>
        <v>IN STOCK</v>
      </c>
      <c r="R898" s="1">
        <f t="shared" si="54"/>
        <v>2.7</v>
      </c>
      <c r="S898">
        <v>2.7</v>
      </c>
      <c r="T898" t="b">
        <v>0</v>
      </c>
      <c r="U898" t="str">
        <f t="shared" si="55"/>
        <v>No Return</v>
      </c>
    </row>
    <row r="899" spans="1:22" hidden="1" x14ac:dyDescent="0.3">
      <c r="A899" t="s">
        <v>952</v>
      </c>
      <c r="B899" t="s">
        <v>38</v>
      </c>
      <c r="C899" t="s">
        <v>22</v>
      </c>
      <c r="D899" t="s">
        <v>17</v>
      </c>
      <c r="E899" t="str">
        <f t="shared" si="56"/>
        <v>OS</v>
      </c>
      <c r="F899" t="s">
        <v>58</v>
      </c>
      <c r="G899" t="s">
        <v>25</v>
      </c>
      <c r="H899" s="8">
        <v>61.78</v>
      </c>
      <c r="I899" s="3">
        <f t="shared" si="57"/>
        <v>0</v>
      </c>
      <c r="J899" s="4">
        <v>0</v>
      </c>
      <c r="K899" s="11">
        <f>Table1[[#This Row],[original_price]]* (Table1[[#This Row],[Markdown percentage updated]])</f>
        <v>0</v>
      </c>
      <c r="L8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899" s="6">
        <v>61.78</v>
      </c>
      <c r="N8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899" s="7">
        <v>45868</v>
      </c>
      <c r="P899">
        <v>24</v>
      </c>
      <c r="Q899" s="16" t="str">
        <f>IF(Table1[[#This Row],[stock_quantity]]=0,"NO STOCK",
IF(Table1[[#This Row],[stock_quantity]]&lt;=10,"LOW STOCK",
"IN STOCK"))</f>
        <v>IN STOCK</v>
      </c>
      <c r="R899" s="1">
        <f t="shared" ref="R899:R962" si="58">IF(ISBLANK(S899), 0, S899)</f>
        <v>3.5</v>
      </c>
      <c r="S899">
        <v>3.5</v>
      </c>
      <c r="T899" t="b">
        <v>0</v>
      </c>
      <c r="U899" t="str">
        <f t="shared" ref="U899:U962" si="59">IF(V899="","No Return",V899)</f>
        <v>No Return</v>
      </c>
    </row>
    <row r="900" spans="1:22" hidden="1" x14ac:dyDescent="0.3">
      <c r="A900" t="s">
        <v>953</v>
      </c>
      <c r="B900" t="s">
        <v>15</v>
      </c>
      <c r="C900" t="s">
        <v>16</v>
      </c>
      <c r="D900" t="s">
        <v>62</v>
      </c>
      <c r="E900" t="str">
        <f t="shared" si="56"/>
        <v>M</v>
      </c>
      <c r="F900" t="s">
        <v>58</v>
      </c>
      <c r="G900" t="s">
        <v>46</v>
      </c>
      <c r="H900" s="8">
        <v>126.27</v>
      </c>
      <c r="I900" s="3">
        <f t="shared" si="57"/>
        <v>0</v>
      </c>
      <c r="J900" s="4">
        <v>0</v>
      </c>
      <c r="K900" s="11">
        <f>Table1[[#This Row],[original_price]]* (Table1[[#This Row],[Markdown percentage updated]])</f>
        <v>0</v>
      </c>
      <c r="L9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00" s="6">
        <v>126.27</v>
      </c>
      <c r="N9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00" s="7">
        <v>45875</v>
      </c>
      <c r="P900">
        <v>1</v>
      </c>
      <c r="Q900" s="17" t="str">
        <f>IF(Table1[[#This Row],[stock_quantity]]=0,"NO STOCK",
IF(Table1[[#This Row],[stock_quantity]]&lt;=10,"LOW STOCK",
"IN STOCK"))</f>
        <v>LOW STOCK</v>
      </c>
      <c r="R900" s="1">
        <f t="shared" si="58"/>
        <v>4.7</v>
      </c>
      <c r="S900">
        <v>4.7</v>
      </c>
      <c r="T900" t="b">
        <v>0</v>
      </c>
      <c r="U900" t="str">
        <f t="shared" si="59"/>
        <v>No Return</v>
      </c>
    </row>
    <row r="901" spans="1:22" hidden="1" x14ac:dyDescent="0.3">
      <c r="A901" t="s">
        <v>954</v>
      </c>
      <c r="B901" t="s">
        <v>15</v>
      </c>
      <c r="C901" t="s">
        <v>22</v>
      </c>
      <c r="D901" t="s">
        <v>23</v>
      </c>
      <c r="E901" t="str">
        <f t="shared" si="56"/>
        <v>OS</v>
      </c>
      <c r="F901" t="s">
        <v>24</v>
      </c>
      <c r="G901" t="s">
        <v>35</v>
      </c>
      <c r="H901" s="8">
        <v>147.53</v>
      </c>
      <c r="I901" s="3">
        <f t="shared" si="57"/>
        <v>0</v>
      </c>
      <c r="J901" s="4">
        <v>0</v>
      </c>
      <c r="K901" s="11">
        <f>Table1[[#This Row],[original_price]]* (Table1[[#This Row],[Markdown percentage updated]])</f>
        <v>0</v>
      </c>
      <c r="L9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01" s="6">
        <v>147.53</v>
      </c>
      <c r="N9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01" s="7">
        <v>45875</v>
      </c>
      <c r="P901">
        <v>33</v>
      </c>
      <c r="Q901" s="16" t="str">
        <f>IF(Table1[[#This Row],[stock_quantity]]=0,"NO STOCK",
IF(Table1[[#This Row],[stock_quantity]]&lt;=10,"LOW STOCK",
"IN STOCK"))</f>
        <v>IN STOCK</v>
      </c>
      <c r="R901" s="1">
        <f t="shared" si="58"/>
        <v>4.7</v>
      </c>
      <c r="S901">
        <v>4.7</v>
      </c>
      <c r="T901" t="b">
        <v>1</v>
      </c>
      <c r="U901" s="13" t="str">
        <f t="shared" si="59"/>
        <v>Quality Issue</v>
      </c>
      <c r="V901" t="s">
        <v>83</v>
      </c>
    </row>
    <row r="902" spans="1:22" hidden="1" x14ac:dyDescent="0.3">
      <c r="A902" t="s">
        <v>955</v>
      </c>
      <c r="B902" t="s">
        <v>27</v>
      </c>
      <c r="C902" t="s">
        <v>32</v>
      </c>
      <c r="D902" t="s">
        <v>62</v>
      </c>
      <c r="E902" t="str">
        <f t="shared" si="56"/>
        <v>XS</v>
      </c>
      <c r="G902" t="s">
        <v>19</v>
      </c>
      <c r="H902" s="8">
        <v>36.979999999999997</v>
      </c>
      <c r="I902" s="3">
        <f t="shared" si="57"/>
        <v>0.122</v>
      </c>
      <c r="J902" s="4">
        <v>12.2</v>
      </c>
      <c r="K902" s="11">
        <f>Table1[[#This Row],[original_price]]* (Table1[[#This Row],[Markdown percentage updated]])</f>
        <v>4.5115599999999993</v>
      </c>
      <c r="L9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02" s="6">
        <v>32.47</v>
      </c>
      <c r="N9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902" s="7">
        <v>45875</v>
      </c>
      <c r="P902">
        <v>14</v>
      </c>
      <c r="Q902" s="16" t="str">
        <f>IF(Table1[[#This Row],[stock_quantity]]=0,"NO STOCK",
IF(Table1[[#This Row],[stock_quantity]]&lt;=10,"LOW STOCK",
"IN STOCK"))</f>
        <v>IN STOCK</v>
      </c>
      <c r="R902" s="1">
        <f t="shared" si="58"/>
        <v>4.8</v>
      </c>
      <c r="S902">
        <v>4.8</v>
      </c>
      <c r="T902" t="b">
        <v>0</v>
      </c>
      <c r="U902" t="str">
        <f t="shared" si="59"/>
        <v>No Return</v>
      </c>
    </row>
    <row r="903" spans="1:22" hidden="1" x14ac:dyDescent="0.3">
      <c r="A903" t="s">
        <v>956</v>
      </c>
      <c r="B903" t="s">
        <v>30</v>
      </c>
      <c r="C903" t="s">
        <v>48</v>
      </c>
      <c r="D903" t="s">
        <v>34</v>
      </c>
      <c r="E903" t="str">
        <f t="shared" si="56"/>
        <v>OS</v>
      </c>
      <c r="F903" t="s">
        <v>58</v>
      </c>
      <c r="G903" t="s">
        <v>25</v>
      </c>
      <c r="H903" s="8">
        <v>172.41</v>
      </c>
      <c r="I903" s="3">
        <f t="shared" si="57"/>
        <v>0</v>
      </c>
      <c r="J903" s="4">
        <v>0</v>
      </c>
      <c r="K903" s="11">
        <f>Table1[[#This Row],[original_price]]* (Table1[[#This Row],[Markdown percentage updated]])</f>
        <v>0</v>
      </c>
      <c r="L9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03" s="6">
        <v>172.41</v>
      </c>
      <c r="N9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03" s="7">
        <v>45875</v>
      </c>
      <c r="P903">
        <v>33</v>
      </c>
      <c r="Q903" s="16" t="str">
        <f>IF(Table1[[#This Row],[stock_quantity]]=0,"NO STOCK",
IF(Table1[[#This Row],[stock_quantity]]&lt;=10,"LOW STOCK",
"IN STOCK"))</f>
        <v>IN STOCK</v>
      </c>
      <c r="R903" s="1">
        <f t="shared" si="58"/>
        <v>2.2999999999999998</v>
      </c>
      <c r="S903">
        <v>2.2999999999999998</v>
      </c>
      <c r="T903" t="b">
        <v>0</v>
      </c>
      <c r="U903" t="str">
        <f t="shared" si="59"/>
        <v>No Return</v>
      </c>
    </row>
    <row r="904" spans="1:22" hidden="1" x14ac:dyDescent="0.3">
      <c r="A904" t="s">
        <v>957</v>
      </c>
      <c r="B904" t="s">
        <v>27</v>
      </c>
      <c r="C904" t="s">
        <v>48</v>
      </c>
      <c r="D904" t="s">
        <v>17</v>
      </c>
      <c r="E904" t="str">
        <f t="shared" si="56"/>
        <v>XL</v>
      </c>
      <c r="G904" t="s">
        <v>25</v>
      </c>
      <c r="H904" s="8">
        <v>53.79</v>
      </c>
      <c r="I904" s="3">
        <f t="shared" si="57"/>
        <v>0.16</v>
      </c>
      <c r="J904" s="4">
        <v>16</v>
      </c>
      <c r="K904" s="11">
        <f>Table1[[#This Row],[original_price]]* (Table1[[#This Row],[Markdown percentage updated]])</f>
        <v>8.6064000000000007</v>
      </c>
      <c r="L9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04" s="6">
        <v>45.18</v>
      </c>
      <c r="N9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904" s="7">
        <v>45566</v>
      </c>
      <c r="P904">
        <v>32</v>
      </c>
      <c r="Q904" s="16" t="str">
        <f>IF(Table1[[#This Row],[stock_quantity]]=0,"NO STOCK",
IF(Table1[[#This Row],[stock_quantity]]&lt;=10,"LOW STOCK",
"IN STOCK"))</f>
        <v>IN STOCK</v>
      </c>
      <c r="R904" s="1">
        <f t="shared" si="58"/>
        <v>0</v>
      </c>
      <c r="T904" t="b">
        <v>0</v>
      </c>
      <c r="U904" t="str">
        <f t="shared" si="59"/>
        <v>No Return</v>
      </c>
    </row>
    <row r="905" spans="1:22" hidden="1" x14ac:dyDescent="0.3">
      <c r="A905" t="s">
        <v>958</v>
      </c>
      <c r="B905" t="s">
        <v>30</v>
      </c>
      <c r="C905" t="s">
        <v>43</v>
      </c>
      <c r="D905" t="s">
        <v>62</v>
      </c>
      <c r="E905" t="str">
        <f t="shared" si="56"/>
        <v>XXL</v>
      </c>
      <c r="F905" t="s">
        <v>55</v>
      </c>
      <c r="G905" t="s">
        <v>56</v>
      </c>
      <c r="H905" s="8">
        <v>80.56</v>
      </c>
      <c r="I905" s="3">
        <f t="shared" si="57"/>
        <v>0</v>
      </c>
      <c r="J905" s="4">
        <v>0</v>
      </c>
      <c r="K905" s="11">
        <f>Table1[[#This Row],[original_price]]* (Table1[[#This Row],[Markdown percentage updated]])</f>
        <v>0</v>
      </c>
      <c r="L9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05" s="6">
        <v>80.56</v>
      </c>
      <c r="N9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05" s="7">
        <v>45875</v>
      </c>
      <c r="P905">
        <v>7</v>
      </c>
      <c r="Q905" s="17" t="str">
        <f>IF(Table1[[#This Row],[stock_quantity]]=0,"NO STOCK",
IF(Table1[[#This Row],[stock_quantity]]&lt;=10,"LOW STOCK",
"IN STOCK"))</f>
        <v>LOW STOCK</v>
      </c>
      <c r="R905" s="1">
        <f t="shared" si="58"/>
        <v>1.9</v>
      </c>
      <c r="S905">
        <v>1.9</v>
      </c>
      <c r="T905" t="b">
        <v>0</v>
      </c>
      <c r="U905" t="str">
        <f t="shared" si="59"/>
        <v>No Return</v>
      </c>
    </row>
    <row r="906" spans="1:22" hidden="1" x14ac:dyDescent="0.3">
      <c r="A906" t="s">
        <v>959</v>
      </c>
      <c r="B906" t="s">
        <v>27</v>
      </c>
      <c r="C906" t="s">
        <v>43</v>
      </c>
      <c r="D906" t="s">
        <v>34</v>
      </c>
      <c r="E906" t="str">
        <f t="shared" si="56"/>
        <v>S</v>
      </c>
      <c r="G906" t="s">
        <v>25</v>
      </c>
      <c r="H906" s="8">
        <v>51.72</v>
      </c>
      <c r="I906" s="3">
        <f t="shared" si="57"/>
        <v>0</v>
      </c>
      <c r="J906" s="4">
        <v>0</v>
      </c>
      <c r="K906" s="11">
        <f>Table1[[#This Row],[original_price]]* (Table1[[#This Row],[Markdown percentage updated]])</f>
        <v>0</v>
      </c>
      <c r="L9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06" s="6">
        <v>51.72</v>
      </c>
      <c r="N9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06" s="7">
        <v>45875</v>
      </c>
      <c r="P906">
        <v>35</v>
      </c>
      <c r="Q906" s="16" t="str">
        <f>IF(Table1[[#This Row],[stock_quantity]]=0,"NO STOCK",
IF(Table1[[#This Row],[stock_quantity]]&lt;=10,"LOW STOCK",
"IN STOCK"))</f>
        <v>IN STOCK</v>
      </c>
      <c r="R906" s="1">
        <f t="shared" si="58"/>
        <v>3.7</v>
      </c>
      <c r="S906">
        <v>3.7</v>
      </c>
      <c r="T906" t="b">
        <v>1</v>
      </c>
      <c r="U906" s="13" t="str">
        <f t="shared" si="59"/>
        <v>Damaged</v>
      </c>
      <c r="V906" t="s">
        <v>78</v>
      </c>
    </row>
    <row r="907" spans="1:22" hidden="1" x14ac:dyDescent="0.3">
      <c r="A907" t="s">
        <v>960</v>
      </c>
      <c r="B907" t="s">
        <v>38</v>
      </c>
      <c r="C907" t="s">
        <v>43</v>
      </c>
      <c r="D907" t="s">
        <v>17</v>
      </c>
      <c r="E907" t="str">
        <f t="shared" si="56"/>
        <v>XXL</v>
      </c>
      <c r="F907" t="s">
        <v>18</v>
      </c>
      <c r="G907" t="s">
        <v>25</v>
      </c>
      <c r="H907" s="8">
        <v>107.22</v>
      </c>
      <c r="I907" s="3">
        <f t="shared" si="57"/>
        <v>0.37799999999999995</v>
      </c>
      <c r="J907" s="4">
        <v>37.799999999999997</v>
      </c>
      <c r="K907" s="11">
        <f>Table1[[#This Row],[original_price]]* (Table1[[#This Row],[Markdown percentage updated]])</f>
        <v>40.529159999999997</v>
      </c>
      <c r="L9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07" s="6">
        <v>66.69</v>
      </c>
      <c r="N9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07" s="7">
        <v>45849</v>
      </c>
      <c r="P907">
        <v>21</v>
      </c>
      <c r="Q907" s="16" t="str">
        <f>IF(Table1[[#This Row],[stock_quantity]]=0,"NO STOCK",
IF(Table1[[#This Row],[stock_quantity]]&lt;=10,"LOW STOCK",
"IN STOCK"))</f>
        <v>IN STOCK</v>
      </c>
      <c r="R907" s="1">
        <f t="shared" si="58"/>
        <v>2.9</v>
      </c>
      <c r="S907">
        <v>2.9</v>
      </c>
      <c r="T907" t="b">
        <v>0</v>
      </c>
      <c r="U907" t="str">
        <f t="shared" si="59"/>
        <v>No Return</v>
      </c>
    </row>
    <row r="908" spans="1:22" hidden="1" x14ac:dyDescent="0.3">
      <c r="A908" t="s">
        <v>961</v>
      </c>
      <c r="B908" t="s">
        <v>30</v>
      </c>
      <c r="C908" t="s">
        <v>48</v>
      </c>
      <c r="D908" t="s">
        <v>34</v>
      </c>
      <c r="E908" t="str">
        <f t="shared" si="56"/>
        <v>XS</v>
      </c>
      <c r="F908" t="s">
        <v>49</v>
      </c>
      <c r="G908" t="s">
        <v>46</v>
      </c>
      <c r="H908" s="8">
        <v>174.99</v>
      </c>
      <c r="I908" s="3">
        <f t="shared" si="57"/>
        <v>0.501</v>
      </c>
      <c r="J908" s="4">
        <v>50.1</v>
      </c>
      <c r="K908" s="11">
        <f>Table1[[#This Row],[original_price]]* (Table1[[#This Row],[Markdown percentage updated]])</f>
        <v>87.669989999999999</v>
      </c>
      <c r="L9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08" s="6">
        <v>87.32</v>
      </c>
      <c r="N9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08" s="7">
        <v>45875</v>
      </c>
      <c r="P908">
        <v>7</v>
      </c>
      <c r="Q908" s="17" t="str">
        <f>IF(Table1[[#This Row],[stock_quantity]]=0,"NO STOCK",
IF(Table1[[#This Row],[stock_quantity]]&lt;=10,"LOW STOCK",
"IN STOCK"))</f>
        <v>LOW STOCK</v>
      </c>
      <c r="R908" s="1">
        <f t="shared" si="58"/>
        <v>4.9000000000000004</v>
      </c>
      <c r="S908">
        <v>4.9000000000000004</v>
      </c>
      <c r="T908" t="b">
        <v>0</v>
      </c>
      <c r="U908" t="str">
        <f t="shared" si="59"/>
        <v>No Return</v>
      </c>
    </row>
    <row r="909" spans="1:22" hidden="1" x14ac:dyDescent="0.3">
      <c r="A909" t="s">
        <v>962</v>
      </c>
      <c r="B909" t="s">
        <v>42</v>
      </c>
      <c r="C909" t="s">
        <v>75</v>
      </c>
      <c r="D909" t="s">
        <v>17</v>
      </c>
      <c r="E909" t="str">
        <f t="shared" si="56"/>
        <v>OS</v>
      </c>
      <c r="F909" t="s">
        <v>39</v>
      </c>
      <c r="G909" t="s">
        <v>44</v>
      </c>
      <c r="H909" s="8">
        <v>90.52</v>
      </c>
      <c r="I909" s="3">
        <f t="shared" si="57"/>
        <v>0.53200000000000003</v>
      </c>
      <c r="J909" s="4">
        <v>53.2</v>
      </c>
      <c r="K909" s="11">
        <f>Table1[[#This Row],[original_price]]* (Table1[[#This Row],[Markdown percentage updated]])</f>
        <v>48.156640000000003</v>
      </c>
      <c r="L9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09" s="6">
        <v>42.36</v>
      </c>
      <c r="N9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09" s="7">
        <v>45866</v>
      </c>
      <c r="P909">
        <v>37</v>
      </c>
      <c r="Q909" s="16" t="str">
        <f>IF(Table1[[#This Row],[stock_quantity]]=0,"NO STOCK",
IF(Table1[[#This Row],[stock_quantity]]&lt;=10,"LOW STOCK",
"IN STOCK"))</f>
        <v>IN STOCK</v>
      </c>
      <c r="R909" s="1">
        <f t="shared" si="58"/>
        <v>2.2000000000000002</v>
      </c>
      <c r="S909">
        <v>2.2000000000000002</v>
      </c>
      <c r="T909" t="b">
        <v>0</v>
      </c>
      <c r="U909" t="str">
        <f t="shared" si="59"/>
        <v>No Return</v>
      </c>
    </row>
    <row r="910" spans="1:22" hidden="1" x14ac:dyDescent="0.3">
      <c r="A910" t="s">
        <v>963</v>
      </c>
      <c r="B910" t="s">
        <v>30</v>
      </c>
      <c r="C910" t="s">
        <v>75</v>
      </c>
      <c r="D910" t="s">
        <v>62</v>
      </c>
      <c r="E910" t="str">
        <f t="shared" si="56"/>
        <v>S</v>
      </c>
      <c r="F910" t="s">
        <v>49</v>
      </c>
      <c r="G910" t="s">
        <v>46</v>
      </c>
      <c r="H910" s="8">
        <v>94.93</v>
      </c>
      <c r="I910" s="3">
        <f t="shared" si="57"/>
        <v>0.16600000000000001</v>
      </c>
      <c r="J910" s="4">
        <v>16.600000000000001</v>
      </c>
      <c r="K910" s="11">
        <f>Table1[[#This Row],[original_price]]* (Table1[[#This Row],[Markdown percentage updated]])</f>
        <v>15.758380000000002</v>
      </c>
      <c r="L9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10" s="6">
        <v>79.17</v>
      </c>
      <c r="N9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910" s="7">
        <v>45875</v>
      </c>
      <c r="P910">
        <v>39</v>
      </c>
      <c r="Q910" s="16" t="str">
        <f>IF(Table1[[#This Row],[stock_quantity]]=0,"NO STOCK",
IF(Table1[[#This Row],[stock_quantity]]&lt;=10,"LOW STOCK",
"IN STOCK"))</f>
        <v>IN STOCK</v>
      </c>
      <c r="R910" s="1">
        <f t="shared" si="58"/>
        <v>4.8</v>
      </c>
      <c r="S910">
        <v>4.8</v>
      </c>
      <c r="T910" t="b">
        <v>0</v>
      </c>
      <c r="U910" t="str">
        <f t="shared" si="59"/>
        <v>No Return</v>
      </c>
    </row>
    <row r="911" spans="1:22" hidden="1" x14ac:dyDescent="0.3">
      <c r="A911" t="s">
        <v>964</v>
      </c>
      <c r="B911" t="s">
        <v>30</v>
      </c>
      <c r="C911" t="s">
        <v>32</v>
      </c>
      <c r="D911" t="s">
        <v>23</v>
      </c>
      <c r="E911" t="str">
        <f t="shared" si="56"/>
        <v>S</v>
      </c>
      <c r="F911" t="s">
        <v>55</v>
      </c>
      <c r="G911" t="s">
        <v>40</v>
      </c>
      <c r="H911" s="8">
        <v>179.82</v>
      </c>
      <c r="I911" s="3">
        <f t="shared" si="57"/>
        <v>0</v>
      </c>
      <c r="J911" s="4">
        <v>0</v>
      </c>
      <c r="K911" s="11">
        <f>Table1[[#This Row],[original_price]]* (Table1[[#This Row],[Markdown percentage updated]])</f>
        <v>0</v>
      </c>
      <c r="L9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11" s="6">
        <v>179.82</v>
      </c>
      <c r="N9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11" s="7">
        <v>45875</v>
      </c>
      <c r="P911">
        <v>28</v>
      </c>
      <c r="Q911" s="16" t="str">
        <f>IF(Table1[[#This Row],[stock_quantity]]=0,"NO STOCK",
IF(Table1[[#This Row],[stock_quantity]]&lt;=10,"LOW STOCK",
"IN STOCK"))</f>
        <v>IN STOCK</v>
      </c>
      <c r="R911" s="1">
        <f t="shared" si="58"/>
        <v>2.4</v>
      </c>
      <c r="S911">
        <v>2.4</v>
      </c>
      <c r="T911" t="b">
        <v>1</v>
      </c>
      <c r="U911" s="13" t="str">
        <f t="shared" si="59"/>
        <v>Damaged</v>
      </c>
      <c r="V911" t="s">
        <v>78</v>
      </c>
    </row>
    <row r="912" spans="1:22" hidden="1" x14ac:dyDescent="0.3">
      <c r="A912" t="s">
        <v>965</v>
      </c>
      <c r="B912" t="s">
        <v>21</v>
      </c>
      <c r="C912" t="s">
        <v>22</v>
      </c>
      <c r="D912" t="s">
        <v>17</v>
      </c>
      <c r="E912" t="str">
        <f t="shared" si="56"/>
        <v>OS</v>
      </c>
      <c r="G912" t="s">
        <v>70</v>
      </c>
      <c r="H912" s="8">
        <v>101.96</v>
      </c>
      <c r="I912" s="3">
        <f t="shared" si="57"/>
        <v>0.23699999999999999</v>
      </c>
      <c r="J912" s="4">
        <v>23.7</v>
      </c>
      <c r="K912" s="11">
        <f>Table1[[#This Row],[original_price]]* (Table1[[#This Row],[Markdown percentage updated]])</f>
        <v>24.164519999999996</v>
      </c>
      <c r="L9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912" s="6">
        <v>77.8</v>
      </c>
      <c r="N9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12" s="7">
        <v>45798</v>
      </c>
      <c r="P912">
        <v>29</v>
      </c>
      <c r="Q912" s="16" t="str">
        <f>IF(Table1[[#This Row],[stock_quantity]]=0,"NO STOCK",
IF(Table1[[#This Row],[stock_quantity]]&lt;=10,"LOW STOCK",
"IN STOCK"))</f>
        <v>IN STOCK</v>
      </c>
      <c r="R912" s="1">
        <f t="shared" si="58"/>
        <v>3.6</v>
      </c>
      <c r="S912">
        <v>3.6</v>
      </c>
      <c r="T912" t="b">
        <v>0</v>
      </c>
      <c r="U912" t="str">
        <f t="shared" si="59"/>
        <v>No Return</v>
      </c>
    </row>
    <row r="913" spans="1:22" x14ac:dyDescent="0.3">
      <c r="A913" t="s">
        <v>966</v>
      </c>
      <c r="B913" t="s">
        <v>38</v>
      </c>
      <c r="C913" t="s">
        <v>32</v>
      </c>
      <c r="D913" t="s">
        <v>17</v>
      </c>
      <c r="E913" t="str">
        <f t="shared" si="56"/>
        <v>XS</v>
      </c>
      <c r="F913" t="s">
        <v>39</v>
      </c>
      <c r="G913" t="s">
        <v>46</v>
      </c>
      <c r="H913" s="8">
        <v>27.11</v>
      </c>
      <c r="I913" s="3">
        <f t="shared" si="57"/>
        <v>0.16200000000000001</v>
      </c>
      <c r="J913" s="4">
        <v>16.2</v>
      </c>
      <c r="K913" s="11">
        <f>Table1[[#This Row],[original_price]]* (Table1[[#This Row],[Markdown percentage updated]])</f>
        <v>4.3918200000000001</v>
      </c>
      <c r="L9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13" s="6">
        <v>22.72</v>
      </c>
      <c r="N9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913" s="7">
        <v>45634</v>
      </c>
      <c r="P913">
        <v>10</v>
      </c>
      <c r="Q913" s="17" t="str">
        <f>IF(Table1[[#This Row],[stock_quantity]]=0,"NO STOCK",
IF(Table1[[#This Row],[stock_quantity]]&lt;=10,"LOW STOCK",
"IN STOCK"))</f>
        <v>LOW STOCK</v>
      </c>
      <c r="R913" s="1">
        <f t="shared" si="58"/>
        <v>2.4</v>
      </c>
      <c r="S913">
        <v>2.4</v>
      </c>
      <c r="T913" t="b">
        <v>1</v>
      </c>
      <c r="U913" s="13" t="str">
        <f t="shared" si="59"/>
        <v>Changed Mind</v>
      </c>
      <c r="V913" t="s">
        <v>115</v>
      </c>
    </row>
    <row r="914" spans="1:22" hidden="1" x14ac:dyDescent="0.3">
      <c r="A914" t="s">
        <v>967</v>
      </c>
      <c r="B914" t="s">
        <v>15</v>
      </c>
      <c r="C914" t="s">
        <v>61</v>
      </c>
      <c r="D914" t="s">
        <v>62</v>
      </c>
      <c r="E914" t="str">
        <f t="shared" si="56"/>
        <v>L</v>
      </c>
      <c r="F914" t="s">
        <v>39</v>
      </c>
      <c r="G914" t="s">
        <v>28</v>
      </c>
      <c r="H914" s="8">
        <v>141.83000000000001</v>
      </c>
      <c r="I914" s="3">
        <f t="shared" si="57"/>
        <v>0</v>
      </c>
      <c r="J914" s="4">
        <v>0</v>
      </c>
      <c r="K914" s="11">
        <f>Table1[[#This Row],[original_price]]* (Table1[[#This Row],[Markdown percentage updated]])</f>
        <v>0</v>
      </c>
      <c r="L9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14" s="6">
        <v>141.83000000000001</v>
      </c>
      <c r="N9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14" s="7">
        <v>45875</v>
      </c>
      <c r="P914">
        <v>2</v>
      </c>
      <c r="Q914" s="17" t="str">
        <f>IF(Table1[[#This Row],[stock_quantity]]=0,"NO STOCK",
IF(Table1[[#This Row],[stock_quantity]]&lt;=10,"LOW STOCK",
"IN STOCK"))</f>
        <v>LOW STOCK</v>
      </c>
      <c r="R914" s="1">
        <f t="shared" si="58"/>
        <v>2.4</v>
      </c>
      <c r="S914">
        <v>2.4</v>
      </c>
      <c r="T914" t="b">
        <v>1</v>
      </c>
      <c r="U914" s="13" t="str">
        <f t="shared" si="59"/>
        <v>Color Mismatch</v>
      </c>
      <c r="V914" t="s">
        <v>36</v>
      </c>
    </row>
    <row r="915" spans="1:22" hidden="1" x14ac:dyDescent="0.3">
      <c r="A915" t="s">
        <v>968</v>
      </c>
      <c r="B915" t="s">
        <v>30</v>
      </c>
      <c r="C915" t="s">
        <v>61</v>
      </c>
      <c r="D915" t="s">
        <v>17</v>
      </c>
      <c r="E915" t="str">
        <f t="shared" si="56"/>
        <v>S</v>
      </c>
      <c r="G915" t="s">
        <v>56</v>
      </c>
      <c r="H915" s="8">
        <v>156.34</v>
      </c>
      <c r="I915" s="3">
        <f t="shared" si="57"/>
        <v>0.37</v>
      </c>
      <c r="J915" s="4">
        <v>37</v>
      </c>
      <c r="K915" s="11">
        <f>Table1[[#This Row],[original_price]]* (Table1[[#This Row],[Markdown percentage updated]])</f>
        <v>57.845800000000004</v>
      </c>
      <c r="L9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15" s="6">
        <v>98.49</v>
      </c>
      <c r="N9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15" s="7">
        <v>45760</v>
      </c>
      <c r="P915">
        <v>45</v>
      </c>
      <c r="Q915" s="16" t="str">
        <f>IF(Table1[[#This Row],[stock_quantity]]=0,"NO STOCK",
IF(Table1[[#This Row],[stock_quantity]]&lt;=10,"LOW STOCK",
"IN STOCK"))</f>
        <v>IN STOCK</v>
      </c>
      <c r="R915" s="1">
        <f t="shared" si="58"/>
        <v>2.9</v>
      </c>
      <c r="S915">
        <v>2.9</v>
      </c>
      <c r="T915" t="b">
        <v>1</v>
      </c>
      <c r="U915" s="13" t="str">
        <f t="shared" si="59"/>
        <v>Size Issue</v>
      </c>
      <c r="V915" t="s">
        <v>73</v>
      </c>
    </row>
    <row r="916" spans="1:22" hidden="1" x14ac:dyDescent="0.3">
      <c r="A916" t="s">
        <v>969</v>
      </c>
      <c r="B916" t="s">
        <v>21</v>
      </c>
      <c r="C916" t="s">
        <v>75</v>
      </c>
      <c r="D916" t="s">
        <v>62</v>
      </c>
      <c r="E916" t="str">
        <f t="shared" si="56"/>
        <v>XL</v>
      </c>
      <c r="F916" t="s">
        <v>55</v>
      </c>
      <c r="G916" t="s">
        <v>70</v>
      </c>
      <c r="H916" s="8">
        <v>81.84</v>
      </c>
      <c r="I916" s="3">
        <f t="shared" si="57"/>
        <v>0</v>
      </c>
      <c r="J916" s="4">
        <v>0</v>
      </c>
      <c r="K916" s="11">
        <f>Table1[[#This Row],[original_price]]* (Table1[[#This Row],[Markdown percentage updated]])</f>
        <v>0</v>
      </c>
      <c r="L9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16" s="6">
        <v>81.84</v>
      </c>
      <c r="N9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16" s="7">
        <v>45875</v>
      </c>
      <c r="P916">
        <v>41</v>
      </c>
      <c r="Q916" s="16" t="str">
        <f>IF(Table1[[#This Row],[stock_quantity]]=0,"NO STOCK",
IF(Table1[[#This Row],[stock_quantity]]&lt;=10,"LOW STOCK",
"IN STOCK"))</f>
        <v>IN STOCK</v>
      </c>
      <c r="R916" s="1">
        <f t="shared" si="58"/>
        <v>2.4</v>
      </c>
      <c r="S916">
        <v>2.4</v>
      </c>
      <c r="T916" t="b">
        <v>0</v>
      </c>
      <c r="U916" t="str">
        <f t="shared" si="59"/>
        <v>No Return</v>
      </c>
    </row>
    <row r="917" spans="1:22" hidden="1" x14ac:dyDescent="0.3">
      <c r="A917" t="s">
        <v>970</v>
      </c>
      <c r="B917" t="s">
        <v>38</v>
      </c>
      <c r="C917" t="s">
        <v>48</v>
      </c>
      <c r="D917" t="s">
        <v>34</v>
      </c>
      <c r="E917" t="str">
        <f t="shared" si="56"/>
        <v>XS</v>
      </c>
      <c r="F917" t="s">
        <v>24</v>
      </c>
      <c r="G917" t="s">
        <v>28</v>
      </c>
      <c r="H917" s="8">
        <v>36.44</v>
      </c>
      <c r="I917" s="3">
        <f t="shared" si="57"/>
        <v>0.19899999999999998</v>
      </c>
      <c r="J917" s="4">
        <v>19.899999999999999</v>
      </c>
      <c r="K917" s="11">
        <f>Table1[[#This Row],[original_price]]* (Table1[[#This Row],[Markdown percentage updated]])</f>
        <v>7.2515599999999987</v>
      </c>
      <c r="L9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17" s="6">
        <v>29.19</v>
      </c>
      <c r="N9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917" s="7">
        <v>45875</v>
      </c>
      <c r="P917">
        <v>39</v>
      </c>
      <c r="Q917" s="16" t="str">
        <f>IF(Table1[[#This Row],[stock_quantity]]=0,"NO STOCK",
IF(Table1[[#This Row],[stock_quantity]]&lt;=10,"LOW STOCK",
"IN STOCK"))</f>
        <v>IN STOCK</v>
      </c>
      <c r="R917" s="1">
        <f t="shared" si="58"/>
        <v>1.8</v>
      </c>
      <c r="S917">
        <v>1.8</v>
      </c>
      <c r="T917" t="b">
        <v>0</v>
      </c>
      <c r="U917" t="str">
        <f t="shared" si="59"/>
        <v>No Return</v>
      </c>
    </row>
    <row r="918" spans="1:22" hidden="1" x14ac:dyDescent="0.3">
      <c r="A918" t="s">
        <v>971</v>
      </c>
      <c r="B918" t="s">
        <v>15</v>
      </c>
      <c r="C918" t="s">
        <v>53</v>
      </c>
      <c r="D918" t="s">
        <v>34</v>
      </c>
      <c r="E918" t="str">
        <f t="shared" si="56"/>
        <v>OS</v>
      </c>
      <c r="F918" t="s">
        <v>39</v>
      </c>
      <c r="G918" t="s">
        <v>25</v>
      </c>
      <c r="H918" s="8">
        <v>155.30000000000001</v>
      </c>
      <c r="I918" s="3">
        <f t="shared" si="57"/>
        <v>0</v>
      </c>
      <c r="J918" s="4">
        <v>0</v>
      </c>
      <c r="K918" s="11">
        <f>Table1[[#This Row],[original_price]]* (Table1[[#This Row],[Markdown percentage updated]])</f>
        <v>0</v>
      </c>
      <c r="L9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18" s="6">
        <v>155.30000000000001</v>
      </c>
      <c r="N9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18" s="7">
        <v>45875</v>
      </c>
      <c r="P918">
        <v>9</v>
      </c>
      <c r="Q918" s="17" t="str">
        <f>IF(Table1[[#This Row],[stock_quantity]]=0,"NO STOCK",
IF(Table1[[#This Row],[stock_quantity]]&lt;=10,"LOW STOCK",
"IN STOCK"))</f>
        <v>LOW STOCK</v>
      </c>
      <c r="R918" s="1">
        <f t="shared" si="58"/>
        <v>3</v>
      </c>
      <c r="S918">
        <v>3</v>
      </c>
      <c r="T918" t="b">
        <v>0</v>
      </c>
      <c r="U918" t="str">
        <f t="shared" si="59"/>
        <v>No Return</v>
      </c>
    </row>
    <row r="919" spans="1:22" hidden="1" x14ac:dyDescent="0.3">
      <c r="A919" t="s">
        <v>972</v>
      </c>
      <c r="B919" t="s">
        <v>38</v>
      </c>
      <c r="C919" t="s">
        <v>22</v>
      </c>
      <c r="D919" t="s">
        <v>34</v>
      </c>
      <c r="E919" t="str">
        <f t="shared" si="56"/>
        <v>L</v>
      </c>
      <c r="F919" t="s">
        <v>18</v>
      </c>
      <c r="G919" t="s">
        <v>19</v>
      </c>
      <c r="H919" s="8">
        <v>84.04</v>
      </c>
      <c r="I919" s="3">
        <f t="shared" si="57"/>
        <v>0.28499999999999998</v>
      </c>
      <c r="J919" s="4">
        <v>28.5</v>
      </c>
      <c r="K919" s="11">
        <f>Table1[[#This Row],[original_price]]* (Table1[[#This Row],[Markdown percentage updated]])</f>
        <v>23.9514</v>
      </c>
      <c r="L9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919" s="6">
        <v>60.09</v>
      </c>
      <c r="N9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19" s="7">
        <v>45875</v>
      </c>
      <c r="P919">
        <v>3</v>
      </c>
      <c r="Q919" s="17" t="str">
        <f>IF(Table1[[#This Row],[stock_quantity]]=0,"NO STOCK",
IF(Table1[[#This Row],[stock_quantity]]&lt;=10,"LOW STOCK",
"IN STOCK"))</f>
        <v>LOW STOCK</v>
      </c>
      <c r="R919" s="1">
        <f t="shared" si="58"/>
        <v>1</v>
      </c>
      <c r="S919">
        <v>1</v>
      </c>
      <c r="T919" t="b">
        <v>0</v>
      </c>
      <c r="U919" t="str">
        <f t="shared" si="59"/>
        <v>No Return</v>
      </c>
    </row>
    <row r="920" spans="1:22" hidden="1" x14ac:dyDescent="0.3">
      <c r="A920" t="s">
        <v>973</v>
      </c>
      <c r="B920" t="s">
        <v>30</v>
      </c>
      <c r="C920" t="s">
        <v>61</v>
      </c>
      <c r="D920" t="s">
        <v>34</v>
      </c>
      <c r="E920" t="str">
        <f t="shared" si="56"/>
        <v>OS</v>
      </c>
      <c r="F920" t="s">
        <v>55</v>
      </c>
      <c r="G920" t="s">
        <v>70</v>
      </c>
      <c r="H920" s="8">
        <v>98.76</v>
      </c>
      <c r="I920" s="3">
        <f t="shared" si="57"/>
        <v>0.56399999999999995</v>
      </c>
      <c r="J920" s="4">
        <v>56.4</v>
      </c>
      <c r="K920" s="11">
        <f>Table1[[#This Row],[original_price]]* (Table1[[#This Row],[Markdown percentage updated]])</f>
        <v>55.70064</v>
      </c>
      <c r="L9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20" s="6">
        <v>43.06</v>
      </c>
      <c r="N9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20" s="7">
        <v>45875</v>
      </c>
      <c r="P920">
        <v>22</v>
      </c>
      <c r="Q920" s="16" t="str">
        <f>IF(Table1[[#This Row],[stock_quantity]]=0,"NO STOCK",
IF(Table1[[#This Row],[stock_quantity]]&lt;=10,"LOW STOCK",
"IN STOCK"))</f>
        <v>IN STOCK</v>
      </c>
      <c r="R920" s="1">
        <f t="shared" si="58"/>
        <v>4.5</v>
      </c>
      <c r="S920">
        <v>4.5</v>
      </c>
      <c r="T920" t="b">
        <v>0</v>
      </c>
      <c r="U920" t="str">
        <f t="shared" si="59"/>
        <v>No Return</v>
      </c>
    </row>
    <row r="921" spans="1:22" hidden="1" x14ac:dyDescent="0.3">
      <c r="A921" t="s">
        <v>974</v>
      </c>
      <c r="B921" t="s">
        <v>27</v>
      </c>
      <c r="C921" t="s">
        <v>53</v>
      </c>
      <c r="D921" t="s">
        <v>62</v>
      </c>
      <c r="E921" t="str">
        <f t="shared" si="56"/>
        <v>L</v>
      </c>
      <c r="G921" t="s">
        <v>35</v>
      </c>
      <c r="H921" s="8">
        <v>52.99</v>
      </c>
      <c r="I921" s="3">
        <f t="shared" si="57"/>
        <v>0.59099999999999997</v>
      </c>
      <c r="J921" s="4">
        <v>59.1</v>
      </c>
      <c r="K921" s="11">
        <f>Table1[[#This Row],[original_price]]* (Table1[[#This Row],[Markdown percentage updated]])</f>
        <v>31.31709</v>
      </c>
      <c r="L9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21" s="6">
        <v>21.67</v>
      </c>
      <c r="N9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21" s="7">
        <v>45875</v>
      </c>
      <c r="P921">
        <v>50</v>
      </c>
      <c r="Q921" s="16" t="str">
        <f>IF(Table1[[#This Row],[stock_quantity]]=0,"NO STOCK",
IF(Table1[[#This Row],[stock_quantity]]&lt;=10,"LOW STOCK",
"IN STOCK"))</f>
        <v>IN STOCK</v>
      </c>
      <c r="R921" s="1">
        <f t="shared" si="58"/>
        <v>3.4</v>
      </c>
      <c r="S921">
        <v>3.4</v>
      </c>
      <c r="T921" t="b">
        <v>1</v>
      </c>
      <c r="U921" s="13" t="str">
        <f t="shared" si="59"/>
        <v>Size Issue</v>
      </c>
      <c r="V921" t="s">
        <v>73</v>
      </c>
    </row>
    <row r="922" spans="1:22" hidden="1" x14ac:dyDescent="0.3">
      <c r="A922" t="s">
        <v>975</v>
      </c>
      <c r="B922" t="s">
        <v>38</v>
      </c>
      <c r="C922" t="s">
        <v>22</v>
      </c>
      <c r="D922" t="s">
        <v>17</v>
      </c>
      <c r="E922" t="str">
        <f t="shared" si="56"/>
        <v>XL</v>
      </c>
      <c r="F922" t="s">
        <v>24</v>
      </c>
      <c r="G922" t="s">
        <v>19</v>
      </c>
      <c r="H922" s="8">
        <v>39.840000000000003</v>
      </c>
      <c r="I922" s="3">
        <f t="shared" si="57"/>
        <v>0</v>
      </c>
      <c r="J922" s="4">
        <v>0</v>
      </c>
      <c r="K922" s="11">
        <f>Table1[[#This Row],[original_price]]* (Table1[[#This Row],[Markdown percentage updated]])</f>
        <v>0</v>
      </c>
      <c r="L9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22" s="6">
        <v>39.840000000000003</v>
      </c>
      <c r="N9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22" s="7">
        <v>45765</v>
      </c>
      <c r="P922">
        <v>24</v>
      </c>
      <c r="Q922" s="16" t="str">
        <f>IF(Table1[[#This Row],[stock_quantity]]=0,"NO STOCK",
IF(Table1[[#This Row],[stock_quantity]]&lt;=10,"LOW STOCK",
"IN STOCK"))</f>
        <v>IN STOCK</v>
      </c>
      <c r="R922" s="1">
        <f t="shared" si="58"/>
        <v>2.4</v>
      </c>
      <c r="S922">
        <v>2.4</v>
      </c>
      <c r="T922" t="b">
        <v>0</v>
      </c>
      <c r="U922" t="str">
        <f t="shared" si="59"/>
        <v>No Return</v>
      </c>
    </row>
    <row r="923" spans="1:22" hidden="1" x14ac:dyDescent="0.3">
      <c r="A923" t="s">
        <v>976</v>
      </c>
      <c r="B923" t="s">
        <v>27</v>
      </c>
      <c r="C923" t="s">
        <v>53</v>
      </c>
      <c r="D923" t="s">
        <v>17</v>
      </c>
      <c r="E923" t="str">
        <f t="shared" si="56"/>
        <v>M</v>
      </c>
      <c r="G923" t="s">
        <v>46</v>
      </c>
      <c r="H923" s="8">
        <v>40.01</v>
      </c>
      <c r="I923" s="3">
        <f t="shared" si="57"/>
        <v>0</v>
      </c>
      <c r="J923" s="4">
        <v>0</v>
      </c>
      <c r="K923" s="11">
        <f>Table1[[#This Row],[original_price]]* (Table1[[#This Row],[Markdown percentage updated]])</f>
        <v>0</v>
      </c>
      <c r="L9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23" s="6">
        <v>40.01</v>
      </c>
      <c r="N9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23" s="7">
        <v>45813</v>
      </c>
      <c r="P923">
        <v>22</v>
      </c>
      <c r="Q923" s="16" t="str">
        <f>IF(Table1[[#This Row],[stock_quantity]]=0,"NO STOCK",
IF(Table1[[#This Row],[stock_quantity]]&lt;=10,"LOW STOCK",
"IN STOCK"))</f>
        <v>IN STOCK</v>
      </c>
      <c r="R923" s="1">
        <f t="shared" si="58"/>
        <v>4.5</v>
      </c>
      <c r="S923">
        <v>4.5</v>
      </c>
      <c r="T923" t="b">
        <v>0</v>
      </c>
      <c r="U923" t="str">
        <f t="shared" si="59"/>
        <v>No Return</v>
      </c>
    </row>
    <row r="924" spans="1:22" x14ac:dyDescent="0.3">
      <c r="A924" t="s">
        <v>977</v>
      </c>
      <c r="B924" t="s">
        <v>15</v>
      </c>
      <c r="C924" t="s">
        <v>53</v>
      </c>
      <c r="D924" t="s">
        <v>62</v>
      </c>
      <c r="E924" t="str">
        <f t="shared" si="56"/>
        <v>OS</v>
      </c>
      <c r="F924" t="s">
        <v>24</v>
      </c>
      <c r="G924" t="s">
        <v>64</v>
      </c>
      <c r="H924" s="8">
        <v>245.75</v>
      </c>
      <c r="I924" s="3">
        <f t="shared" si="57"/>
        <v>0</v>
      </c>
      <c r="J924" s="4">
        <v>0</v>
      </c>
      <c r="K924" s="11">
        <f>Table1[[#This Row],[original_price]]* (Table1[[#This Row],[Markdown percentage updated]])</f>
        <v>0</v>
      </c>
      <c r="L9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24" s="6">
        <v>245.75</v>
      </c>
      <c r="N9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24" s="7">
        <v>45875</v>
      </c>
      <c r="P924">
        <v>12</v>
      </c>
      <c r="Q924" s="16" t="str">
        <f>IF(Table1[[#This Row],[stock_quantity]]=0,"NO STOCK",
IF(Table1[[#This Row],[stock_quantity]]&lt;=10,"LOW STOCK",
"IN STOCK"))</f>
        <v>IN STOCK</v>
      </c>
      <c r="R924" s="1">
        <f t="shared" si="58"/>
        <v>0</v>
      </c>
      <c r="T924" t="b">
        <v>1</v>
      </c>
      <c r="U924" s="13" t="str">
        <f t="shared" si="59"/>
        <v>Changed Mind</v>
      </c>
      <c r="V924" t="s">
        <v>115</v>
      </c>
    </row>
    <row r="925" spans="1:22" hidden="1" x14ac:dyDescent="0.3">
      <c r="A925" t="s">
        <v>978</v>
      </c>
      <c r="B925" t="s">
        <v>38</v>
      </c>
      <c r="C925" t="s">
        <v>16</v>
      </c>
      <c r="D925" t="s">
        <v>23</v>
      </c>
      <c r="E925" t="str">
        <f t="shared" si="56"/>
        <v>XXL</v>
      </c>
      <c r="F925" t="s">
        <v>18</v>
      </c>
      <c r="G925" t="s">
        <v>40</v>
      </c>
      <c r="H925" s="8">
        <v>102.25</v>
      </c>
      <c r="I925" s="3">
        <f t="shared" si="57"/>
        <v>0</v>
      </c>
      <c r="J925" s="4">
        <v>0</v>
      </c>
      <c r="K925" s="11">
        <f>Table1[[#This Row],[original_price]]* (Table1[[#This Row],[Markdown percentage updated]])</f>
        <v>0</v>
      </c>
      <c r="L9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25" s="6">
        <v>102.25</v>
      </c>
      <c r="N9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25" s="7">
        <v>45875</v>
      </c>
      <c r="P925">
        <v>6</v>
      </c>
      <c r="Q925" s="17" t="str">
        <f>IF(Table1[[#This Row],[stock_quantity]]=0,"NO STOCK",
IF(Table1[[#This Row],[stock_quantity]]&lt;=10,"LOW STOCK",
"IN STOCK"))</f>
        <v>LOW STOCK</v>
      </c>
      <c r="R925" s="1">
        <f t="shared" si="58"/>
        <v>3.8</v>
      </c>
      <c r="S925">
        <v>3.8</v>
      </c>
      <c r="T925" t="b">
        <v>0</v>
      </c>
      <c r="U925" t="str">
        <f t="shared" si="59"/>
        <v>No Return</v>
      </c>
    </row>
    <row r="926" spans="1:22" hidden="1" x14ac:dyDescent="0.3">
      <c r="A926" t="s">
        <v>979</v>
      </c>
      <c r="B926" t="s">
        <v>21</v>
      </c>
      <c r="C926" t="s">
        <v>53</v>
      </c>
      <c r="D926" t="s">
        <v>62</v>
      </c>
      <c r="E926" t="str">
        <f t="shared" si="56"/>
        <v>OS</v>
      </c>
      <c r="F926" t="s">
        <v>58</v>
      </c>
      <c r="G926" t="s">
        <v>40</v>
      </c>
      <c r="H926" s="8">
        <v>76.33</v>
      </c>
      <c r="I926" s="3">
        <f t="shared" si="57"/>
        <v>0</v>
      </c>
      <c r="J926" s="4">
        <v>0</v>
      </c>
      <c r="K926" s="11">
        <f>Table1[[#This Row],[original_price]]* (Table1[[#This Row],[Markdown percentage updated]])</f>
        <v>0</v>
      </c>
      <c r="L9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26" s="6">
        <v>76.33</v>
      </c>
      <c r="N9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26" s="7">
        <v>45875</v>
      </c>
      <c r="P926">
        <v>15</v>
      </c>
      <c r="Q926" s="16" t="str">
        <f>IF(Table1[[#This Row],[stock_quantity]]=0,"NO STOCK",
IF(Table1[[#This Row],[stock_quantity]]&lt;=10,"LOW STOCK",
"IN STOCK"))</f>
        <v>IN STOCK</v>
      </c>
      <c r="R926" s="1">
        <f t="shared" si="58"/>
        <v>2</v>
      </c>
      <c r="S926">
        <v>2</v>
      </c>
      <c r="T926" t="b">
        <v>1</v>
      </c>
      <c r="U926" s="13" t="str">
        <f t="shared" si="59"/>
        <v>Wrong Item</v>
      </c>
      <c r="V926" t="s">
        <v>125</v>
      </c>
    </row>
    <row r="927" spans="1:22" hidden="1" x14ac:dyDescent="0.3">
      <c r="A927" t="s">
        <v>980</v>
      </c>
      <c r="B927" t="s">
        <v>27</v>
      </c>
      <c r="C927" t="s">
        <v>16</v>
      </c>
      <c r="D927" t="s">
        <v>17</v>
      </c>
      <c r="E927" t="str">
        <f t="shared" si="56"/>
        <v>M</v>
      </c>
      <c r="G927" t="s">
        <v>40</v>
      </c>
      <c r="H927" s="8">
        <v>51.79</v>
      </c>
      <c r="I927" s="3">
        <f t="shared" si="57"/>
        <v>0.39</v>
      </c>
      <c r="J927" s="4">
        <v>39</v>
      </c>
      <c r="K927" s="11">
        <f>Table1[[#This Row],[original_price]]* (Table1[[#This Row],[Markdown percentage updated]])</f>
        <v>20.1981</v>
      </c>
      <c r="L9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27" s="6">
        <v>31.59</v>
      </c>
      <c r="N9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27" s="7">
        <v>45733</v>
      </c>
      <c r="P927">
        <v>37</v>
      </c>
      <c r="Q927" s="16" t="str">
        <f>IF(Table1[[#This Row],[stock_quantity]]=0,"NO STOCK",
IF(Table1[[#This Row],[stock_quantity]]&lt;=10,"LOW STOCK",
"IN STOCK"))</f>
        <v>IN STOCK</v>
      </c>
      <c r="R927" s="1">
        <f t="shared" si="58"/>
        <v>2.5</v>
      </c>
      <c r="S927">
        <v>2.5</v>
      </c>
      <c r="T927" t="b">
        <v>0</v>
      </c>
      <c r="U927" t="str">
        <f t="shared" si="59"/>
        <v>No Return</v>
      </c>
    </row>
    <row r="928" spans="1:22" hidden="1" x14ac:dyDescent="0.3">
      <c r="A928" t="s">
        <v>981</v>
      </c>
      <c r="B928" t="s">
        <v>15</v>
      </c>
      <c r="C928" t="s">
        <v>16</v>
      </c>
      <c r="D928" t="s">
        <v>17</v>
      </c>
      <c r="E928" t="str">
        <f t="shared" si="56"/>
        <v>OS</v>
      </c>
      <c r="F928" t="s">
        <v>49</v>
      </c>
      <c r="G928" t="s">
        <v>25</v>
      </c>
      <c r="H928" s="8">
        <v>141.24</v>
      </c>
      <c r="I928" s="3">
        <f t="shared" si="57"/>
        <v>0.129</v>
      </c>
      <c r="J928" s="4">
        <v>12.9</v>
      </c>
      <c r="K928" s="11">
        <f>Table1[[#This Row],[original_price]]* (Table1[[#This Row],[Markdown percentage updated]])</f>
        <v>18.21996</v>
      </c>
      <c r="L9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28" s="6">
        <v>123.02</v>
      </c>
      <c r="N9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928" s="7">
        <v>45567</v>
      </c>
      <c r="P928">
        <v>23</v>
      </c>
      <c r="Q928" s="16" t="str">
        <f>IF(Table1[[#This Row],[stock_quantity]]=0,"NO STOCK",
IF(Table1[[#This Row],[stock_quantity]]&lt;=10,"LOW STOCK",
"IN STOCK"))</f>
        <v>IN STOCK</v>
      </c>
      <c r="R928" s="1">
        <f t="shared" si="58"/>
        <v>1.7</v>
      </c>
      <c r="S928">
        <v>1.7</v>
      </c>
      <c r="T928" t="b">
        <v>0</v>
      </c>
      <c r="U928" t="str">
        <f t="shared" si="59"/>
        <v>No Return</v>
      </c>
    </row>
    <row r="929" spans="1:22" hidden="1" x14ac:dyDescent="0.3">
      <c r="A929" t="s">
        <v>982</v>
      </c>
      <c r="B929" t="s">
        <v>27</v>
      </c>
      <c r="C929" t="s">
        <v>22</v>
      </c>
      <c r="D929" t="s">
        <v>17</v>
      </c>
      <c r="E929" t="str">
        <f t="shared" si="56"/>
        <v>OS</v>
      </c>
      <c r="G929" t="s">
        <v>28</v>
      </c>
      <c r="H929" s="8">
        <v>66.180000000000007</v>
      </c>
      <c r="I929" s="3">
        <f t="shared" si="57"/>
        <v>0</v>
      </c>
      <c r="J929" s="4">
        <v>0</v>
      </c>
      <c r="K929" s="11">
        <f>Table1[[#This Row],[original_price]]* (Table1[[#This Row],[Markdown percentage updated]])</f>
        <v>0</v>
      </c>
      <c r="L9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29" s="6">
        <v>66.180000000000007</v>
      </c>
      <c r="N9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29" s="7">
        <v>45800</v>
      </c>
      <c r="P929">
        <v>20</v>
      </c>
      <c r="Q929" s="16" t="str">
        <f>IF(Table1[[#This Row],[stock_quantity]]=0,"NO STOCK",
IF(Table1[[#This Row],[stock_quantity]]&lt;=10,"LOW STOCK",
"IN STOCK"))</f>
        <v>IN STOCK</v>
      </c>
      <c r="R929" s="1">
        <f t="shared" si="58"/>
        <v>1.7</v>
      </c>
      <c r="S929">
        <v>1.7</v>
      </c>
      <c r="T929" t="b">
        <v>0</v>
      </c>
      <c r="U929" t="str">
        <f t="shared" si="59"/>
        <v>No Return</v>
      </c>
    </row>
    <row r="930" spans="1:22" hidden="1" x14ac:dyDescent="0.3">
      <c r="A930" t="s">
        <v>983</v>
      </c>
      <c r="B930" t="s">
        <v>21</v>
      </c>
      <c r="C930" t="s">
        <v>32</v>
      </c>
      <c r="D930" t="s">
        <v>62</v>
      </c>
      <c r="E930" t="str">
        <f t="shared" si="56"/>
        <v>L</v>
      </c>
      <c r="F930" t="s">
        <v>58</v>
      </c>
      <c r="G930" t="s">
        <v>64</v>
      </c>
      <c r="H930" s="8">
        <v>35.15</v>
      </c>
      <c r="I930" s="3">
        <f t="shared" si="57"/>
        <v>0</v>
      </c>
      <c r="J930" s="4">
        <v>0</v>
      </c>
      <c r="K930" s="11">
        <f>Table1[[#This Row],[original_price]]* (Table1[[#This Row],[Markdown percentage updated]])</f>
        <v>0</v>
      </c>
      <c r="L9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30" s="6">
        <v>35.15</v>
      </c>
      <c r="N9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30" s="7">
        <v>45875</v>
      </c>
      <c r="P930">
        <v>38</v>
      </c>
      <c r="Q930" s="16" t="str">
        <f>IF(Table1[[#This Row],[stock_quantity]]=0,"NO STOCK",
IF(Table1[[#This Row],[stock_quantity]]&lt;=10,"LOW STOCK",
"IN STOCK"))</f>
        <v>IN STOCK</v>
      </c>
      <c r="R930" s="1">
        <f t="shared" si="58"/>
        <v>2.2000000000000002</v>
      </c>
      <c r="S930">
        <v>2.2000000000000002</v>
      </c>
      <c r="T930" t="b">
        <v>0</v>
      </c>
      <c r="U930" t="str">
        <f t="shared" si="59"/>
        <v>No Return</v>
      </c>
    </row>
    <row r="931" spans="1:22" hidden="1" x14ac:dyDescent="0.3">
      <c r="A931" t="s">
        <v>984</v>
      </c>
      <c r="B931" t="s">
        <v>27</v>
      </c>
      <c r="C931" t="s">
        <v>48</v>
      </c>
      <c r="D931" t="s">
        <v>17</v>
      </c>
      <c r="E931" t="str">
        <f t="shared" si="56"/>
        <v>OS</v>
      </c>
      <c r="G931" t="s">
        <v>25</v>
      </c>
      <c r="H931" s="8">
        <v>35.619999999999997</v>
      </c>
      <c r="I931" s="3">
        <f t="shared" si="57"/>
        <v>0.41200000000000003</v>
      </c>
      <c r="J931" s="4">
        <v>41.2</v>
      </c>
      <c r="K931" s="11">
        <f>Table1[[#This Row],[original_price]]* (Table1[[#This Row],[Markdown percentage updated]])</f>
        <v>14.67544</v>
      </c>
      <c r="L9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31" s="6">
        <v>20.94</v>
      </c>
      <c r="N9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931" s="7">
        <v>45736</v>
      </c>
      <c r="P931">
        <v>4</v>
      </c>
      <c r="Q931" s="17" t="str">
        <f>IF(Table1[[#This Row],[stock_quantity]]=0,"NO STOCK",
IF(Table1[[#This Row],[stock_quantity]]&lt;=10,"LOW STOCK",
"IN STOCK"))</f>
        <v>LOW STOCK</v>
      </c>
      <c r="R931" s="1">
        <f t="shared" si="58"/>
        <v>3.7</v>
      </c>
      <c r="S931">
        <v>3.7</v>
      </c>
      <c r="T931" t="b">
        <v>0</v>
      </c>
      <c r="U931" t="str">
        <f t="shared" si="59"/>
        <v>No Return</v>
      </c>
    </row>
    <row r="932" spans="1:22" hidden="1" x14ac:dyDescent="0.3">
      <c r="A932" t="s">
        <v>985</v>
      </c>
      <c r="B932" t="s">
        <v>27</v>
      </c>
      <c r="C932" t="s">
        <v>75</v>
      </c>
      <c r="D932" t="s">
        <v>62</v>
      </c>
      <c r="E932" t="str">
        <f t="shared" si="56"/>
        <v>XXL</v>
      </c>
      <c r="G932" t="s">
        <v>46</v>
      </c>
      <c r="H932" s="8">
        <v>35.64</v>
      </c>
      <c r="I932" s="3">
        <f t="shared" si="57"/>
        <v>0</v>
      </c>
      <c r="J932" s="4">
        <v>0</v>
      </c>
      <c r="K932" s="11">
        <f>Table1[[#This Row],[original_price]]* (Table1[[#This Row],[Markdown percentage updated]])</f>
        <v>0</v>
      </c>
      <c r="L9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32" s="6">
        <v>35.64</v>
      </c>
      <c r="N9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32" s="7">
        <v>45875</v>
      </c>
      <c r="P932">
        <v>48</v>
      </c>
      <c r="Q932" s="16" t="str">
        <f>IF(Table1[[#This Row],[stock_quantity]]=0,"NO STOCK",
IF(Table1[[#This Row],[stock_quantity]]&lt;=10,"LOW STOCK",
"IN STOCK"))</f>
        <v>IN STOCK</v>
      </c>
      <c r="R932" s="1">
        <f t="shared" si="58"/>
        <v>5</v>
      </c>
      <c r="S932">
        <v>5</v>
      </c>
      <c r="T932" t="b">
        <v>1</v>
      </c>
      <c r="U932" s="13" t="str">
        <f t="shared" si="59"/>
        <v>Color Mismatch</v>
      </c>
      <c r="V932" t="s">
        <v>36</v>
      </c>
    </row>
    <row r="933" spans="1:22" hidden="1" x14ac:dyDescent="0.3">
      <c r="A933" t="s">
        <v>986</v>
      </c>
      <c r="B933" t="s">
        <v>38</v>
      </c>
      <c r="C933" t="s">
        <v>53</v>
      </c>
      <c r="D933" t="s">
        <v>62</v>
      </c>
      <c r="E933" t="str">
        <f t="shared" si="56"/>
        <v>XS</v>
      </c>
      <c r="F933" t="s">
        <v>24</v>
      </c>
      <c r="G933" t="s">
        <v>19</v>
      </c>
      <c r="H933" s="8">
        <v>86.68</v>
      </c>
      <c r="I933" s="3">
        <f t="shared" si="57"/>
        <v>0</v>
      </c>
      <c r="J933" s="4">
        <v>0</v>
      </c>
      <c r="K933" s="11">
        <f>Table1[[#This Row],[original_price]]* (Table1[[#This Row],[Markdown percentage updated]])</f>
        <v>0</v>
      </c>
      <c r="L9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33" s="6">
        <v>86.68</v>
      </c>
      <c r="N9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33" s="7">
        <v>45875</v>
      </c>
      <c r="P933">
        <v>2</v>
      </c>
      <c r="Q933" s="17" t="str">
        <f>IF(Table1[[#This Row],[stock_quantity]]=0,"NO STOCK",
IF(Table1[[#This Row],[stock_quantity]]&lt;=10,"LOW STOCK",
"IN STOCK"))</f>
        <v>LOW STOCK</v>
      </c>
      <c r="R933" s="1">
        <f t="shared" si="58"/>
        <v>0</v>
      </c>
      <c r="T933" t="b">
        <v>0</v>
      </c>
      <c r="U933" t="str">
        <f t="shared" si="59"/>
        <v>No Return</v>
      </c>
    </row>
    <row r="934" spans="1:22" hidden="1" x14ac:dyDescent="0.3">
      <c r="A934" t="s">
        <v>987</v>
      </c>
      <c r="B934" t="s">
        <v>27</v>
      </c>
      <c r="C934" t="s">
        <v>48</v>
      </c>
      <c r="D934" t="s">
        <v>34</v>
      </c>
      <c r="E934" t="str">
        <f t="shared" si="56"/>
        <v>S</v>
      </c>
      <c r="G934" t="s">
        <v>25</v>
      </c>
      <c r="H934" s="8">
        <v>17.72</v>
      </c>
      <c r="I934" s="3">
        <f t="shared" si="57"/>
        <v>0</v>
      </c>
      <c r="J934" s="4">
        <v>0</v>
      </c>
      <c r="K934" s="11">
        <f>Table1[[#This Row],[original_price]]* (Table1[[#This Row],[Markdown percentage updated]])</f>
        <v>0</v>
      </c>
      <c r="L9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34" s="6">
        <v>17.72</v>
      </c>
      <c r="N9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34" s="7">
        <v>45875</v>
      </c>
      <c r="P934">
        <v>9</v>
      </c>
      <c r="Q934" s="17" t="str">
        <f>IF(Table1[[#This Row],[stock_quantity]]=0,"NO STOCK",
IF(Table1[[#This Row],[stock_quantity]]&lt;=10,"LOW STOCK",
"IN STOCK"))</f>
        <v>LOW STOCK</v>
      </c>
      <c r="R934" s="1">
        <f t="shared" si="58"/>
        <v>1.2</v>
      </c>
      <c r="S934">
        <v>1.2</v>
      </c>
      <c r="T934" t="b">
        <v>0</v>
      </c>
      <c r="U934" t="str">
        <f t="shared" si="59"/>
        <v>No Return</v>
      </c>
    </row>
    <row r="935" spans="1:22" hidden="1" x14ac:dyDescent="0.3">
      <c r="A935" t="s">
        <v>988</v>
      </c>
      <c r="B935" t="s">
        <v>15</v>
      </c>
      <c r="C935" t="s">
        <v>22</v>
      </c>
      <c r="D935" t="s">
        <v>34</v>
      </c>
      <c r="E935" t="str">
        <f t="shared" si="56"/>
        <v>XXL</v>
      </c>
      <c r="F935" t="s">
        <v>49</v>
      </c>
      <c r="G935" t="s">
        <v>25</v>
      </c>
      <c r="H935" s="8">
        <v>87.95</v>
      </c>
      <c r="I935" s="3">
        <f t="shared" si="57"/>
        <v>0.13300000000000001</v>
      </c>
      <c r="J935" s="4">
        <v>13.3</v>
      </c>
      <c r="K935" s="11">
        <f>Table1[[#This Row],[original_price]]* (Table1[[#This Row],[Markdown percentage updated]])</f>
        <v>11.69735</v>
      </c>
      <c r="L9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35" s="6">
        <v>76.25</v>
      </c>
      <c r="N9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935" s="7">
        <v>45875</v>
      </c>
      <c r="P935">
        <v>4</v>
      </c>
      <c r="Q935" s="17" t="str">
        <f>IF(Table1[[#This Row],[stock_quantity]]=0,"NO STOCK",
IF(Table1[[#This Row],[stock_quantity]]&lt;=10,"LOW STOCK",
"IN STOCK"))</f>
        <v>LOW STOCK</v>
      </c>
      <c r="R935" s="1">
        <f t="shared" si="58"/>
        <v>4.5</v>
      </c>
      <c r="S935">
        <v>4.5</v>
      </c>
      <c r="T935" t="b">
        <v>0</v>
      </c>
      <c r="U935" t="str">
        <f t="shared" si="59"/>
        <v>No Return</v>
      </c>
    </row>
    <row r="936" spans="1:22" hidden="1" x14ac:dyDescent="0.3">
      <c r="A936" t="s">
        <v>989</v>
      </c>
      <c r="B936" t="s">
        <v>15</v>
      </c>
      <c r="C936" t="s">
        <v>43</v>
      </c>
      <c r="D936" t="s">
        <v>17</v>
      </c>
      <c r="E936" t="str">
        <f t="shared" si="56"/>
        <v>OS</v>
      </c>
      <c r="F936" t="s">
        <v>55</v>
      </c>
      <c r="G936" t="s">
        <v>40</v>
      </c>
      <c r="H936" s="8">
        <v>216.26</v>
      </c>
      <c r="I936" s="3">
        <f t="shared" si="57"/>
        <v>0</v>
      </c>
      <c r="J936" s="4">
        <v>0</v>
      </c>
      <c r="K936" s="11">
        <f>Table1[[#This Row],[original_price]]* (Table1[[#This Row],[Markdown percentage updated]])</f>
        <v>0</v>
      </c>
      <c r="L9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36" s="6">
        <v>216.26</v>
      </c>
      <c r="N9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36" s="7">
        <v>45763</v>
      </c>
      <c r="P936">
        <v>26</v>
      </c>
      <c r="Q936" s="16" t="str">
        <f>IF(Table1[[#This Row],[stock_quantity]]=0,"NO STOCK",
IF(Table1[[#This Row],[stock_quantity]]&lt;=10,"LOW STOCK",
"IN STOCK"))</f>
        <v>IN STOCK</v>
      </c>
      <c r="R936" s="1">
        <f t="shared" si="58"/>
        <v>1.1000000000000001</v>
      </c>
      <c r="S936">
        <v>1.1000000000000001</v>
      </c>
      <c r="T936" t="b">
        <v>0</v>
      </c>
      <c r="U936" t="str">
        <f t="shared" si="59"/>
        <v>No Return</v>
      </c>
    </row>
    <row r="937" spans="1:22" hidden="1" x14ac:dyDescent="0.3">
      <c r="A937" t="s">
        <v>990</v>
      </c>
      <c r="B937" t="s">
        <v>15</v>
      </c>
      <c r="C937" t="s">
        <v>43</v>
      </c>
      <c r="D937" t="s">
        <v>62</v>
      </c>
      <c r="E937" t="str">
        <f t="shared" si="56"/>
        <v>XXL</v>
      </c>
      <c r="F937" t="s">
        <v>39</v>
      </c>
      <c r="G937" t="s">
        <v>28</v>
      </c>
      <c r="H937" s="8">
        <v>238.11</v>
      </c>
      <c r="I937" s="3">
        <f t="shared" si="57"/>
        <v>0</v>
      </c>
      <c r="J937" s="4">
        <v>0</v>
      </c>
      <c r="K937" s="11">
        <f>Table1[[#This Row],[original_price]]* (Table1[[#This Row],[Markdown percentage updated]])</f>
        <v>0</v>
      </c>
      <c r="L9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37" s="6">
        <v>238.11</v>
      </c>
      <c r="N9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37" s="7">
        <v>45875</v>
      </c>
      <c r="P937">
        <v>49</v>
      </c>
      <c r="Q937" s="16" t="str">
        <f>IF(Table1[[#This Row],[stock_quantity]]=0,"NO STOCK",
IF(Table1[[#This Row],[stock_quantity]]&lt;=10,"LOW STOCK",
"IN STOCK"))</f>
        <v>IN STOCK</v>
      </c>
      <c r="R937" s="1">
        <f t="shared" si="58"/>
        <v>0</v>
      </c>
      <c r="T937" t="b">
        <v>0</v>
      </c>
      <c r="U937" t="str">
        <f t="shared" si="59"/>
        <v>No Return</v>
      </c>
    </row>
    <row r="938" spans="1:22" hidden="1" x14ac:dyDescent="0.3">
      <c r="A938" t="s">
        <v>991</v>
      </c>
      <c r="B938" t="s">
        <v>30</v>
      </c>
      <c r="C938" t="s">
        <v>22</v>
      </c>
      <c r="D938" t="s">
        <v>23</v>
      </c>
      <c r="E938" t="str">
        <f t="shared" si="56"/>
        <v>M</v>
      </c>
      <c r="F938" t="s">
        <v>49</v>
      </c>
      <c r="G938" t="s">
        <v>25</v>
      </c>
      <c r="H938" s="8">
        <v>112.77</v>
      </c>
      <c r="I938" s="3">
        <f t="shared" si="57"/>
        <v>0</v>
      </c>
      <c r="J938" s="4">
        <v>0</v>
      </c>
      <c r="K938" s="11">
        <f>Table1[[#This Row],[original_price]]* (Table1[[#This Row],[Markdown percentage updated]])</f>
        <v>0</v>
      </c>
      <c r="L9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38" s="6">
        <v>112.77</v>
      </c>
      <c r="N9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38" s="7">
        <v>45875</v>
      </c>
      <c r="P938">
        <v>11</v>
      </c>
      <c r="Q938" s="16" t="str">
        <f>IF(Table1[[#This Row],[stock_quantity]]=0,"NO STOCK",
IF(Table1[[#This Row],[stock_quantity]]&lt;=10,"LOW STOCK",
"IN STOCK"))</f>
        <v>IN STOCK</v>
      </c>
      <c r="R938" s="1">
        <f t="shared" si="58"/>
        <v>4.0999999999999996</v>
      </c>
      <c r="S938">
        <v>4.0999999999999996</v>
      </c>
      <c r="T938" t="b">
        <v>0</v>
      </c>
      <c r="U938" t="str">
        <f t="shared" si="59"/>
        <v>No Return</v>
      </c>
    </row>
    <row r="939" spans="1:22" hidden="1" x14ac:dyDescent="0.3">
      <c r="A939" t="s">
        <v>992</v>
      </c>
      <c r="B939" t="s">
        <v>27</v>
      </c>
      <c r="C939" t="s">
        <v>61</v>
      </c>
      <c r="D939" t="s">
        <v>23</v>
      </c>
      <c r="E939" t="str">
        <f t="shared" si="56"/>
        <v>OS</v>
      </c>
      <c r="G939" t="s">
        <v>64</v>
      </c>
      <c r="H939" s="8">
        <v>39.020000000000003</v>
      </c>
      <c r="I939" s="3">
        <f t="shared" si="57"/>
        <v>0.44799999999999995</v>
      </c>
      <c r="J939" s="4">
        <v>44.8</v>
      </c>
      <c r="K939" s="11">
        <f>Table1[[#This Row],[original_price]]* (Table1[[#This Row],[Markdown percentage updated]])</f>
        <v>17.48096</v>
      </c>
      <c r="L9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39" s="6">
        <v>21.54</v>
      </c>
      <c r="N9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939" s="7">
        <v>45875</v>
      </c>
      <c r="P939">
        <v>29</v>
      </c>
      <c r="Q939" s="16" t="str">
        <f>IF(Table1[[#This Row],[stock_quantity]]=0,"NO STOCK",
IF(Table1[[#This Row],[stock_quantity]]&lt;=10,"LOW STOCK",
"IN STOCK"))</f>
        <v>IN STOCK</v>
      </c>
      <c r="R939" s="1">
        <f t="shared" si="58"/>
        <v>3.4</v>
      </c>
      <c r="S939">
        <v>3.4</v>
      </c>
      <c r="T939" t="b">
        <v>0</v>
      </c>
      <c r="U939" t="str">
        <f t="shared" si="59"/>
        <v>No Return</v>
      </c>
    </row>
    <row r="940" spans="1:22" hidden="1" x14ac:dyDescent="0.3">
      <c r="A940" t="s">
        <v>993</v>
      </c>
      <c r="B940" t="s">
        <v>21</v>
      </c>
      <c r="C940" t="s">
        <v>53</v>
      </c>
      <c r="D940" t="s">
        <v>17</v>
      </c>
      <c r="E940" t="str">
        <f t="shared" si="56"/>
        <v>XS</v>
      </c>
      <c r="F940" t="s">
        <v>49</v>
      </c>
      <c r="G940" t="s">
        <v>66</v>
      </c>
      <c r="H940" s="8">
        <v>69.77</v>
      </c>
      <c r="I940" s="3">
        <f t="shared" si="57"/>
        <v>0</v>
      </c>
      <c r="J940" s="4">
        <v>0</v>
      </c>
      <c r="K940" s="11">
        <f>Table1[[#This Row],[original_price]]* (Table1[[#This Row],[Markdown percentage updated]])</f>
        <v>0</v>
      </c>
      <c r="L9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40" s="6">
        <v>69.77</v>
      </c>
      <c r="N9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40" s="7">
        <v>45605</v>
      </c>
      <c r="P940">
        <v>29</v>
      </c>
      <c r="Q940" s="16" t="str">
        <f>IF(Table1[[#This Row],[stock_quantity]]=0,"NO STOCK",
IF(Table1[[#This Row],[stock_quantity]]&lt;=10,"LOW STOCK",
"IN STOCK"))</f>
        <v>IN STOCK</v>
      </c>
      <c r="R940" s="1">
        <f t="shared" si="58"/>
        <v>5</v>
      </c>
      <c r="S940">
        <v>5</v>
      </c>
      <c r="T940" t="b">
        <v>0</v>
      </c>
      <c r="U940" t="str">
        <f t="shared" si="59"/>
        <v>No Return</v>
      </c>
    </row>
    <row r="941" spans="1:22" hidden="1" x14ac:dyDescent="0.3">
      <c r="A941" t="s">
        <v>994</v>
      </c>
      <c r="B941" t="s">
        <v>42</v>
      </c>
      <c r="C941" t="s">
        <v>48</v>
      </c>
      <c r="D941" t="s">
        <v>17</v>
      </c>
      <c r="E941" t="str">
        <f t="shared" si="56"/>
        <v>XXL</v>
      </c>
      <c r="F941" t="s">
        <v>58</v>
      </c>
      <c r="G941" t="s">
        <v>66</v>
      </c>
      <c r="H941" s="8">
        <v>124.92</v>
      </c>
      <c r="I941" s="3">
        <f t="shared" si="57"/>
        <v>0.48399999999999999</v>
      </c>
      <c r="J941" s="4">
        <v>48.4</v>
      </c>
      <c r="K941" s="11">
        <f>Table1[[#This Row],[original_price]]* (Table1[[#This Row],[Markdown percentage updated]])</f>
        <v>60.461280000000002</v>
      </c>
      <c r="L9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41" s="6">
        <v>64.459999999999994</v>
      </c>
      <c r="N9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41" s="7">
        <v>45780</v>
      </c>
      <c r="P941">
        <v>22</v>
      </c>
      <c r="Q941" s="16" t="str">
        <f>IF(Table1[[#This Row],[stock_quantity]]=0,"NO STOCK",
IF(Table1[[#This Row],[stock_quantity]]&lt;=10,"LOW STOCK",
"IN STOCK"))</f>
        <v>IN STOCK</v>
      </c>
      <c r="R941" s="1">
        <f t="shared" si="58"/>
        <v>3.2</v>
      </c>
      <c r="S941">
        <v>3.2</v>
      </c>
      <c r="T941" t="b">
        <v>0</v>
      </c>
      <c r="U941" t="str">
        <f t="shared" si="59"/>
        <v>No Return</v>
      </c>
    </row>
    <row r="942" spans="1:22" hidden="1" x14ac:dyDescent="0.3">
      <c r="A942" t="s">
        <v>995</v>
      </c>
      <c r="B942" t="s">
        <v>42</v>
      </c>
      <c r="C942" t="s">
        <v>32</v>
      </c>
      <c r="D942" t="s">
        <v>62</v>
      </c>
      <c r="E942" t="str">
        <f t="shared" si="56"/>
        <v>XL</v>
      </c>
      <c r="G942" t="s">
        <v>66</v>
      </c>
      <c r="H942" s="8">
        <v>83.92</v>
      </c>
      <c r="I942" s="3">
        <f t="shared" si="57"/>
        <v>0.29399999999999998</v>
      </c>
      <c r="J942" s="4">
        <v>29.4</v>
      </c>
      <c r="K942" s="11">
        <f>Table1[[#This Row],[original_price]]* (Table1[[#This Row],[Markdown percentage updated]])</f>
        <v>24.67248</v>
      </c>
      <c r="L9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942" s="6">
        <v>59.25</v>
      </c>
      <c r="N9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42" s="7">
        <v>45875</v>
      </c>
      <c r="P942">
        <v>20</v>
      </c>
      <c r="Q942" s="16" t="str">
        <f>IF(Table1[[#This Row],[stock_quantity]]=0,"NO STOCK",
IF(Table1[[#This Row],[stock_quantity]]&lt;=10,"LOW STOCK",
"IN STOCK"))</f>
        <v>IN STOCK</v>
      </c>
      <c r="R942" s="1">
        <f t="shared" si="58"/>
        <v>2.1</v>
      </c>
      <c r="S942">
        <v>2.1</v>
      </c>
      <c r="T942" t="b">
        <v>1</v>
      </c>
      <c r="U942" s="13" t="str">
        <f t="shared" si="59"/>
        <v>Quality Issue</v>
      </c>
      <c r="V942" t="s">
        <v>83</v>
      </c>
    </row>
    <row r="943" spans="1:22" hidden="1" x14ac:dyDescent="0.3">
      <c r="A943" t="s">
        <v>996</v>
      </c>
      <c r="B943" t="s">
        <v>15</v>
      </c>
      <c r="C943" t="s">
        <v>75</v>
      </c>
      <c r="D943" t="s">
        <v>34</v>
      </c>
      <c r="E943" t="str">
        <f t="shared" si="56"/>
        <v>L</v>
      </c>
      <c r="F943" t="s">
        <v>55</v>
      </c>
      <c r="G943" t="s">
        <v>56</v>
      </c>
      <c r="H943" s="8">
        <v>180.91</v>
      </c>
      <c r="I943" s="3">
        <f t="shared" si="57"/>
        <v>0</v>
      </c>
      <c r="J943" s="4">
        <v>0</v>
      </c>
      <c r="K943" s="11">
        <f>Table1[[#This Row],[original_price]]* (Table1[[#This Row],[Markdown percentage updated]])</f>
        <v>0</v>
      </c>
      <c r="L9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43" s="6">
        <v>180.91</v>
      </c>
      <c r="N9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43" s="7">
        <v>45875</v>
      </c>
      <c r="P943">
        <v>10</v>
      </c>
      <c r="Q943" s="17" t="str">
        <f>IF(Table1[[#This Row],[stock_quantity]]=0,"NO STOCK",
IF(Table1[[#This Row],[stock_quantity]]&lt;=10,"LOW STOCK",
"IN STOCK"))</f>
        <v>LOW STOCK</v>
      </c>
      <c r="R943" s="1">
        <f t="shared" si="58"/>
        <v>3.8</v>
      </c>
      <c r="S943">
        <v>3.8</v>
      </c>
      <c r="T943" t="b">
        <v>0</v>
      </c>
      <c r="U943" t="str">
        <f t="shared" si="59"/>
        <v>No Return</v>
      </c>
    </row>
    <row r="944" spans="1:22" hidden="1" x14ac:dyDescent="0.3">
      <c r="A944" t="s">
        <v>997</v>
      </c>
      <c r="B944" t="s">
        <v>30</v>
      </c>
      <c r="C944" t="s">
        <v>75</v>
      </c>
      <c r="D944" t="s">
        <v>17</v>
      </c>
      <c r="E944" t="str">
        <f t="shared" si="56"/>
        <v>OS</v>
      </c>
      <c r="F944" t="s">
        <v>49</v>
      </c>
      <c r="G944" t="s">
        <v>70</v>
      </c>
      <c r="H944" s="8">
        <v>120.11</v>
      </c>
      <c r="I944" s="3">
        <f t="shared" si="57"/>
        <v>0</v>
      </c>
      <c r="J944" s="4">
        <v>0</v>
      </c>
      <c r="K944" s="11">
        <f>Table1[[#This Row],[original_price]]* (Table1[[#This Row],[Markdown percentage updated]])</f>
        <v>0</v>
      </c>
      <c r="L9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44" s="6">
        <v>120.11</v>
      </c>
      <c r="N9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44" s="7">
        <v>45650</v>
      </c>
      <c r="P944">
        <v>27</v>
      </c>
      <c r="Q944" s="16" t="str">
        <f>IF(Table1[[#This Row],[stock_quantity]]=0,"NO STOCK",
IF(Table1[[#This Row],[stock_quantity]]&lt;=10,"LOW STOCK",
"IN STOCK"))</f>
        <v>IN STOCK</v>
      </c>
      <c r="R944" s="1">
        <f t="shared" si="58"/>
        <v>4.0999999999999996</v>
      </c>
      <c r="S944">
        <v>4.0999999999999996</v>
      </c>
      <c r="T944" t="b">
        <v>0</v>
      </c>
      <c r="U944" t="str">
        <f t="shared" si="59"/>
        <v>No Return</v>
      </c>
    </row>
    <row r="945" spans="1:22" hidden="1" x14ac:dyDescent="0.3">
      <c r="A945" t="s">
        <v>998</v>
      </c>
      <c r="B945" t="s">
        <v>15</v>
      </c>
      <c r="C945" t="s">
        <v>75</v>
      </c>
      <c r="D945" t="s">
        <v>62</v>
      </c>
      <c r="E945" t="str">
        <f t="shared" si="56"/>
        <v>XXL</v>
      </c>
      <c r="F945" t="s">
        <v>18</v>
      </c>
      <c r="G945" t="s">
        <v>19</v>
      </c>
      <c r="H945" s="8">
        <v>225.01</v>
      </c>
      <c r="I945" s="3">
        <f t="shared" si="57"/>
        <v>0</v>
      </c>
      <c r="J945" s="4">
        <v>0</v>
      </c>
      <c r="K945" s="11">
        <f>Table1[[#This Row],[original_price]]* (Table1[[#This Row],[Markdown percentage updated]])</f>
        <v>0</v>
      </c>
      <c r="L9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45" s="6">
        <v>225.01</v>
      </c>
      <c r="N9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45" s="7">
        <v>45875</v>
      </c>
      <c r="P945">
        <v>50</v>
      </c>
      <c r="Q945" s="16" t="str">
        <f>IF(Table1[[#This Row],[stock_quantity]]=0,"NO STOCK",
IF(Table1[[#This Row],[stock_quantity]]&lt;=10,"LOW STOCK",
"IN STOCK"))</f>
        <v>IN STOCK</v>
      </c>
      <c r="R945" s="1">
        <f t="shared" si="58"/>
        <v>1.9</v>
      </c>
      <c r="S945">
        <v>1.9</v>
      </c>
      <c r="T945" t="b">
        <v>1</v>
      </c>
      <c r="U945" s="13" t="str">
        <f t="shared" si="59"/>
        <v>Size Issue</v>
      </c>
      <c r="V945" t="s">
        <v>73</v>
      </c>
    </row>
    <row r="946" spans="1:22" hidden="1" x14ac:dyDescent="0.3">
      <c r="A946" t="s">
        <v>999</v>
      </c>
      <c r="B946" t="s">
        <v>42</v>
      </c>
      <c r="C946" t="s">
        <v>43</v>
      </c>
      <c r="D946" t="s">
        <v>62</v>
      </c>
      <c r="E946" t="str">
        <f t="shared" si="56"/>
        <v>OS</v>
      </c>
      <c r="F946" t="s">
        <v>24</v>
      </c>
      <c r="G946" t="s">
        <v>46</v>
      </c>
      <c r="H946" s="8">
        <v>115.57</v>
      </c>
      <c r="I946" s="3">
        <f t="shared" si="57"/>
        <v>0</v>
      </c>
      <c r="J946" s="4">
        <v>0</v>
      </c>
      <c r="K946" s="11">
        <f>Table1[[#This Row],[original_price]]* (Table1[[#This Row],[Markdown percentage updated]])</f>
        <v>0</v>
      </c>
      <c r="L9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46" s="6">
        <v>115.57</v>
      </c>
      <c r="N9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46" s="7">
        <v>45875</v>
      </c>
      <c r="P946">
        <v>32</v>
      </c>
      <c r="Q946" s="16" t="str">
        <f>IF(Table1[[#This Row],[stock_quantity]]=0,"NO STOCK",
IF(Table1[[#This Row],[stock_quantity]]&lt;=10,"LOW STOCK",
"IN STOCK"))</f>
        <v>IN STOCK</v>
      </c>
      <c r="R946" s="1">
        <f t="shared" si="58"/>
        <v>3</v>
      </c>
      <c r="S946">
        <v>3</v>
      </c>
      <c r="T946" t="b">
        <v>0</v>
      </c>
      <c r="U946" t="str">
        <f t="shared" si="59"/>
        <v>No Return</v>
      </c>
    </row>
    <row r="947" spans="1:22" hidden="1" x14ac:dyDescent="0.3">
      <c r="A947" t="s">
        <v>1000</v>
      </c>
      <c r="B947" t="s">
        <v>27</v>
      </c>
      <c r="C947" t="s">
        <v>61</v>
      </c>
      <c r="D947" t="s">
        <v>34</v>
      </c>
      <c r="E947" t="str">
        <f t="shared" si="56"/>
        <v>OS</v>
      </c>
      <c r="G947" t="s">
        <v>44</v>
      </c>
      <c r="H947" s="8">
        <v>21.2</v>
      </c>
      <c r="I947" s="3">
        <f t="shared" si="57"/>
        <v>0.19</v>
      </c>
      <c r="J947" s="4">
        <v>19</v>
      </c>
      <c r="K947" s="11">
        <f>Table1[[#This Row],[original_price]]* (Table1[[#This Row],[Markdown percentage updated]])</f>
        <v>4.0279999999999996</v>
      </c>
      <c r="L9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47" s="6">
        <v>17.170000000000002</v>
      </c>
      <c r="N9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947" s="7">
        <v>45875</v>
      </c>
      <c r="P947">
        <v>22</v>
      </c>
      <c r="Q947" s="16" t="str">
        <f>IF(Table1[[#This Row],[stock_quantity]]=0,"NO STOCK",
IF(Table1[[#This Row],[stock_quantity]]&lt;=10,"LOW STOCK",
"IN STOCK"))</f>
        <v>IN STOCK</v>
      </c>
      <c r="R947" s="1">
        <f t="shared" si="58"/>
        <v>1.3</v>
      </c>
      <c r="S947">
        <v>1.3</v>
      </c>
      <c r="T947" t="b">
        <v>0</v>
      </c>
      <c r="U947" t="str">
        <f t="shared" si="59"/>
        <v>No Return</v>
      </c>
    </row>
    <row r="948" spans="1:22" hidden="1" x14ac:dyDescent="0.3">
      <c r="A948" t="s">
        <v>1001</v>
      </c>
      <c r="B948" t="s">
        <v>38</v>
      </c>
      <c r="C948" t="s">
        <v>16</v>
      </c>
      <c r="D948" t="s">
        <v>17</v>
      </c>
      <c r="E948" t="str">
        <f t="shared" si="56"/>
        <v>OS</v>
      </c>
      <c r="F948" t="s">
        <v>49</v>
      </c>
      <c r="G948" t="s">
        <v>28</v>
      </c>
      <c r="H948" s="8">
        <v>52.36</v>
      </c>
      <c r="I948" s="3">
        <f t="shared" si="57"/>
        <v>0</v>
      </c>
      <c r="J948" s="4">
        <v>0</v>
      </c>
      <c r="K948" s="11">
        <f>Table1[[#This Row],[original_price]]* (Table1[[#This Row],[Markdown percentage updated]])</f>
        <v>0</v>
      </c>
      <c r="L9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48" s="6">
        <v>52.36</v>
      </c>
      <c r="N9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48" s="7">
        <v>45769</v>
      </c>
      <c r="P948">
        <v>35</v>
      </c>
      <c r="Q948" s="16" t="str">
        <f>IF(Table1[[#This Row],[stock_quantity]]=0,"NO STOCK",
IF(Table1[[#This Row],[stock_quantity]]&lt;=10,"LOW STOCK",
"IN STOCK"))</f>
        <v>IN STOCK</v>
      </c>
      <c r="R948" s="1">
        <f t="shared" si="58"/>
        <v>0</v>
      </c>
      <c r="T948" t="b">
        <v>0</v>
      </c>
      <c r="U948" t="str">
        <f t="shared" si="59"/>
        <v>No Return</v>
      </c>
    </row>
    <row r="949" spans="1:22" hidden="1" x14ac:dyDescent="0.3">
      <c r="A949" t="s">
        <v>1002</v>
      </c>
      <c r="B949" t="s">
        <v>27</v>
      </c>
      <c r="C949" t="s">
        <v>53</v>
      </c>
      <c r="D949" t="s">
        <v>34</v>
      </c>
      <c r="E949" t="str">
        <f t="shared" si="56"/>
        <v>L</v>
      </c>
      <c r="G949" t="s">
        <v>40</v>
      </c>
      <c r="H949" s="8">
        <v>73.430000000000007</v>
      </c>
      <c r="I949" s="3">
        <f t="shared" si="57"/>
        <v>0</v>
      </c>
      <c r="J949" s="4">
        <v>0</v>
      </c>
      <c r="K949" s="11">
        <f>Table1[[#This Row],[original_price]]* (Table1[[#This Row],[Markdown percentage updated]])</f>
        <v>0</v>
      </c>
      <c r="L9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49" s="6">
        <v>73.430000000000007</v>
      </c>
      <c r="N9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49" s="7">
        <v>45875</v>
      </c>
      <c r="P949">
        <v>22</v>
      </c>
      <c r="Q949" s="16" t="str">
        <f>IF(Table1[[#This Row],[stock_quantity]]=0,"NO STOCK",
IF(Table1[[#This Row],[stock_quantity]]&lt;=10,"LOW STOCK",
"IN STOCK"))</f>
        <v>IN STOCK</v>
      </c>
      <c r="R949" s="1">
        <f t="shared" si="58"/>
        <v>2.2999999999999998</v>
      </c>
      <c r="S949">
        <v>2.2999999999999998</v>
      </c>
      <c r="T949" t="b">
        <v>0</v>
      </c>
      <c r="U949" t="str">
        <f t="shared" si="59"/>
        <v>No Return</v>
      </c>
    </row>
    <row r="950" spans="1:22" hidden="1" x14ac:dyDescent="0.3">
      <c r="A950" t="s">
        <v>1003</v>
      </c>
      <c r="B950" t="s">
        <v>27</v>
      </c>
      <c r="C950" t="s">
        <v>53</v>
      </c>
      <c r="D950" t="s">
        <v>17</v>
      </c>
      <c r="E950" t="str">
        <f t="shared" si="56"/>
        <v>OS</v>
      </c>
      <c r="G950" t="s">
        <v>66</v>
      </c>
      <c r="H950" s="8">
        <v>70.75</v>
      </c>
      <c r="I950" s="3">
        <f t="shared" si="57"/>
        <v>0</v>
      </c>
      <c r="J950" s="4">
        <v>0</v>
      </c>
      <c r="K950" s="11">
        <f>Table1[[#This Row],[original_price]]* (Table1[[#This Row],[Markdown percentage updated]])</f>
        <v>0</v>
      </c>
      <c r="L9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50" s="6">
        <v>70.75</v>
      </c>
      <c r="N9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50" s="7">
        <v>45789</v>
      </c>
      <c r="P950">
        <v>0</v>
      </c>
      <c r="Q950" s="13" t="str">
        <f>IF(Table1[[#This Row],[stock_quantity]]=0,"NO STOCK",
IF(Table1[[#This Row],[stock_quantity]]&lt;=10,"LOW STOCK",
"IN STOCK"))</f>
        <v>NO STOCK</v>
      </c>
      <c r="R950" s="1">
        <f t="shared" si="58"/>
        <v>1.4</v>
      </c>
      <c r="S950">
        <v>1.4</v>
      </c>
      <c r="T950" t="b">
        <v>0</v>
      </c>
      <c r="U950" t="str">
        <f t="shared" si="59"/>
        <v>No Return</v>
      </c>
    </row>
    <row r="951" spans="1:22" hidden="1" x14ac:dyDescent="0.3">
      <c r="A951" t="s">
        <v>1004</v>
      </c>
      <c r="B951" t="s">
        <v>27</v>
      </c>
      <c r="C951" t="s">
        <v>61</v>
      </c>
      <c r="D951" t="s">
        <v>34</v>
      </c>
      <c r="E951" t="str">
        <f t="shared" si="56"/>
        <v>XS</v>
      </c>
      <c r="G951" t="s">
        <v>35</v>
      </c>
      <c r="H951" s="8">
        <v>58.9</v>
      </c>
      <c r="I951" s="3">
        <f t="shared" si="57"/>
        <v>0</v>
      </c>
      <c r="J951" s="4">
        <v>0</v>
      </c>
      <c r="K951" s="11">
        <f>Table1[[#This Row],[original_price]]* (Table1[[#This Row],[Markdown percentage updated]])</f>
        <v>0</v>
      </c>
      <c r="L9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51" s="6">
        <v>58.9</v>
      </c>
      <c r="N9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51" s="7">
        <v>45875</v>
      </c>
      <c r="P951">
        <v>39</v>
      </c>
      <c r="Q951" s="16" t="str">
        <f>IF(Table1[[#This Row],[stock_quantity]]=0,"NO STOCK",
IF(Table1[[#This Row],[stock_quantity]]&lt;=10,"LOW STOCK",
"IN STOCK"))</f>
        <v>IN STOCK</v>
      </c>
      <c r="R951" s="1">
        <f t="shared" si="58"/>
        <v>4</v>
      </c>
      <c r="S951">
        <v>4</v>
      </c>
      <c r="T951" t="b">
        <v>0</v>
      </c>
      <c r="U951" t="str">
        <f t="shared" si="59"/>
        <v>No Return</v>
      </c>
    </row>
    <row r="952" spans="1:22" hidden="1" x14ac:dyDescent="0.3">
      <c r="A952" t="s">
        <v>1005</v>
      </c>
      <c r="B952" t="s">
        <v>15</v>
      </c>
      <c r="C952" t="s">
        <v>75</v>
      </c>
      <c r="D952" t="s">
        <v>23</v>
      </c>
      <c r="E952" t="str">
        <f t="shared" si="56"/>
        <v>XS</v>
      </c>
      <c r="F952" t="s">
        <v>24</v>
      </c>
      <c r="G952" t="s">
        <v>66</v>
      </c>
      <c r="H952" s="8">
        <v>104.78</v>
      </c>
      <c r="I952" s="3">
        <f t="shared" si="57"/>
        <v>0.16899999999999998</v>
      </c>
      <c r="J952" s="4">
        <v>16.899999999999999</v>
      </c>
      <c r="K952" s="11">
        <f>Table1[[#This Row],[original_price]]* (Table1[[#This Row],[Markdown percentage updated]])</f>
        <v>17.707819999999998</v>
      </c>
      <c r="L9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52" s="6">
        <v>87.07</v>
      </c>
      <c r="N9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952" s="7">
        <v>45875</v>
      </c>
      <c r="P952">
        <v>43</v>
      </c>
      <c r="Q952" s="16" t="str">
        <f>IF(Table1[[#This Row],[stock_quantity]]=0,"NO STOCK",
IF(Table1[[#This Row],[stock_quantity]]&lt;=10,"LOW STOCK",
"IN STOCK"))</f>
        <v>IN STOCK</v>
      </c>
      <c r="R952" s="1">
        <f t="shared" si="58"/>
        <v>4.3</v>
      </c>
      <c r="S952">
        <v>4.3</v>
      </c>
      <c r="T952" t="b">
        <v>0</v>
      </c>
      <c r="U952" t="str">
        <f t="shared" si="59"/>
        <v>No Return</v>
      </c>
    </row>
    <row r="953" spans="1:22" hidden="1" x14ac:dyDescent="0.3">
      <c r="A953" t="s">
        <v>1006</v>
      </c>
      <c r="B953" t="s">
        <v>27</v>
      </c>
      <c r="C953" t="s">
        <v>75</v>
      </c>
      <c r="D953" t="s">
        <v>34</v>
      </c>
      <c r="E953" t="str">
        <f t="shared" si="56"/>
        <v>M</v>
      </c>
      <c r="G953" t="s">
        <v>44</v>
      </c>
      <c r="H953" s="8">
        <v>55.3</v>
      </c>
      <c r="I953" s="3">
        <f t="shared" si="57"/>
        <v>0</v>
      </c>
      <c r="J953" s="4">
        <v>0</v>
      </c>
      <c r="K953" s="11">
        <f>Table1[[#This Row],[original_price]]* (Table1[[#This Row],[Markdown percentage updated]])</f>
        <v>0</v>
      </c>
      <c r="L9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53" s="6">
        <v>55.3</v>
      </c>
      <c r="N9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53" s="7">
        <v>45875</v>
      </c>
      <c r="P953">
        <v>17</v>
      </c>
      <c r="Q953" s="16" t="str">
        <f>IF(Table1[[#This Row],[stock_quantity]]=0,"NO STOCK",
IF(Table1[[#This Row],[stock_quantity]]&lt;=10,"LOW STOCK",
"IN STOCK"))</f>
        <v>IN STOCK</v>
      </c>
      <c r="R953" s="1">
        <f t="shared" si="58"/>
        <v>2.5</v>
      </c>
      <c r="S953">
        <v>2.5</v>
      </c>
      <c r="T953" t="b">
        <v>0</v>
      </c>
      <c r="U953" t="str">
        <f t="shared" si="59"/>
        <v>No Return</v>
      </c>
    </row>
    <row r="954" spans="1:22" hidden="1" x14ac:dyDescent="0.3">
      <c r="A954" t="s">
        <v>1007</v>
      </c>
      <c r="B954" t="s">
        <v>38</v>
      </c>
      <c r="C954" t="s">
        <v>61</v>
      </c>
      <c r="D954" t="s">
        <v>62</v>
      </c>
      <c r="E954" t="str">
        <f t="shared" si="56"/>
        <v>XL</v>
      </c>
      <c r="F954" t="s">
        <v>55</v>
      </c>
      <c r="G954" t="s">
        <v>28</v>
      </c>
      <c r="H954" s="8">
        <v>56.65</v>
      </c>
      <c r="I954" s="3">
        <f t="shared" si="57"/>
        <v>0.34</v>
      </c>
      <c r="J954" s="4">
        <v>34</v>
      </c>
      <c r="K954" s="11">
        <f>Table1[[#This Row],[original_price]]* (Table1[[#This Row],[Markdown percentage updated]])</f>
        <v>19.260999999999999</v>
      </c>
      <c r="L9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54" s="6">
        <v>37.39</v>
      </c>
      <c r="N9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954" s="7">
        <v>45875</v>
      </c>
      <c r="P954">
        <v>23</v>
      </c>
      <c r="Q954" s="16" t="str">
        <f>IF(Table1[[#This Row],[stock_quantity]]=0,"NO STOCK",
IF(Table1[[#This Row],[stock_quantity]]&lt;=10,"LOW STOCK",
"IN STOCK"))</f>
        <v>IN STOCK</v>
      </c>
      <c r="R954" s="1">
        <f t="shared" si="58"/>
        <v>4.3</v>
      </c>
      <c r="S954">
        <v>4.3</v>
      </c>
      <c r="T954" t="b">
        <v>0</v>
      </c>
      <c r="U954" t="str">
        <f t="shared" si="59"/>
        <v>No Return</v>
      </c>
    </row>
    <row r="955" spans="1:22" hidden="1" x14ac:dyDescent="0.3">
      <c r="A955" t="s">
        <v>1008</v>
      </c>
      <c r="B955" t="s">
        <v>30</v>
      </c>
      <c r="C955" t="s">
        <v>22</v>
      </c>
      <c r="D955" t="s">
        <v>34</v>
      </c>
      <c r="E955" t="str">
        <f t="shared" si="56"/>
        <v>M</v>
      </c>
      <c r="F955" t="s">
        <v>55</v>
      </c>
      <c r="G955" t="s">
        <v>25</v>
      </c>
      <c r="H955" s="8">
        <v>199.14</v>
      </c>
      <c r="I955" s="3">
        <f t="shared" si="57"/>
        <v>0</v>
      </c>
      <c r="J955" s="4">
        <v>0</v>
      </c>
      <c r="K955" s="11">
        <f>Table1[[#This Row],[original_price]]* (Table1[[#This Row],[Markdown percentage updated]])</f>
        <v>0</v>
      </c>
      <c r="L9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55" s="6">
        <v>199.14</v>
      </c>
      <c r="N9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55" s="7">
        <v>45875</v>
      </c>
      <c r="P955">
        <v>18</v>
      </c>
      <c r="Q955" s="16" t="str">
        <f>IF(Table1[[#This Row],[stock_quantity]]=0,"NO STOCK",
IF(Table1[[#This Row],[stock_quantity]]&lt;=10,"LOW STOCK",
"IN STOCK"))</f>
        <v>IN STOCK</v>
      </c>
      <c r="R955" s="1">
        <f t="shared" si="58"/>
        <v>0</v>
      </c>
      <c r="T955" t="b">
        <v>0</v>
      </c>
      <c r="U955" t="str">
        <f t="shared" si="59"/>
        <v>No Return</v>
      </c>
    </row>
    <row r="956" spans="1:22" hidden="1" x14ac:dyDescent="0.3">
      <c r="A956" t="s">
        <v>1009</v>
      </c>
      <c r="B956" t="s">
        <v>30</v>
      </c>
      <c r="C956" t="s">
        <v>16</v>
      </c>
      <c r="D956" t="s">
        <v>34</v>
      </c>
      <c r="E956" t="str">
        <f t="shared" si="56"/>
        <v>XXL</v>
      </c>
      <c r="F956" t="s">
        <v>58</v>
      </c>
      <c r="G956" t="s">
        <v>25</v>
      </c>
      <c r="H956" s="8">
        <v>128.68</v>
      </c>
      <c r="I956" s="3">
        <f t="shared" si="57"/>
        <v>0</v>
      </c>
      <c r="J956" s="4">
        <v>0</v>
      </c>
      <c r="K956" s="11">
        <f>Table1[[#This Row],[original_price]]* (Table1[[#This Row],[Markdown percentage updated]])</f>
        <v>0</v>
      </c>
      <c r="L9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56" s="6">
        <v>128.68</v>
      </c>
      <c r="N9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56" s="7">
        <v>45875</v>
      </c>
      <c r="P956">
        <v>8</v>
      </c>
      <c r="Q956" s="17" t="str">
        <f>IF(Table1[[#This Row],[stock_quantity]]=0,"NO STOCK",
IF(Table1[[#This Row],[stock_quantity]]&lt;=10,"LOW STOCK",
"IN STOCK"))</f>
        <v>LOW STOCK</v>
      </c>
      <c r="R956" s="1">
        <f t="shared" si="58"/>
        <v>2.2000000000000002</v>
      </c>
      <c r="S956">
        <v>2.2000000000000002</v>
      </c>
      <c r="T956" t="b">
        <v>0</v>
      </c>
      <c r="U956" t="str">
        <f t="shared" si="59"/>
        <v>No Return</v>
      </c>
    </row>
    <row r="957" spans="1:22" hidden="1" x14ac:dyDescent="0.3">
      <c r="A957" t="s">
        <v>1010</v>
      </c>
      <c r="B957" t="s">
        <v>15</v>
      </c>
      <c r="C957" t="s">
        <v>22</v>
      </c>
      <c r="D957" t="s">
        <v>34</v>
      </c>
      <c r="E957" t="str">
        <f t="shared" si="56"/>
        <v>OS</v>
      </c>
      <c r="F957" t="s">
        <v>18</v>
      </c>
      <c r="G957" t="s">
        <v>56</v>
      </c>
      <c r="H957" s="8">
        <v>150.37</v>
      </c>
      <c r="I957" s="3">
        <f t="shared" si="57"/>
        <v>0.51900000000000002</v>
      </c>
      <c r="J957" s="4">
        <v>51.9</v>
      </c>
      <c r="K957" s="11">
        <f>Table1[[#This Row],[original_price]]* (Table1[[#This Row],[Markdown percentage updated]])</f>
        <v>78.042030000000011</v>
      </c>
      <c r="L9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57" s="6">
        <v>72.33</v>
      </c>
      <c r="N9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57" s="7">
        <v>45875</v>
      </c>
      <c r="P957">
        <v>15</v>
      </c>
      <c r="Q957" s="16" t="str">
        <f>IF(Table1[[#This Row],[stock_quantity]]=0,"NO STOCK",
IF(Table1[[#This Row],[stock_quantity]]&lt;=10,"LOW STOCK",
"IN STOCK"))</f>
        <v>IN STOCK</v>
      </c>
      <c r="R957" s="1">
        <f t="shared" si="58"/>
        <v>5</v>
      </c>
      <c r="S957">
        <v>5</v>
      </c>
      <c r="T957" t="b">
        <v>0</v>
      </c>
      <c r="U957" t="str">
        <f t="shared" si="59"/>
        <v>No Return</v>
      </c>
    </row>
    <row r="958" spans="1:22" hidden="1" x14ac:dyDescent="0.3">
      <c r="A958" t="s">
        <v>1011</v>
      </c>
      <c r="B958" t="s">
        <v>42</v>
      </c>
      <c r="C958" t="s">
        <v>75</v>
      </c>
      <c r="D958" t="s">
        <v>23</v>
      </c>
      <c r="E958" t="str">
        <f t="shared" si="56"/>
        <v>S</v>
      </c>
      <c r="F958" t="s">
        <v>58</v>
      </c>
      <c r="G958" t="s">
        <v>25</v>
      </c>
      <c r="H958" s="8">
        <v>162.65</v>
      </c>
      <c r="I958" s="3">
        <f t="shared" si="57"/>
        <v>0</v>
      </c>
      <c r="J958" s="4">
        <v>0</v>
      </c>
      <c r="K958" s="11">
        <f>Table1[[#This Row],[original_price]]* (Table1[[#This Row],[Markdown percentage updated]])</f>
        <v>0</v>
      </c>
      <c r="L9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58" s="6">
        <v>162.65</v>
      </c>
      <c r="N9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58" s="7">
        <v>45875</v>
      </c>
      <c r="P958">
        <v>36</v>
      </c>
      <c r="Q958" s="16" t="str">
        <f>IF(Table1[[#This Row],[stock_quantity]]=0,"NO STOCK",
IF(Table1[[#This Row],[stock_quantity]]&lt;=10,"LOW STOCK",
"IN STOCK"))</f>
        <v>IN STOCK</v>
      </c>
      <c r="R958" s="1">
        <f t="shared" si="58"/>
        <v>1.4</v>
      </c>
      <c r="S958">
        <v>1.4</v>
      </c>
      <c r="T958" t="b">
        <v>0</v>
      </c>
      <c r="U958" t="str">
        <f t="shared" si="59"/>
        <v>No Return</v>
      </c>
    </row>
    <row r="959" spans="1:22" hidden="1" x14ac:dyDescent="0.3">
      <c r="A959" t="s">
        <v>1012</v>
      </c>
      <c r="B959" t="s">
        <v>38</v>
      </c>
      <c r="C959" t="s">
        <v>43</v>
      </c>
      <c r="D959" t="s">
        <v>62</v>
      </c>
      <c r="E959" t="str">
        <f t="shared" si="56"/>
        <v>S</v>
      </c>
      <c r="F959" t="s">
        <v>49</v>
      </c>
      <c r="G959" t="s">
        <v>35</v>
      </c>
      <c r="H959" s="8">
        <v>28.9</v>
      </c>
      <c r="I959" s="3">
        <f t="shared" si="57"/>
        <v>0</v>
      </c>
      <c r="J959" s="4">
        <v>0</v>
      </c>
      <c r="K959" s="11">
        <f>Table1[[#This Row],[original_price]]* (Table1[[#This Row],[Markdown percentage updated]])</f>
        <v>0</v>
      </c>
      <c r="L9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59" s="6">
        <v>28.9</v>
      </c>
      <c r="N9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59" s="7">
        <v>45875</v>
      </c>
      <c r="P959">
        <v>5</v>
      </c>
      <c r="Q959" s="17" t="str">
        <f>IF(Table1[[#This Row],[stock_quantity]]=0,"NO STOCK",
IF(Table1[[#This Row],[stock_quantity]]&lt;=10,"LOW STOCK",
"IN STOCK"))</f>
        <v>LOW STOCK</v>
      </c>
      <c r="R959" s="1">
        <f t="shared" si="58"/>
        <v>4.5999999999999996</v>
      </c>
      <c r="S959">
        <v>4.5999999999999996</v>
      </c>
      <c r="T959" t="b">
        <v>0</v>
      </c>
      <c r="U959" t="str">
        <f t="shared" si="59"/>
        <v>No Return</v>
      </c>
    </row>
    <row r="960" spans="1:22" hidden="1" x14ac:dyDescent="0.3">
      <c r="A960" t="s">
        <v>1013</v>
      </c>
      <c r="B960" t="s">
        <v>27</v>
      </c>
      <c r="C960" t="s">
        <v>75</v>
      </c>
      <c r="D960" t="s">
        <v>17</v>
      </c>
      <c r="E960" t="str">
        <f t="shared" si="56"/>
        <v>S</v>
      </c>
      <c r="G960" t="s">
        <v>25</v>
      </c>
      <c r="H960" s="8">
        <v>75.59</v>
      </c>
      <c r="I960" s="3">
        <f t="shared" si="57"/>
        <v>0.38799999999999996</v>
      </c>
      <c r="J960" s="4">
        <v>38.799999999999997</v>
      </c>
      <c r="K960" s="11">
        <f>Table1[[#This Row],[original_price]]* (Table1[[#This Row],[Markdown percentage updated]])</f>
        <v>29.328919999999997</v>
      </c>
      <c r="L9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60" s="6">
        <v>46.26</v>
      </c>
      <c r="N9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60" s="7">
        <v>45745</v>
      </c>
      <c r="P960">
        <v>43</v>
      </c>
      <c r="Q960" s="16" t="str">
        <f>IF(Table1[[#This Row],[stock_quantity]]=0,"NO STOCK",
IF(Table1[[#This Row],[stock_quantity]]&lt;=10,"LOW STOCK",
"IN STOCK"))</f>
        <v>IN STOCK</v>
      </c>
      <c r="R960" s="1">
        <f t="shared" si="58"/>
        <v>1.1000000000000001</v>
      </c>
      <c r="S960">
        <v>1.1000000000000001</v>
      </c>
      <c r="T960" t="b">
        <v>0</v>
      </c>
      <c r="U960" t="str">
        <f t="shared" si="59"/>
        <v>No Return</v>
      </c>
    </row>
    <row r="961" spans="1:22" hidden="1" x14ac:dyDescent="0.3">
      <c r="A961" t="s">
        <v>1014</v>
      </c>
      <c r="B961" t="s">
        <v>21</v>
      </c>
      <c r="C961" t="s">
        <v>16</v>
      </c>
      <c r="D961" t="s">
        <v>17</v>
      </c>
      <c r="E961" t="str">
        <f t="shared" si="56"/>
        <v>M</v>
      </c>
      <c r="F961" t="s">
        <v>39</v>
      </c>
      <c r="G961" t="s">
        <v>70</v>
      </c>
      <c r="H961" s="8">
        <v>30.9</v>
      </c>
      <c r="I961" s="3">
        <f t="shared" si="57"/>
        <v>5.5E-2</v>
      </c>
      <c r="J961" s="4">
        <v>5.5</v>
      </c>
      <c r="K961" s="11">
        <f>Table1[[#This Row],[original_price]]* (Table1[[#This Row],[Markdown percentage updated]])</f>
        <v>1.6995</v>
      </c>
      <c r="L9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61" s="6">
        <v>29.2</v>
      </c>
      <c r="N9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961" s="7">
        <v>45602</v>
      </c>
      <c r="P961">
        <v>25</v>
      </c>
      <c r="Q961" s="16" t="str">
        <f>IF(Table1[[#This Row],[stock_quantity]]=0,"NO STOCK",
IF(Table1[[#This Row],[stock_quantity]]&lt;=10,"LOW STOCK",
"IN STOCK"))</f>
        <v>IN STOCK</v>
      </c>
      <c r="R961" s="1">
        <f t="shared" si="58"/>
        <v>1.4</v>
      </c>
      <c r="S961">
        <v>1.4</v>
      </c>
      <c r="T961" t="b">
        <v>0</v>
      </c>
      <c r="U961" t="str">
        <f t="shared" si="59"/>
        <v>No Return</v>
      </c>
    </row>
    <row r="962" spans="1:22" hidden="1" x14ac:dyDescent="0.3">
      <c r="A962" t="s">
        <v>1015</v>
      </c>
      <c r="B962" t="s">
        <v>15</v>
      </c>
      <c r="C962" t="s">
        <v>43</v>
      </c>
      <c r="D962" t="s">
        <v>62</v>
      </c>
      <c r="E962" t="str">
        <f t="shared" ref="E962:E1025" si="60">IF(ISBLANK(F965),"OS",F965)</f>
        <v>XXL</v>
      </c>
      <c r="F962" t="s">
        <v>39</v>
      </c>
      <c r="G962" t="s">
        <v>44</v>
      </c>
      <c r="H962" s="8">
        <v>101.04</v>
      </c>
      <c r="I962" s="3">
        <f t="shared" ref="I962:I1025" si="61">J962/100</f>
        <v>0</v>
      </c>
      <c r="J962" s="4">
        <v>0</v>
      </c>
      <c r="K962" s="11">
        <f>Table1[[#This Row],[original_price]]* (Table1[[#This Row],[Markdown percentage updated]])</f>
        <v>0</v>
      </c>
      <c r="L9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62" s="6">
        <v>101.04</v>
      </c>
      <c r="N9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62" s="7">
        <v>45875</v>
      </c>
      <c r="P962">
        <v>35</v>
      </c>
      <c r="Q962" s="16" t="str">
        <f>IF(Table1[[#This Row],[stock_quantity]]=0,"NO STOCK",
IF(Table1[[#This Row],[stock_quantity]]&lt;=10,"LOW STOCK",
"IN STOCK"))</f>
        <v>IN STOCK</v>
      </c>
      <c r="R962" s="1">
        <f t="shared" si="58"/>
        <v>3.5</v>
      </c>
      <c r="S962">
        <v>3.5</v>
      </c>
      <c r="T962" t="b">
        <v>0</v>
      </c>
      <c r="U962" t="str">
        <f t="shared" si="59"/>
        <v>No Return</v>
      </c>
    </row>
    <row r="963" spans="1:22" hidden="1" x14ac:dyDescent="0.3">
      <c r="A963" t="s">
        <v>1016</v>
      </c>
      <c r="B963" t="s">
        <v>42</v>
      </c>
      <c r="C963" t="s">
        <v>75</v>
      </c>
      <c r="D963" t="s">
        <v>34</v>
      </c>
      <c r="E963" t="str">
        <f t="shared" si="60"/>
        <v>XXL</v>
      </c>
      <c r="F963" t="s">
        <v>39</v>
      </c>
      <c r="G963" t="s">
        <v>35</v>
      </c>
      <c r="H963" s="8">
        <v>54.81</v>
      </c>
      <c r="I963" s="3">
        <f t="shared" si="61"/>
        <v>0</v>
      </c>
      <c r="J963" s="4">
        <v>0</v>
      </c>
      <c r="K963" s="11">
        <f>Table1[[#This Row],[original_price]]* (Table1[[#This Row],[Markdown percentage updated]])</f>
        <v>0</v>
      </c>
      <c r="L9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63" s="6">
        <v>54.81</v>
      </c>
      <c r="N9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63" s="7">
        <v>45875</v>
      </c>
      <c r="P963">
        <v>41</v>
      </c>
      <c r="Q963" s="16" t="str">
        <f>IF(Table1[[#This Row],[stock_quantity]]=0,"NO STOCK",
IF(Table1[[#This Row],[stock_quantity]]&lt;=10,"LOW STOCK",
"IN STOCK"))</f>
        <v>IN STOCK</v>
      </c>
      <c r="R963" s="1">
        <f t="shared" ref="R963:R1026" si="62">IF(ISBLANK(S963), 0, S963)</f>
        <v>1.2</v>
      </c>
      <c r="S963">
        <v>1.2</v>
      </c>
      <c r="T963" t="b">
        <v>1</v>
      </c>
      <c r="U963" s="13" t="str">
        <f t="shared" ref="U963:U1026" si="63">IF(V963="","No Return",V963)</f>
        <v>Wrong Item</v>
      </c>
      <c r="V963" t="s">
        <v>125</v>
      </c>
    </row>
    <row r="964" spans="1:22" hidden="1" x14ac:dyDescent="0.3">
      <c r="A964" t="s">
        <v>1017</v>
      </c>
      <c r="B964" t="s">
        <v>30</v>
      </c>
      <c r="C964" t="s">
        <v>48</v>
      </c>
      <c r="D964" t="s">
        <v>62</v>
      </c>
      <c r="E964" t="str">
        <f t="shared" si="60"/>
        <v>M</v>
      </c>
      <c r="F964" t="s">
        <v>58</v>
      </c>
      <c r="G964" t="s">
        <v>64</v>
      </c>
      <c r="H964" s="8">
        <v>191.61</v>
      </c>
      <c r="I964" s="3">
        <f t="shared" si="61"/>
        <v>0.42100000000000004</v>
      </c>
      <c r="J964" s="4">
        <v>42.1</v>
      </c>
      <c r="K964" s="11">
        <f>Table1[[#This Row],[original_price]]* (Table1[[#This Row],[Markdown percentage updated]])</f>
        <v>80.667810000000017</v>
      </c>
      <c r="L9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64" s="6">
        <v>110.94</v>
      </c>
      <c r="N9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64" s="7">
        <v>45875</v>
      </c>
      <c r="P964">
        <v>28</v>
      </c>
      <c r="Q964" s="16" t="str">
        <f>IF(Table1[[#This Row],[stock_quantity]]=0,"NO STOCK",
IF(Table1[[#This Row],[stock_quantity]]&lt;=10,"LOW STOCK",
"IN STOCK"))</f>
        <v>IN STOCK</v>
      </c>
      <c r="R964" s="1">
        <f t="shared" si="62"/>
        <v>4</v>
      </c>
      <c r="S964">
        <v>4</v>
      </c>
      <c r="T964" t="b">
        <v>0</v>
      </c>
      <c r="U964" t="str">
        <f t="shared" si="63"/>
        <v>No Return</v>
      </c>
    </row>
    <row r="965" spans="1:22" hidden="1" x14ac:dyDescent="0.3">
      <c r="A965" t="s">
        <v>1018</v>
      </c>
      <c r="B965" t="s">
        <v>21</v>
      </c>
      <c r="C965" t="s">
        <v>43</v>
      </c>
      <c r="D965" t="s">
        <v>62</v>
      </c>
      <c r="E965" t="str">
        <f t="shared" si="60"/>
        <v>XS</v>
      </c>
      <c r="F965" t="s">
        <v>49</v>
      </c>
      <c r="G965" t="s">
        <v>25</v>
      </c>
      <c r="H965" s="8">
        <v>100.5</v>
      </c>
      <c r="I965" s="3">
        <f t="shared" si="61"/>
        <v>0</v>
      </c>
      <c r="J965" s="4">
        <v>0</v>
      </c>
      <c r="K965" s="11">
        <f>Table1[[#This Row],[original_price]]* (Table1[[#This Row],[Markdown percentage updated]])</f>
        <v>0</v>
      </c>
      <c r="L9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65" s="6">
        <v>100.5</v>
      </c>
      <c r="N9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65" s="7">
        <v>45875</v>
      </c>
      <c r="P965">
        <v>12</v>
      </c>
      <c r="Q965" s="16" t="str">
        <f>IF(Table1[[#This Row],[stock_quantity]]=0,"NO STOCK",
IF(Table1[[#This Row],[stock_quantity]]&lt;=10,"LOW STOCK",
"IN STOCK"))</f>
        <v>IN STOCK</v>
      </c>
      <c r="R965" s="1">
        <f t="shared" si="62"/>
        <v>2.7</v>
      </c>
      <c r="S965">
        <v>2.7</v>
      </c>
      <c r="T965" t="b">
        <v>1</v>
      </c>
      <c r="U965" s="13" t="str">
        <f t="shared" si="63"/>
        <v>Damaged</v>
      </c>
      <c r="V965" t="s">
        <v>78</v>
      </c>
    </row>
    <row r="966" spans="1:22" hidden="1" x14ac:dyDescent="0.3">
      <c r="A966" t="s">
        <v>1019</v>
      </c>
      <c r="B966" t="s">
        <v>30</v>
      </c>
      <c r="C966" t="s">
        <v>43</v>
      </c>
      <c r="D966" t="s">
        <v>17</v>
      </c>
      <c r="E966" t="str">
        <f t="shared" si="60"/>
        <v>XS</v>
      </c>
      <c r="F966" t="s">
        <v>49</v>
      </c>
      <c r="G966" t="s">
        <v>46</v>
      </c>
      <c r="H966" s="8">
        <v>92.35</v>
      </c>
      <c r="I966" s="3">
        <f t="shared" si="61"/>
        <v>0.23600000000000002</v>
      </c>
      <c r="J966" s="4">
        <v>23.6</v>
      </c>
      <c r="K966" s="11">
        <f>Table1[[#This Row],[original_price]]* (Table1[[#This Row],[Markdown percentage updated]])</f>
        <v>21.794599999999999</v>
      </c>
      <c r="L9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966" s="6">
        <v>70.56</v>
      </c>
      <c r="N9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66" s="7">
        <v>45624</v>
      </c>
      <c r="P966">
        <v>32</v>
      </c>
      <c r="Q966" s="16" t="str">
        <f>IF(Table1[[#This Row],[stock_quantity]]=0,"NO STOCK",
IF(Table1[[#This Row],[stock_quantity]]&lt;=10,"LOW STOCK",
"IN STOCK"))</f>
        <v>IN STOCK</v>
      </c>
      <c r="R966" s="1">
        <f t="shared" si="62"/>
        <v>2.2000000000000002</v>
      </c>
      <c r="S966">
        <v>2.2000000000000002</v>
      </c>
      <c r="T966" t="b">
        <v>0</v>
      </c>
      <c r="U966" t="str">
        <f t="shared" si="63"/>
        <v>No Return</v>
      </c>
    </row>
    <row r="967" spans="1:22" hidden="1" x14ac:dyDescent="0.3">
      <c r="A967" t="s">
        <v>1020</v>
      </c>
      <c r="B967" t="s">
        <v>30</v>
      </c>
      <c r="C967" t="s">
        <v>53</v>
      </c>
      <c r="D967" t="s">
        <v>62</v>
      </c>
      <c r="E967" t="str">
        <f t="shared" si="60"/>
        <v>L</v>
      </c>
      <c r="F967" t="s">
        <v>58</v>
      </c>
      <c r="G967" t="s">
        <v>40</v>
      </c>
      <c r="H967" s="8">
        <v>161.24</v>
      </c>
      <c r="I967" s="3">
        <f t="shared" si="61"/>
        <v>0.56600000000000006</v>
      </c>
      <c r="J967" s="4">
        <v>56.6</v>
      </c>
      <c r="K967" s="11">
        <f>Table1[[#This Row],[original_price]]* (Table1[[#This Row],[Markdown percentage updated]])</f>
        <v>91.261840000000021</v>
      </c>
      <c r="L9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67" s="6">
        <v>69.98</v>
      </c>
      <c r="N9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67" s="7">
        <v>45875</v>
      </c>
      <c r="P967">
        <v>8</v>
      </c>
      <c r="Q967" s="17" t="str">
        <f>IF(Table1[[#This Row],[stock_quantity]]=0,"NO STOCK",
IF(Table1[[#This Row],[stock_quantity]]&lt;=10,"LOW STOCK",
"IN STOCK"))</f>
        <v>LOW STOCK</v>
      </c>
      <c r="R967" s="1">
        <f t="shared" si="62"/>
        <v>2.1</v>
      </c>
      <c r="S967">
        <v>2.1</v>
      </c>
      <c r="T967" t="b">
        <v>0</v>
      </c>
      <c r="U967" t="str">
        <f t="shared" si="63"/>
        <v>No Return</v>
      </c>
    </row>
    <row r="968" spans="1:22" hidden="1" x14ac:dyDescent="0.3">
      <c r="A968" t="s">
        <v>1021</v>
      </c>
      <c r="B968" t="s">
        <v>42</v>
      </c>
      <c r="C968" t="s">
        <v>43</v>
      </c>
      <c r="D968" t="s">
        <v>23</v>
      </c>
      <c r="E968" t="str">
        <f t="shared" si="60"/>
        <v>XS</v>
      </c>
      <c r="F968" t="s">
        <v>55</v>
      </c>
      <c r="G968" t="s">
        <v>40</v>
      </c>
      <c r="H968" s="8">
        <v>68.03</v>
      </c>
      <c r="I968" s="3">
        <f t="shared" si="61"/>
        <v>6.3E-2</v>
      </c>
      <c r="J968" s="4">
        <v>6.3</v>
      </c>
      <c r="K968" s="11">
        <f>Table1[[#This Row],[original_price]]* (Table1[[#This Row],[Markdown percentage updated]])</f>
        <v>4.2858900000000002</v>
      </c>
      <c r="L9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68" s="6">
        <v>63.74</v>
      </c>
      <c r="N9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968" s="7">
        <v>45875</v>
      </c>
      <c r="P968">
        <v>43</v>
      </c>
      <c r="Q968" s="16" t="str">
        <f>IF(Table1[[#This Row],[stock_quantity]]=0,"NO STOCK",
IF(Table1[[#This Row],[stock_quantity]]&lt;=10,"LOW STOCK",
"IN STOCK"))</f>
        <v>IN STOCK</v>
      </c>
      <c r="R968" s="1">
        <f t="shared" si="62"/>
        <v>3.4</v>
      </c>
      <c r="S968">
        <v>3.4</v>
      </c>
      <c r="T968" t="b">
        <v>0</v>
      </c>
      <c r="U968" t="str">
        <f t="shared" si="63"/>
        <v>No Return</v>
      </c>
    </row>
    <row r="969" spans="1:22" x14ac:dyDescent="0.3">
      <c r="A969" t="s">
        <v>1022</v>
      </c>
      <c r="B969" t="s">
        <v>30</v>
      </c>
      <c r="C969" t="s">
        <v>53</v>
      </c>
      <c r="D969" t="s">
        <v>34</v>
      </c>
      <c r="E969" t="str">
        <f t="shared" si="60"/>
        <v>XXL</v>
      </c>
      <c r="F969" t="s">
        <v>55</v>
      </c>
      <c r="G969" t="s">
        <v>66</v>
      </c>
      <c r="H969" s="8">
        <v>121.21</v>
      </c>
      <c r="I969" s="3">
        <f t="shared" si="61"/>
        <v>0.47399999999999998</v>
      </c>
      <c r="J969" s="4">
        <v>47.4</v>
      </c>
      <c r="K969" s="11">
        <f>Table1[[#This Row],[original_price]]* (Table1[[#This Row],[Markdown percentage updated]])</f>
        <v>57.453539999999997</v>
      </c>
      <c r="L9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69" s="6">
        <v>63.76</v>
      </c>
      <c r="N9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69" s="7">
        <v>45875</v>
      </c>
      <c r="P969">
        <v>45</v>
      </c>
      <c r="Q969" s="16" t="str">
        <f>IF(Table1[[#This Row],[stock_quantity]]=0,"NO STOCK",
IF(Table1[[#This Row],[stock_quantity]]&lt;=10,"LOW STOCK",
"IN STOCK"))</f>
        <v>IN STOCK</v>
      </c>
      <c r="R969" s="1">
        <f t="shared" si="62"/>
        <v>3</v>
      </c>
      <c r="S969">
        <v>3</v>
      </c>
      <c r="T969" t="b">
        <v>1</v>
      </c>
      <c r="U969" s="13" t="str">
        <f t="shared" si="63"/>
        <v>Changed Mind</v>
      </c>
      <c r="V969" t="s">
        <v>115</v>
      </c>
    </row>
    <row r="970" spans="1:22" hidden="1" x14ac:dyDescent="0.3">
      <c r="A970" t="s">
        <v>1023</v>
      </c>
      <c r="B970" t="s">
        <v>21</v>
      </c>
      <c r="C970" t="s">
        <v>16</v>
      </c>
      <c r="D970" t="s">
        <v>23</v>
      </c>
      <c r="E970" t="str">
        <f t="shared" si="60"/>
        <v>XL</v>
      </c>
      <c r="F970" t="s">
        <v>24</v>
      </c>
      <c r="G970" t="s">
        <v>44</v>
      </c>
      <c r="H970" s="8">
        <v>69.599999999999994</v>
      </c>
      <c r="I970" s="3">
        <f t="shared" si="61"/>
        <v>0.28800000000000003</v>
      </c>
      <c r="J970" s="4">
        <v>28.8</v>
      </c>
      <c r="K970" s="11">
        <f>Table1[[#This Row],[original_price]]* (Table1[[#This Row],[Markdown percentage updated]])</f>
        <v>20.044800000000002</v>
      </c>
      <c r="L9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970" s="6">
        <v>49.56</v>
      </c>
      <c r="N9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70" s="7">
        <v>45875</v>
      </c>
      <c r="P970">
        <v>42</v>
      </c>
      <c r="Q970" s="16" t="str">
        <f>IF(Table1[[#This Row],[stock_quantity]]=0,"NO STOCK",
IF(Table1[[#This Row],[stock_quantity]]&lt;=10,"LOW STOCK",
"IN STOCK"))</f>
        <v>IN STOCK</v>
      </c>
      <c r="R970" s="1">
        <f t="shared" si="62"/>
        <v>3.7</v>
      </c>
      <c r="S970">
        <v>3.7</v>
      </c>
      <c r="T970" t="b">
        <v>0</v>
      </c>
      <c r="U970" t="str">
        <f t="shared" si="63"/>
        <v>No Return</v>
      </c>
    </row>
    <row r="971" spans="1:22" hidden="1" x14ac:dyDescent="0.3">
      <c r="A971" t="s">
        <v>1024</v>
      </c>
      <c r="B971" t="s">
        <v>15</v>
      </c>
      <c r="C971" t="s">
        <v>32</v>
      </c>
      <c r="D971" t="s">
        <v>23</v>
      </c>
      <c r="E971" t="str">
        <f t="shared" si="60"/>
        <v>S</v>
      </c>
      <c r="F971" t="s">
        <v>55</v>
      </c>
      <c r="G971" t="s">
        <v>35</v>
      </c>
      <c r="H971" s="8">
        <v>222.5</v>
      </c>
      <c r="I971" s="3">
        <f t="shared" si="61"/>
        <v>0.187</v>
      </c>
      <c r="J971" s="4">
        <v>18.7</v>
      </c>
      <c r="K971" s="11">
        <f>Table1[[#This Row],[original_price]]* (Table1[[#This Row],[Markdown percentage updated]])</f>
        <v>41.607500000000002</v>
      </c>
      <c r="L9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71" s="6">
        <v>180.89</v>
      </c>
      <c r="N9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71" s="7">
        <v>45875</v>
      </c>
      <c r="P971">
        <v>47</v>
      </c>
      <c r="Q971" s="16" t="str">
        <f>IF(Table1[[#This Row],[stock_quantity]]=0,"NO STOCK",
IF(Table1[[#This Row],[stock_quantity]]&lt;=10,"LOW STOCK",
"IN STOCK"))</f>
        <v>IN STOCK</v>
      </c>
      <c r="R971" s="1">
        <f t="shared" si="62"/>
        <v>0</v>
      </c>
      <c r="T971" t="b">
        <v>0</v>
      </c>
      <c r="U971" t="str">
        <f t="shared" si="63"/>
        <v>No Return</v>
      </c>
    </row>
    <row r="972" spans="1:22" hidden="1" x14ac:dyDescent="0.3">
      <c r="A972" t="s">
        <v>1025</v>
      </c>
      <c r="B972" t="s">
        <v>38</v>
      </c>
      <c r="C972" t="s">
        <v>75</v>
      </c>
      <c r="D972" t="s">
        <v>34</v>
      </c>
      <c r="E972" t="str">
        <f t="shared" si="60"/>
        <v>OS</v>
      </c>
      <c r="F972" t="s">
        <v>49</v>
      </c>
      <c r="G972" t="s">
        <v>25</v>
      </c>
      <c r="H972" s="8">
        <v>25.58</v>
      </c>
      <c r="I972" s="3">
        <f t="shared" si="61"/>
        <v>0.54500000000000004</v>
      </c>
      <c r="J972" s="4">
        <v>54.5</v>
      </c>
      <c r="K972" s="11">
        <f>Table1[[#This Row],[original_price]]* (Table1[[#This Row],[Markdown percentage updated]])</f>
        <v>13.9411</v>
      </c>
      <c r="L9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72" s="6">
        <v>11.64</v>
      </c>
      <c r="N9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972" s="7">
        <v>45875</v>
      </c>
      <c r="P972">
        <v>34</v>
      </c>
      <c r="Q972" s="16" t="str">
        <f>IF(Table1[[#This Row],[stock_quantity]]=0,"NO STOCK",
IF(Table1[[#This Row],[stock_quantity]]&lt;=10,"LOW STOCK",
"IN STOCK"))</f>
        <v>IN STOCK</v>
      </c>
      <c r="R972" s="1">
        <f t="shared" si="62"/>
        <v>2.4</v>
      </c>
      <c r="S972">
        <v>2.4</v>
      </c>
      <c r="T972" t="b">
        <v>0</v>
      </c>
      <c r="U972" t="str">
        <f t="shared" si="63"/>
        <v>No Return</v>
      </c>
    </row>
    <row r="973" spans="1:22" hidden="1" x14ac:dyDescent="0.3">
      <c r="A973" t="s">
        <v>1026</v>
      </c>
      <c r="B973" t="s">
        <v>42</v>
      </c>
      <c r="C973" t="s">
        <v>43</v>
      </c>
      <c r="D973" t="s">
        <v>62</v>
      </c>
      <c r="E973" t="str">
        <f t="shared" si="60"/>
        <v>XS</v>
      </c>
      <c r="F973" t="s">
        <v>18</v>
      </c>
      <c r="G973" t="s">
        <v>44</v>
      </c>
      <c r="H973" s="8">
        <v>54.46</v>
      </c>
      <c r="I973" s="3">
        <f t="shared" si="61"/>
        <v>6.6000000000000003E-2</v>
      </c>
      <c r="J973" s="4">
        <v>6.6</v>
      </c>
      <c r="K973" s="11">
        <f>Table1[[#This Row],[original_price]]* (Table1[[#This Row],[Markdown percentage updated]])</f>
        <v>3.5943600000000004</v>
      </c>
      <c r="L9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73" s="6">
        <v>50.87</v>
      </c>
      <c r="N9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973" s="7">
        <v>45875</v>
      </c>
      <c r="P973">
        <v>17</v>
      </c>
      <c r="Q973" s="16" t="str">
        <f>IF(Table1[[#This Row],[stock_quantity]]=0,"NO STOCK",
IF(Table1[[#This Row],[stock_quantity]]&lt;=10,"LOW STOCK",
"IN STOCK"))</f>
        <v>IN STOCK</v>
      </c>
      <c r="R973" s="1">
        <f t="shared" si="62"/>
        <v>1.7</v>
      </c>
      <c r="S973">
        <v>1.7</v>
      </c>
      <c r="T973" t="b">
        <v>0</v>
      </c>
      <c r="U973" t="str">
        <f t="shared" si="63"/>
        <v>No Return</v>
      </c>
    </row>
    <row r="974" spans="1:22" hidden="1" x14ac:dyDescent="0.3">
      <c r="A974" t="s">
        <v>1027</v>
      </c>
      <c r="B974" t="s">
        <v>38</v>
      </c>
      <c r="C974" t="s">
        <v>75</v>
      </c>
      <c r="D974" t="s">
        <v>23</v>
      </c>
      <c r="E974" t="str">
        <f t="shared" si="60"/>
        <v>L</v>
      </c>
      <c r="F974" t="s">
        <v>39</v>
      </c>
      <c r="G974" t="s">
        <v>25</v>
      </c>
      <c r="H974" s="8">
        <v>43.32</v>
      </c>
      <c r="I974" s="3">
        <f t="shared" si="61"/>
        <v>0</v>
      </c>
      <c r="J974" s="4">
        <v>0</v>
      </c>
      <c r="K974" s="11">
        <f>Table1[[#This Row],[original_price]]* (Table1[[#This Row],[Markdown percentage updated]])</f>
        <v>0</v>
      </c>
      <c r="L9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74" s="6">
        <v>43.32</v>
      </c>
      <c r="N9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74" s="7">
        <v>45875</v>
      </c>
      <c r="P974">
        <v>0</v>
      </c>
      <c r="Q974" s="13" t="str">
        <f>IF(Table1[[#This Row],[stock_quantity]]=0,"NO STOCK",
IF(Table1[[#This Row],[stock_quantity]]&lt;=10,"LOW STOCK",
"IN STOCK"))</f>
        <v>NO STOCK</v>
      </c>
      <c r="R974" s="1">
        <f t="shared" si="62"/>
        <v>2.6</v>
      </c>
      <c r="S974">
        <v>2.6</v>
      </c>
      <c r="T974" t="b">
        <v>0</v>
      </c>
      <c r="U974" t="str">
        <f t="shared" si="63"/>
        <v>No Return</v>
      </c>
    </row>
    <row r="975" spans="1:22" hidden="1" x14ac:dyDescent="0.3">
      <c r="A975" t="s">
        <v>1028</v>
      </c>
      <c r="B975" t="s">
        <v>27</v>
      </c>
      <c r="C975" t="s">
        <v>75</v>
      </c>
      <c r="D975" t="s">
        <v>23</v>
      </c>
      <c r="E975" t="str">
        <f t="shared" si="60"/>
        <v>XXL</v>
      </c>
      <c r="G975" t="s">
        <v>19</v>
      </c>
      <c r="H975" s="8">
        <v>75.09</v>
      </c>
      <c r="I975" s="3">
        <f t="shared" si="61"/>
        <v>0</v>
      </c>
      <c r="J975" s="4">
        <v>0</v>
      </c>
      <c r="K975" s="11">
        <f>Table1[[#This Row],[original_price]]* (Table1[[#This Row],[Markdown percentage updated]])</f>
        <v>0</v>
      </c>
      <c r="L9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75" s="6">
        <v>75.09</v>
      </c>
      <c r="N9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75" s="7">
        <v>45875</v>
      </c>
      <c r="P975">
        <v>41</v>
      </c>
      <c r="Q975" s="16" t="str">
        <f>IF(Table1[[#This Row],[stock_quantity]]=0,"NO STOCK",
IF(Table1[[#This Row],[stock_quantity]]&lt;=10,"LOW STOCK",
"IN STOCK"))</f>
        <v>IN STOCK</v>
      </c>
      <c r="R975" s="1">
        <f t="shared" si="62"/>
        <v>3.5</v>
      </c>
      <c r="S975">
        <v>3.5</v>
      </c>
      <c r="T975" t="b">
        <v>0</v>
      </c>
      <c r="U975" t="str">
        <f t="shared" si="63"/>
        <v>No Return</v>
      </c>
    </row>
    <row r="976" spans="1:22" hidden="1" x14ac:dyDescent="0.3">
      <c r="A976" t="s">
        <v>1029</v>
      </c>
      <c r="B976" t="s">
        <v>42</v>
      </c>
      <c r="C976" t="s">
        <v>22</v>
      </c>
      <c r="D976" t="s">
        <v>17</v>
      </c>
      <c r="E976" t="str">
        <f t="shared" si="60"/>
        <v>S</v>
      </c>
      <c r="F976" t="s">
        <v>55</v>
      </c>
      <c r="G976" t="s">
        <v>19</v>
      </c>
      <c r="H976" s="8">
        <v>167.46</v>
      </c>
      <c r="I976" s="3">
        <f t="shared" si="61"/>
        <v>0</v>
      </c>
      <c r="J976" s="4">
        <v>0</v>
      </c>
      <c r="K976" s="11">
        <f>Table1[[#This Row],[original_price]]* (Table1[[#This Row],[Markdown percentage updated]])</f>
        <v>0</v>
      </c>
      <c r="L9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76" s="6">
        <v>167.46</v>
      </c>
      <c r="N9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76" s="7">
        <v>45522</v>
      </c>
      <c r="P976">
        <v>4</v>
      </c>
      <c r="Q976" s="17" t="str">
        <f>IF(Table1[[#This Row],[stock_quantity]]=0,"NO STOCK",
IF(Table1[[#This Row],[stock_quantity]]&lt;=10,"LOW STOCK",
"IN STOCK"))</f>
        <v>LOW STOCK</v>
      </c>
      <c r="R976" s="1">
        <f t="shared" si="62"/>
        <v>1.3</v>
      </c>
      <c r="S976">
        <v>1.3</v>
      </c>
      <c r="T976" t="b">
        <v>0</v>
      </c>
      <c r="U976" t="str">
        <f t="shared" si="63"/>
        <v>No Return</v>
      </c>
    </row>
    <row r="977" spans="1:22" hidden="1" x14ac:dyDescent="0.3">
      <c r="A977" t="s">
        <v>1030</v>
      </c>
      <c r="B977" t="s">
        <v>30</v>
      </c>
      <c r="C977" t="s">
        <v>32</v>
      </c>
      <c r="D977" t="s">
        <v>34</v>
      </c>
      <c r="E977" t="str">
        <f t="shared" si="60"/>
        <v>M</v>
      </c>
      <c r="F977" t="s">
        <v>24</v>
      </c>
      <c r="G977" t="s">
        <v>44</v>
      </c>
      <c r="H977" s="8">
        <v>111.24</v>
      </c>
      <c r="I977" s="3">
        <f t="shared" si="61"/>
        <v>0.34299999999999997</v>
      </c>
      <c r="J977" s="4">
        <v>34.299999999999997</v>
      </c>
      <c r="K977" s="11">
        <f>Table1[[#This Row],[original_price]]* (Table1[[#This Row],[Markdown percentage updated]])</f>
        <v>38.155319999999996</v>
      </c>
      <c r="L9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77" s="6">
        <v>73.08</v>
      </c>
      <c r="N9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77" s="7">
        <v>45875</v>
      </c>
      <c r="P977">
        <v>3</v>
      </c>
      <c r="Q977" s="17" t="str">
        <f>IF(Table1[[#This Row],[stock_quantity]]=0,"NO STOCK",
IF(Table1[[#This Row],[stock_quantity]]&lt;=10,"LOW STOCK",
"IN STOCK"))</f>
        <v>LOW STOCK</v>
      </c>
      <c r="R977" s="1">
        <f t="shared" si="62"/>
        <v>2.2000000000000002</v>
      </c>
      <c r="S977">
        <v>2.2000000000000002</v>
      </c>
      <c r="T977" t="b">
        <v>0</v>
      </c>
      <c r="U977" t="str">
        <f t="shared" si="63"/>
        <v>No Return</v>
      </c>
    </row>
    <row r="978" spans="1:22" hidden="1" x14ac:dyDescent="0.3">
      <c r="A978" t="s">
        <v>1031</v>
      </c>
      <c r="B978" t="s">
        <v>38</v>
      </c>
      <c r="C978" t="s">
        <v>22</v>
      </c>
      <c r="D978" t="s">
        <v>34</v>
      </c>
      <c r="E978" t="str">
        <f t="shared" si="60"/>
        <v>XS</v>
      </c>
      <c r="F978" t="s">
        <v>49</v>
      </c>
      <c r="G978" t="s">
        <v>64</v>
      </c>
      <c r="H978" s="8">
        <v>59.36</v>
      </c>
      <c r="I978" s="3">
        <f t="shared" si="61"/>
        <v>0</v>
      </c>
      <c r="J978" s="4">
        <v>0</v>
      </c>
      <c r="K978" s="11">
        <f>Table1[[#This Row],[original_price]]* (Table1[[#This Row],[Markdown percentage updated]])</f>
        <v>0</v>
      </c>
      <c r="L9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78" s="6">
        <v>59.36</v>
      </c>
      <c r="N9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78" s="7">
        <v>45875</v>
      </c>
      <c r="P978">
        <v>16</v>
      </c>
      <c r="Q978" s="16" t="str">
        <f>IF(Table1[[#This Row],[stock_quantity]]=0,"NO STOCK",
IF(Table1[[#This Row],[stock_quantity]]&lt;=10,"LOW STOCK",
"IN STOCK"))</f>
        <v>IN STOCK</v>
      </c>
      <c r="R978" s="1">
        <f t="shared" si="62"/>
        <v>0</v>
      </c>
      <c r="T978" t="b">
        <v>0</v>
      </c>
      <c r="U978" t="str">
        <f t="shared" si="63"/>
        <v>No Return</v>
      </c>
    </row>
    <row r="979" spans="1:22" hidden="1" x14ac:dyDescent="0.3">
      <c r="A979" t="s">
        <v>1032</v>
      </c>
      <c r="B979" t="s">
        <v>30</v>
      </c>
      <c r="C979" t="s">
        <v>32</v>
      </c>
      <c r="D979" t="s">
        <v>34</v>
      </c>
      <c r="E979" t="str">
        <f t="shared" si="60"/>
        <v>OS</v>
      </c>
      <c r="F979" t="s">
        <v>39</v>
      </c>
      <c r="G979" t="s">
        <v>64</v>
      </c>
      <c r="H979" s="8">
        <v>199.46</v>
      </c>
      <c r="I979" s="3">
        <f t="shared" si="61"/>
        <v>0</v>
      </c>
      <c r="J979" s="4">
        <v>0</v>
      </c>
      <c r="K979" s="11">
        <f>Table1[[#This Row],[original_price]]* (Table1[[#This Row],[Markdown percentage updated]])</f>
        <v>0</v>
      </c>
      <c r="L9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79" s="6">
        <v>199.46</v>
      </c>
      <c r="N9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79" s="7">
        <v>45875</v>
      </c>
      <c r="P979">
        <v>15</v>
      </c>
      <c r="Q979" s="16" t="str">
        <f>IF(Table1[[#This Row],[stock_quantity]]=0,"NO STOCK",
IF(Table1[[#This Row],[stock_quantity]]&lt;=10,"LOW STOCK",
"IN STOCK"))</f>
        <v>IN STOCK</v>
      </c>
      <c r="R979" s="1">
        <f t="shared" si="62"/>
        <v>1.4</v>
      </c>
      <c r="S979">
        <v>1.4</v>
      </c>
      <c r="T979" t="b">
        <v>0</v>
      </c>
      <c r="U979" t="str">
        <f t="shared" si="63"/>
        <v>No Return</v>
      </c>
    </row>
    <row r="980" spans="1:22" hidden="1" x14ac:dyDescent="0.3">
      <c r="A980" t="s">
        <v>1033</v>
      </c>
      <c r="B980" t="s">
        <v>30</v>
      </c>
      <c r="C980" t="s">
        <v>75</v>
      </c>
      <c r="D980" t="s">
        <v>34</v>
      </c>
      <c r="E980" t="str">
        <f t="shared" si="60"/>
        <v>L</v>
      </c>
      <c r="F980" t="s">
        <v>58</v>
      </c>
      <c r="G980" t="s">
        <v>35</v>
      </c>
      <c r="H980" s="8">
        <v>72.75</v>
      </c>
      <c r="I980" s="3">
        <f t="shared" si="61"/>
        <v>0.502</v>
      </c>
      <c r="J980" s="4">
        <v>50.2</v>
      </c>
      <c r="K980" s="11">
        <f>Table1[[#This Row],[original_price]]* (Table1[[#This Row],[Markdown percentage updated]])</f>
        <v>36.520499999999998</v>
      </c>
      <c r="L9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80" s="6">
        <v>36.229999999999997</v>
      </c>
      <c r="N9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80" s="7">
        <v>45875</v>
      </c>
      <c r="P980">
        <v>28</v>
      </c>
      <c r="Q980" s="16" t="str">
        <f>IF(Table1[[#This Row],[stock_quantity]]=0,"NO STOCK",
IF(Table1[[#This Row],[stock_quantity]]&lt;=10,"LOW STOCK",
"IN STOCK"))</f>
        <v>IN STOCK</v>
      </c>
      <c r="R980" s="1">
        <f t="shared" si="62"/>
        <v>3.6</v>
      </c>
      <c r="S980">
        <v>3.6</v>
      </c>
      <c r="T980" t="b">
        <v>0</v>
      </c>
      <c r="U980" t="str">
        <f t="shared" si="63"/>
        <v>No Return</v>
      </c>
    </row>
    <row r="981" spans="1:22" hidden="1" x14ac:dyDescent="0.3">
      <c r="A981" t="s">
        <v>1034</v>
      </c>
      <c r="B981" t="s">
        <v>38</v>
      </c>
      <c r="C981" t="s">
        <v>43</v>
      </c>
      <c r="D981" t="s">
        <v>34</v>
      </c>
      <c r="E981" t="str">
        <f t="shared" si="60"/>
        <v>L</v>
      </c>
      <c r="F981" t="s">
        <v>55</v>
      </c>
      <c r="G981" t="s">
        <v>25</v>
      </c>
      <c r="H981" s="8">
        <v>86.52</v>
      </c>
      <c r="I981" s="3">
        <f t="shared" si="61"/>
        <v>0.27600000000000002</v>
      </c>
      <c r="J981" s="4">
        <v>27.6</v>
      </c>
      <c r="K981" s="11">
        <f>Table1[[#This Row],[original_price]]* (Table1[[#This Row],[Markdown percentage updated]])</f>
        <v>23.879519999999999</v>
      </c>
      <c r="L9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981" s="6">
        <v>62.64</v>
      </c>
      <c r="N9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81" s="7">
        <v>45875</v>
      </c>
      <c r="P981">
        <v>47</v>
      </c>
      <c r="Q981" s="16" t="str">
        <f>IF(Table1[[#This Row],[stock_quantity]]=0,"NO STOCK",
IF(Table1[[#This Row],[stock_quantity]]&lt;=10,"LOW STOCK",
"IN STOCK"))</f>
        <v>IN STOCK</v>
      </c>
      <c r="R981" s="1">
        <f t="shared" si="62"/>
        <v>1.1000000000000001</v>
      </c>
      <c r="S981">
        <v>1.1000000000000001</v>
      </c>
      <c r="T981" t="b">
        <v>0</v>
      </c>
      <c r="U981" t="str">
        <f t="shared" si="63"/>
        <v>No Return</v>
      </c>
    </row>
    <row r="982" spans="1:22" hidden="1" x14ac:dyDescent="0.3">
      <c r="A982" t="s">
        <v>1035</v>
      </c>
      <c r="B982" t="s">
        <v>27</v>
      </c>
      <c r="C982" t="s">
        <v>75</v>
      </c>
      <c r="D982" t="s">
        <v>17</v>
      </c>
      <c r="E982" t="str">
        <f t="shared" si="60"/>
        <v>XL</v>
      </c>
      <c r="G982" t="s">
        <v>44</v>
      </c>
      <c r="H982" s="8">
        <v>52.69</v>
      </c>
      <c r="I982" s="3">
        <f t="shared" si="61"/>
        <v>0.40200000000000002</v>
      </c>
      <c r="J982" s="4">
        <v>40.200000000000003</v>
      </c>
      <c r="K982" s="11">
        <f>Table1[[#This Row],[original_price]]* (Table1[[#This Row],[Markdown percentage updated]])</f>
        <v>21.181380000000001</v>
      </c>
      <c r="L9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82" s="6">
        <v>31.51</v>
      </c>
      <c r="N9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82" s="7">
        <v>45611</v>
      </c>
      <c r="P982">
        <v>7</v>
      </c>
      <c r="Q982" s="17" t="str">
        <f>IF(Table1[[#This Row],[stock_quantity]]=0,"NO STOCK",
IF(Table1[[#This Row],[stock_quantity]]&lt;=10,"LOW STOCK",
"IN STOCK"))</f>
        <v>LOW STOCK</v>
      </c>
      <c r="R982" s="1">
        <f t="shared" si="62"/>
        <v>2.7</v>
      </c>
      <c r="S982">
        <v>2.7</v>
      </c>
      <c r="T982" t="b">
        <v>0</v>
      </c>
      <c r="U982" t="str">
        <f t="shared" si="63"/>
        <v>No Return</v>
      </c>
    </row>
    <row r="983" spans="1:22" hidden="1" x14ac:dyDescent="0.3">
      <c r="A983" t="s">
        <v>1036</v>
      </c>
      <c r="B983" t="s">
        <v>15</v>
      </c>
      <c r="C983" t="s">
        <v>32</v>
      </c>
      <c r="D983" t="s">
        <v>34</v>
      </c>
      <c r="E983" t="str">
        <f t="shared" si="60"/>
        <v>XL</v>
      </c>
      <c r="F983" t="s">
        <v>24</v>
      </c>
      <c r="G983" t="s">
        <v>28</v>
      </c>
      <c r="H983" s="8">
        <v>104.18</v>
      </c>
      <c r="I983" s="3">
        <f t="shared" si="61"/>
        <v>0</v>
      </c>
      <c r="J983" s="4">
        <v>0</v>
      </c>
      <c r="K983" s="11">
        <f>Table1[[#This Row],[original_price]]* (Table1[[#This Row],[Markdown percentage updated]])</f>
        <v>0</v>
      </c>
      <c r="L9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83" s="6">
        <v>104.18</v>
      </c>
      <c r="N9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83" s="7">
        <v>45875</v>
      </c>
      <c r="P983">
        <v>12</v>
      </c>
      <c r="Q983" s="16" t="str">
        <f>IF(Table1[[#This Row],[stock_quantity]]=0,"NO STOCK",
IF(Table1[[#This Row],[stock_quantity]]&lt;=10,"LOW STOCK",
"IN STOCK"))</f>
        <v>IN STOCK</v>
      </c>
      <c r="R983" s="1">
        <f t="shared" si="62"/>
        <v>5</v>
      </c>
      <c r="S983">
        <v>5</v>
      </c>
      <c r="T983" t="b">
        <v>0</v>
      </c>
      <c r="U983" t="str">
        <f t="shared" si="63"/>
        <v>No Return</v>
      </c>
    </row>
    <row r="984" spans="1:22" hidden="1" x14ac:dyDescent="0.3">
      <c r="A984" t="s">
        <v>1037</v>
      </c>
      <c r="B984" t="s">
        <v>15</v>
      </c>
      <c r="C984" t="s">
        <v>48</v>
      </c>
      <c r="D984" t="s">
        <v>23</v>
      </c>
      <c r="E984" t="str">
        <f t="shared" si="60"/>
        <v>XXL</v>
      </c>
      <c r="F984" t="s">
        <v>24</v>
      </c>
      <c r="G984" t="s">
        <v>19</v>
      </c>
      <c r="H984" s="8">
        <v>132.38</v>
      </c>
      <c r="I984" s="3">
        <f t="shared" si="61"/>
        <v>0.58200000000000007</v>
      </c>
      <c r="J984" s="4">
        <v>58.2</v>
      </c>
      <c r="K984" s="11">
        <f>Table1[[#This Row],[original_price]]* (Table1[[#This Row],[Markdown percentage updated]])</f>
        <v>77.04516000000001</v>
      </c>
      <c r="L9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84" s="6">
        <v>55.33</v>
      </c>
      <c r="N9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84" s="7">
        <v>45875</v>
      </c>
      <c r="P984">
        <v>24</v>
      </c>
      <c r="Q984" s="16" t="str">
        <f>IF(Table1[[#This Row],[stock_quantity]]=0,"NO STOCK",
IF(Table1[[#This Row],[stock_quantity]]&lt;=10,"LOW STOCK",
"IN STOCK"))</f>
        <v>IN STOCK</v>
      </c>
      <c r="R984" s="1">
        <f t="shared" si="62"/>
        <v>0</v>
      </c>
      <c r="T984" t="b">
        <v>0</v>
      </c>
      <c r="U984" t="str">
        <f t="shared" si="63"/>
        <v>No Return</v>
      </c>
    </row>
    <row r="985" spans="1:22" hidden="1" x14ac:dyDescent="0.3">
      <c r="A985" t="s">
        <v>1038</v>
      </c>
      <c r="B985" t="s">
        <v>30</v>
      </c>
      <c r="C985" t="s">
        <v>48</v>
      </c>
      <c r="D985" t="s">
        <v>34</v>
      </c>
      <c r="E985" t="str">
        <f t="shared" si="60"/>
        <v>XL</v>
      </c>
      <c r="F985" t="s">
        <v>18</v>
      </c>
      <c r="G985" t="s">
        <v>25</v>
      </c>
      <c r="H985" s="8">
        <v>64.400000000000006</v>
      </c>
      <c r="I985" s="3">
        <f t="shared" si="61"/>
        <v>0</v>
      </c>
      <c r="J985" s="4">
        <v>0</v>
      </c>
      <c r="K985" s="11">
        <f>Table1[[#This Row],[original_price]]* (Table1[[#This Row],[Markdown percentage updated]])</f>
        <v>0</v>
      </c>
      <c r="L9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85" s="6">
        <v>64.400000000000006</v>
      </c>
      <c r="N9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85" s="7">
        <v>45875</v>
      </c>
      <c r="P985">
        <v>40</v>
      </c>
      <c r="Q985" s="16" t="str">
        <f>IF(Table1[[#This Row],[stock_quantity]]=0,"NO STOCK",
IF(Table1[[#This Row],[stock_quantity]]&lt;=10,"LOW STOCK",
"IN STOCK"))</f>
        <v>IN STOCK</v>
      </c>
      <c r="R985" s="1">
        <f t="shared" si="62"/>
        <v>4.9000000000000004</v>
      </c>
      <c r="S985">
        <v>4.9000000000000004</v>
      </c>
      <c r="T985" t="b">
        <v>0</v>
      </c>
      <c r="U985" t="str">
        <f t="shared" si="63"/>
        <v>No Return</v>
      </c>
    </row>
    <row r="986" spans="1:22" hidden="1" x14ac:dyDescent="0.3">
      <c r="A986" t="s">
        <v>1039</v>
      </c>
      <c r="B986" t="s">
        <v>38</v>
      </c>
      <c r="C986" t="s">
        <v>16</v>
      </c>
      <c r="D986" t="s">
        <v>62</v>
      </c>
      <c r="E986" t="str">
        <f t="shared" si="60"/>
        <v>S</v>
      </c>
      <c r="F986" t="s">
        <v>18</v>
      </c>
      <c r="G986" t="s">
        <v>40</v>
      </c>
      <c r="H986" s="8">
        <v>34.07</v>
      </c>
      <c r="I986" s="3">
        <f t="shared" si="61"/>
        <v>0</v>
      </c>
      <c r="J986" s="4">
        <v>0</v>
      </c>
      <c r="K986" s="11">
        <f>Table1[[#This Row],[original_price]]* (Table1[[#This Row],[Markdown percentage updated]])</f>
        <v>0</v>
      </c>
      <c r="L9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86" s="6">
        <v>34.07</v>
      </c>
      <c r="N9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86" s="7">
        <v>45875</v>
      </c>
      <c r="P986">
        <v>25</v>
      </c>
      <c r="Q986" s="16" t="str">
        <f>IF(Table1[[#This Row],[stock_quantity]]=0,"NO STOCK",
IF(Table1[[#This Row],[stock_quantity]]&lt;=10,"LOW STOCK",
"IN STOCK"))</f>
        <v>IN STOCK</v>
      </c>
      <c r="R986" s="1">
        <f t="shared" si="62"/>
        <v>4.2</v>
      </c>
      <c r="S986">
        <v>4.2</v>
      </c>
      <c r="T986" t="b">
        <v>1</v>
      </c>
      <c r="U986" s="13" t="str">
        <f t="shared" si="63"/>
        <v>Wrong Item</v>
      </c>
      <c r="V986" t="s">
        <v>125</v>
      </c>
    </row>
    <row r="987" spans="1:22" hidden="1" x14ac:dyDescent="0.3">
      <c r="A987" t="s">
        <v>1040</v>
      </c>
      <c r="B987" t="s">
        <v>38</v>
      </c>
      <c r="C987" t="s">
        <v>16</v>
      </c>
      <c r="D987" t="s">
        <v>23</v>
      </c>
      <c r="E987" t="str">
        <f t="shared" si="60"/>
        <v>XXL</v>
      </c>
      <c r="F987" t="s">
        <v>49</v>
      </c>
      <c r="G987" t="s">
        <v>19</v>
      </c>
      <c r="H987" s="8">
        <v>43.33</v>
      </c>
      <c r="I987" s="3">
        <f t="shared" si="61"/>
        <v>0.45299999999999996</v>
      </c>
      <c r="J987" s="4">
        <v>45.3</v>
      </c>
      <c r="K987" s="11">
        <f>Table1[[#This Row],[original_price]]* (Table1[[#This Row],[Markdown percentage updated]])</f>
        <v>19.628489999999996</v>
      </c>
      <c r="L9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987" s="6">
        <v>23.7</v>
      </c>
      <c r="N9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987" s="7">
        <v>45875</v>
      </c>
      <c r="P987">
        <v>1</v>
      </c>
      <c r="Q987" s="17" t="str">
        <f>IF(Table1[[#This Row],[stock_quantity]]=0,"NO STOCK",
IF(Table1[[#This Row],[stock_quantity]]&lt;=10,"LOW STOCK",
"IN STOCK"))</f>
        <v>LOW STOCK</v>
      </c>
      <c r="R987" s="1">
        <f t="shared" si="62"/>
        <v>3.4</v>
      </c>
      <c r="S987">
        <v>3.4</v>
      </c>
      <c r="T987" t="b">
        <v>0</v>
      </c>
      <c r="U987" t="str">
        <f t="shared" si="63"/>
        <v>No Return</v>
      </c>
    </row>
    <row r="988" spans="1:22" hidden="1" x14ac:dyDescent="0.3">
      <c r="A988" t="s">
        <v>1041</v>
      </c>
      <c r="B988" t="s">
        <v>15</v>
      </c>
      <c r="C988" t="s">
        <v>22</v>
      </c>
      <c r="D988" t="s">
        <v>17</v>
      </c>
      <c r="E988" t="str">
        <f t="shared" si="60"/>
        <v>S</v>
      </c>
      <c r="F988" t="s">
        <v>18</v>
      </c>
      <c r="G988" t="s">
        <v>35</v>
      </c>
      <c r="H988" s="8">
        <v>122.92</v>
      </c>
      <c r="I988" s="3">
        <f t="shared" si="61"/>
        <v>0</v>
      </c>
      <c r="J988" s="4">
        <v>0</v>
      </c>
      <c r="K988" s="11">
        <f>Table1[[#This Row],[original_price]]* (Table1[[#This Row],[Markdown percentage updated]])</f>
        <v>0</v>
      </c>
      <c r="L9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88" s="6">
        <v>122.92</v>
      </c>
      <c r="N9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88" s="7">
        <v>45602</v>
      </c>
      <c r="P988">
        <v>41</v>
      </c>
      <c r="Q988" s="16" t="str">
        <f>IF(Table1[[#This Row],[stock_quantity]]=0,"NO STOCK",
IF(Table1[[#This Row],[stock_quantity]]&lt;=10,"LOW STOCK",
"IN STOCK"))</f>
        <v>IN STOCK</v>
      </c>
      <c r="R988" s="1">
        <f t="shared" si="62"/>
        <v>2.9</v>
      </c>
      <c r="S988">
        <v>2.9</v>
      </c>
      <c r="T988" t="b">
        <v>0</v>
      </c>
      <c r="U988" t="str">
        <f t="shared" si="63"/>
        <v>No Return</v>
      </c>
    </row>
    <row r="989" spans="1:22" hidden="1" x14ac:dyDescent="0.3">
      <c r="A989" t="s">
        <v>1042</v>
      </c>
      <c r="B989" t="s">
        <v>30</v>
      </c>
      <c r="C989" t="s">
        <v>16</v>
      </c>
      <c r="D989" t="s">
        <v>17</v>
      </c>
      <c r="E989" t="str">
        <f t="shared" si="60"/>
        <v>OS</v>
      </c>
      <c r="F989" t="s">
        <v>39</v>
      </c>
      <c r="G989" t="s">
        <v>40</v>
      </c>
      <c r="H989" s="8">
        <v>142.84</v>
      </c>
      <c r="I989" s="3">
        <f t="shared" si="61"/>
        <v>0</v>
      </c>
      <c r="J989" s="4">
        <v>0</v>
      </c>
      <c r="K989" s="11">
        <f>Table1[[#This Row],[original_price]]* (Table1[[#This Row],[Markdown percentage updated]])</f>
        <v>0</v>
      </c>
      <c r="L9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89" s="6">
        <v>142.84</v>
      </c>
      <c r="N9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89" s="7">
        <v>45702</v>
      </c>
      <c r="P989">
        <v>36</v>
      </c>
      <c r="Q989" s="16" t="str">
        <f>IF(Table1[[#This Row],[stock_quantity]]=0,"NO STOCK",
IF(Table1[[#This Row],[stock_quantity]]&lt;=10,"LOW STOCK",
"IN STOCK"))</f>
        <v>IN STOCK</v>
      </c>
      <c r="R989" s="1">
        <f t="shared" si="62"/>
        <v>0</v>
      </c>
      <c r="T989" t="b">
        <v>0</v>
      </c>
      <c r="U989" t="str">
        <f t="shared" si="63"/>
        <v>No Return</v>
      </c>
    </row>
    <row r="990" spans="1:22" hidden="1" x14ac:dyDescent="0.3">
      <c r="A990" t="s">
        <v>1043</v>
      </c>
      <c r="B990" t="s">
        <v>30</v>
      </c>
      <c r="C990" t="s">
        <v>61</v>
      </c>
      <c r="D990" t="s">
        <v>62</v>
      </c>
      <c r="E990" t="str">
        <f t="shared" si="60"/>
        <v>OS</v>
      </c>
      <c r="F990" t="s">
        <v>49</v>
      </c>
      <c r="G990" t="s">
        <v>28</v>
      </c>
      <c r="H990" s="8">
        <v>131.55000000000001</v>
      </c>
      <c r="I990" s="3">
        <f t="shared" si="61"/>
        <v>0</v>
      </c>
      <c r="J990" s="4">
        <v>0</v>
      </c>
      <c r="K990" s="11">
        <f>Table1[[#This Row],[original_price]]* (Table1[[#This Row],[Markdown percentage updated]])</f>
        <v>0</v>
      </c>
      <c r="L9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90" s="6">
        <v>131.55000000000001</v>
      </c>
      <c r="N9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90" s="7">
        <v>45875</v>
      </c>
      <c r="P990">
        <v>45</v>
      </c>
      <c r="Q990" s="16" t="str">
        <f>IF(Table1[[#This Row],[stock_quantity]]=0,"NO STOCK",
IF(Table1[[#This Row],[stock_quantity]]&lt;=10,"LOW STOCK",
"IN STOCK"))</f>
        <v>IN STOCK</v>
      </c>
      <c r="R990" s="1">
        <f t="shared" si="62"/>
        <v>1.8</v>
      </c>
      <c r="S990">
        <v>1.8</v>
      </c>
      <c r="T990" t="b">
        <v>0</v>
      </c>
      <c r="U990" t="str">
        <f t="shared" si="63"/>
        <v>No Return</v>
      </c>
    </row>
    <row r="991" spans="1:22" hidden="1" x14ac:dyDescent="0.3">
      <c r="A991" t="s">
        <v>1044</v>
      </c>
      <c r="B991" t="s">
        <v>15</v>
      </c>
      <c r="C991" t="s">
        <v>16</v>
      </c>
      <c r="D991" t="s">
        <v>17</v>
      </c>
      <c r="E991" t="str">
        <f t="shared" si="60"/>
        <v>S</v>
      </c>
      <c r="F991" t="s">
        <v>39</v>
      </c>
      <c r="G991" t="s">
        <v>19</v>
      </c>
      <c r="H991" s="8">
        <v>192.58</v>
      </c>
      <c r="I991" s="3">
        <f t="shared" si="61"/>
        <v>0</v>
      </c>
      <c r="J991" s="4">
        <v>0</v>
      </c>
      <c r="K991" s="11">
        <f>Table1[[#This Row],[original_price]]* (Table1[[#This Row],[Markdown percentage updated]])</f>
        <v>0</v>
      </c>
      <c r="L9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91" s="6">
        <v>192.58</v>
      </c>
      <c r="N9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91" s="7">
        <v>45764</v>
      </c>
      <c r="P991">
        <v>16</v>
      </c>
      <c r="Q991" s="16" t="str">
        <f>IF(Table1[[#This Row],[stock_quantity]]=0,"NO STOCK",
IF(Table1[[#This Row],[stock_quantity]]&lt;=10,"LOW STOCK",
"IN STOCK"))</f>
        <v>IN STOCK</v>
      </c>
      <c r="R991" s="1">
        <f t="shared" si="62"/>
        <v>1.2</v>
      </c>
      <c r="S991">
        <v>1.2</v>
      </c>
      <c r="T991" t="b">
        <v>0</v>
      </c>
      <c r="U991" t="str">
        <f t="shared" si="63"/>
        <v>No Return</v>
      </c>
    </row>
    <row r="992" spans="1:22" hidden="1" x14ac:dyDescent="0.3">
      <c r="A992" t="s">
        <v>1045</v>
      </c>
      <c r="B992" t="s">
        <v>27</v>
      </c>
      <c r="C992" t="s">
        <v>53</v>
      </c>
      <c r="D992" t="s">
        <v>17</v>
      </c>
      <c r="E992" t="str">
        <f t="shared" si="60"/>
        <v>OS</v>
      </c>
      <c r="G992" t="s">
        <v>66</v>
      </c>
      <c r="H992" s="8">
        <v>33.56</v>
      </c>
      <c r="I992" s="3">
        <f t="shared" si="61"/>
        <v>0</v>
      </c>
      <c r="J992" s="4">
        <v>0</v>
      </c>
      <c r="K992" s="11">
        <f>Table1[[#This Row],[original_price]]* (Table1[[#This Row],[Markdown percentage updated]])</f>
        <v>0</v>
      </c>
      <c r="L9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92" s="6">
        <v>33.56</v>
      </c>
      <c r="N9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92" s="7">
        <v>45743</v>
      </c>
      <c r="P992">
        <v>24</v>
      </c>
      <c r="Q992" s="16" t="str">
        <f>IF(Table1[[#This Row],[stock_quantity]]=0,"NO STOCK",
IF(Table1[[#This Row],[stock_quantity]]&lt;=10,"LOW STOCK",
"IN STOCK"))</f>
        <v>IN STOCK</v>
      </c>
      <c r="R992" s="1">
        <f t="shared" si="62"/>
        <v>3</v>
      </c>
      <c r="S992">
        <v>3</v>
      </c>
      <c r="T992" t="b">
        <v>0</v>
      </c>
      <c r="U992" t="str">
        <f t="shared" si="63"/>
        <v>No Return</v>
      </c>
    </row>
    <row r="993" spans="1:22" hidden="1" x14ac:dyDescent="0.3">
      <c r="A993" t="s">
        <v>1046</v>
      </c>
      <c r="B993" t="s">
        <v>27</v>
      </c>
      <c r="C993" t="s">
        <v>22</v>
      </c>
      <c r="D993" t="s">
        <v>62</v>
      </c>
      <c r="E993" t="str">
        <f t="shared" si="60"/>
        <v>M</v>
      </c>
      <c r="G993" t="s">
        <v>44</v>
      </c>
      <c r="H993" s="8">
        <v>59.1</v>
      </c>
      <c r="I993" s="3">
        <f t="shared" si="61"/>
        <v>0</v>
      </c>
      <c r="J993" s="4">
        <v>0</v>
      </c>
      <c r="K993" s="11">
        <f>Table1[[#This Row],[original_price]]* (Table1[[#This Row],[Markdown percentage updated]])</f>
        <v>0</v>
      </c>
      <c r="L9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93" s="6">
        <v>59.1</v>
      </c>
      <c r="N9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93" s="7">
        <v>45875</v>
      </c>
      <c r="P993">
        <v>29</v>
      </c>
      <c r="Q993" s="16" t="str">
        <f>IF(Table1[[#This Row],[stock_quantity]]=0,"NO STOCK",
IF(Table1[[#This Row],[stock_quantity]]&lt;=10,"LOW STOCK",
"IN STOCK"))</f>
        <v>IN STOCK</v>
      </c>
      <c r="R993" s="1">
        <f t="shared" si="62"/>
        <v>1.3</v>
      </c>
      <c r="S993">
        <v>1.3</v>
      </c>
      <c r="T993" t="b">
        <v>0</v>
      </c>
      <c r="U993" t="str">
        <f t="shared" si="63"/>
        <v>No Return</v>
      </c>
    </row>
    <row r="994" spans="1:22" x14ac:dyDescent="0.3">
      <c r="A994" t="s">
        <v>1047</v>
      </c>
      <c r="B994" t="s">
        <v>30</v>
      </c>
      <c r="C994" t="s">
        <v>61</v>
      </c>
      <c r="D994" t="s">
        <v>34</v>
      </c>
      <c r="E994" t="str">
        <f t="shared" si="60"/>
        <v>XL</v>
      </c>
      <c r="F994" t="s">
        <v>39</v>
      </c>
      <c r="G994" t="s">
        <v>40</v>
      </c>
      <c r="H994" s="8">
        <v>109.15</v>
      </c>
      <c r="I994" s="3">
        <f t="shared" si="61"/>
        <v>0.20699999999999999</v>
      </c>
      <c r="J994" s="4">
        <v>20.7</v>
      </c>
      <c r="K994" s="11">
        <f>Table1[[#This Row],[original_price]]* (Table1[[#This Row],[Markdown percentage updated]])</f>
        <v>22.594049999999999</v>
      </c>
      <c r="L9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994" s="6">
        <v>86.56</v>
      </c>
      <c r="N9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994" s="7">
        <v>45875</v>
      </c>
      <c r="P994">
        <v>28</v>
      </c>
      <c r="Q994" s="16" t="str">
        <f>IF(Table1[[#This Row],[stock_quantity]]=0,"NO STOCK",
IF(Table1[[#This Row],[stock_quantity]]&lt;=10,"LOW STOCK",
"IN STOCK"))</f>
        <v>IN STOCK</v>
      </c>
      <c r="R994" s="1">
        <f t="shared" si="62"/>
        <v>2</v>
      </c>
      <c r="S994">
        <v>2</v>
      </c>
      <c r="T994" t="b">
        <v>1</v>
      </c>
      <c r="U994" s="13" t="str">
        <f t="shared" si="63"/>
        <v>Changed Mind</v>
      </c>
      <c r="V994" t="s">
        <v>115</v>
      </c>
    </row>
    <row r="995" spans="1:22" hidden="1" x14ac:dyDescent="0.3">
      <c r="A995" t="s">
        <v>1048</v>
      </c>
      <c r="B995" t="s">
        <v>38</v>
      </c>
      <c r="C995" t="s">
        <v>53</v>
      </c>
      <c r="D995" t="s">
        <v>34</v>
      </c>
      <c r="E995" t="str">
        <f t="shared" si="60"/>
        <v>S</v>
      </c>
      <c r="G995" t="s">
        <v>56</v>
      </c>
      <c r="H995" s="8">
        <v>59.1</v>
      </c>
      <c r="I995" s="3">
        <f t="shared" si="61"/>
        <v>0</v>
      </c>
      <c r="J995" s="4">
        <v>0</v>
      </c>
      <c r="K995" s="11">
        <f>Table1[[#This Row],[original_price]]* (Table1[[#This Row],[Markdown percentage updated]])</f>
        <v>0</v>
      </c>
      <c r="L9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95" s="6">
        <v>59.1</v>
      </c>
      <c r="N9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95" s="7">
        <v>45875</v>
      </c>
      <c r="P995">
        <v>47</v>
      </c>
      <c r="Q995" s="16" t="str">
        <f>IF(Table1[[#This Row],[stock_quantity]]=0,"NO STOCK",
IF(Table1[[#This Row],[stock_quantity]]&lt;=10,"LOW STOCK",
"IN STOCK"))</f>
        <v>IN STOCK</v>
      </c>
      <c r="R995" s="1">
        <f t="shared" si="62"/>
        <v>4.5999999999999996</v>
      </c>
      <c r="S995">
        <v>4.5999999999999996</v>
      </c>
      <c r="T995" t="b">
        <v>0</v>
      </c>
      <c r="U995" t="str">
        <f t="shared" si="63"/>
        <v>No Return</v>
      </c>
    </row>
    <row r="996" spans="1:22" hidden="1" x14ac:dyDescent="0.3">
      <c r="A996" t="s">
        <v>1049</v>
      </c>
      <c r="B996" t="s">
        <v>30</v>
      </c>
      <c r="C996" t="s">
        <v>61</v>
      </c>
      <c r="D996" t="s">
        <v>17</v>
      </c>
      <c r="E996" t="str">
        <f t="shared" si="60"/>
        <v>XL</v>
      </c>
      <c r="F996" t="s">
        <v>58</v>
      </c>
      <c r="G996" t="s">
        <v>66</v>
      </c>
      <c r="H996" s="8">
        <v>99.33</v>
      </c>
      <c r="I996" s="3">
        <f t="shared" si="61"/>
        <v>0</v>
      </c>
      <c r="J996" s="4">
        <v>0</v>
      </c>
      <c r="K996" s="11">
        <f>Table1[[#This Row],[original_price]]* (Table1[[#This Row],[Markdown percentage updated]])</f>
        <v>0</v>
      </c>
      <c r="L9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96" s="6">
        <v>99.33</v>
      </c>
      <c r="N9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96" s="7">
        <v>45798</v>
      </c>
      <c r="P996">
        <v>16</v>
      </c>
      <c r="Q996" s="16" t="str">
        <f>IF(Table1[[#This Row],[stock_quantity]]=0,"NO STOCK",
IF(Table1[[#This Row],[stock_quantity]]&lt;=10,"LOW STOCK",
"IN STOCK"))</f>
        <v>IN STOCK</v>
      </c>
      <c r="R996" s="1">
        <f t="shared" si="62"/>
        <v>3.9</v>
      </c>
      <c r="S996">
        <v>3.9</v>
      </c>
      <c r="T996" t="b">
        <v>0</v>
      </c>
      <c r="U996" t="str">
        <f t="shared" si="63"/>
        <v>No Return</v>
      </c>
    </row>
    <row r="997" spans="1:22" x14ac:dyDescent="0.3">
      <c r="A997" t="s">
        <v>1050</v>
      </c>
      <c r="B997" t="s">
        <v>42</v>
      </c>
      <c r="C997" t="s">
        <v>53</v>
      </c>
      <c r="D997" t="s">
        <v>23</v>
      </c>
      <c r="E997" t="str">
        <f t="shared" si="60"/>
        <v>XS</v>
      </c>
      <c r="F997" t="s">
        <v>18</v>
      </c>
      <c r="G997" t="s">
        <v>64</v>
      </c>
      <c r="H997" s="8">
        <v>92.75</v>
      </c>
      <c r="I997" s="3">
        <f t="shared" si="61"/>
        <v>0</v>
      </c>
      <c r="J997" s="4">
        <v>0</v>
      </c>
      <c r="K997" s="11">
        <f>Table1[[#This Row],[original_price]]* (Table1[[#This Row],[Markdown percentage updated]])</f>
        <v>0</v>
      </c>
      <c r="L9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97" s="6">
        <v>92.75</v>
      </c>
      <c r="N9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97" s="7">
        <v>45875</v>
      </c>
      <c r="P997">
        <v>29</v>
      </c>
      <c r="Q997" s="16" t="str">
        <f>IF(Table1[[#This Row],[stock_quantity]]=0,"NO STOCK",
IF(Table1[[#This Row],[stock_quantity]]&lt;=10,"LOW STOCK",
"IN STOCK"))</f>
        <v>IN STOCK</v>
      </c>
      <c r="R997" s="1">
        <f t="shared" si="62"/>
        <v>0</v>
      </c>
      <c r="T997" t="b">
        <v>1</v>
      </c>
      <c r="U997" s="13" t="str">
        <f t="shared" si="63"/>
        <v>Changed Mind</v>
      </c>
      <c r="V997" t="s">
        <v>115</v>
      </c>
    </row>
    <row r="998" spans="1:22" hidden="1" x14ac:dyDescent="0.3">
      <c r="A998" t="s">
        <v>1051</v>
      </c>
      <c r="B998" t="s">
        <v>21</v>
      </c>
      <c r="C998" t="s">
        <v>16</v>
      </c>
      <c r="D998" t="s">
        <v>62</v>
      </c>
      <c r="E998" t="str">
        <f t="shared" si="60"/>
        <v>OS</v>
      </c>
      <c r="F998" t="s">
        <v>39</v>
      </c>
      <c r="G998" t="s">
        <v>56</v>
      </c>
      <c r="H998" s="8">
        <v>116.82</v>
      </c>
      <c r="I998" s="3">
        <f t="shared" si="61"/>
        <v>0</v>
      </c>
      <c r="J998" s="4">
        <v>0</v>
      </c>
      <c r="K998" s="11">
        <f>Table1[[#This Row],[original_price]]* (Table1[[#This Row],[Markdown percentage updated]])</f>
        <v>0</v>
      </c>
      <c r="L9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998" s="6">
        <v>116.82</v>
      </c>
      <c r="N9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998" s="7">
        <v>45875</v>
      </c>
      <c r="P998">
        <v>34</v>
      </c>
      <c r="Q998" s="16" t="str">
        <f>IF(Table1[[#This Row],[stock_quantity]]=0,"NO STOCK",
IF(Table1[[#This Row],[stock_quantity]]&lt;=10,"LOW STOCK",
"IN STOCK"))</f>
        <v>IN STOCK</v>
      </c>
      <c r="R998" s="1">
        <f t="shared" si="62"/>
        <v>0</v>
      </c>
      <c r="T998" t="b">
        <v>0</v>
      </c>
      <c r="U998" t="str">
        <f t="shared" si="63"/>
        <v>No Return</v>
      </c>
    </row>
    <row r="999" spans="1:22" hidden="1" x14ac:dyDescent="0.3">
      <c r="A999" t="s">
        <v>1052</v>
      </c>
      <c r="B999" t="s">
        <v>15</v>
      </c>
      <c r="C999" t="s">
        <v>53</v>
      </c>
      <c r="D999" t="s">
        <v>62</v>
      </c>
      <c r="E999" t="str">
        <f t="shared" si="60"/>
        <v>XS</v>
      </c>
      <c r="F999" t="s">
        <v>18</v>
      </c>
      <c r="G999" t="s">
        <v>46</v>
      </c>
      <c r="H999" s="8">
        <v>129.78</v>
      </c>
      <c r="I999" s="3">
        <f t="shared" si="61"/>
        <v>9.5000000000000001E-2</v>
      </c>
      <c r="J999" s="4">
        <v>9.5</v>
      </c>
      <c r="K999" s="11">
        <f>Table1[[#This Row],[original_price]]* (Table1[[#This Row],[Markdown percentage updated]])</f>
        <v>12.3291</v>
      </c>
      <c r="L9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999" s="6">
        <v>117.45</v>
      </c>
      <c r="N9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999" s="7">
        <v>45875</v>
      </c>
      <c r="P999">
        <v>17</v>
      </c>
      <c r="Q999" s="16" t="str">
        <f>IF(Table1[[#This Row],[stock_quantity]]=0,"NO STOCK",
IF(Table1[[#This Row],[stock_quantity]]&lt;=10,"LOW STOCK",
"IN STOCK"))</f>
        <v>IN STOCK</v>
      </c>
      <c r="R999" s="1">
        <f t="shared" si="62"/>
        <v>4</v>
      </c>
      <c r="S999">
        <v>4</v>
      </c>
      <c r="T999" t="b">
        <v>0</v>
      </c>
      <c r="U999" t="str">
        <f t="shared" si="63"/>
        <v>No Return</v>
      </c>
    </row>
    <row r="1000" spans="1:22" hidden="1" x14ac:dyDescent="0.3">
      <c r="A1000" t="s">
        <v>1053</v>
      </c>
      <c r="B1000" t="s">
        <v>42</v>
      </c>
      <c r="C1000" t="s">
        <v>32</v>
      </c>
      <c r="D1000" t="s">
        <v>17</v>
      </c>
      <c r="E1000" t="str">
        <f t="shared" si="60"/>
        <v>L</v>
      </c>
      <c r="F1000" t="s">
        <v>55</v>
      </c>
      <c r="G1000" t="s">
        <v>70</v>
      </c>
      <c r="H1000" s="8">
        <v>135.69</v>
      </c>
      <c r="I1000" s="3">
        <f t="shared" si="61"/>
        <v>0.03</v>
      </c>
      <c r="J1000" s="4">
        <v>3</v>
      </c>
      <c r="K1000" s="11">
        <f>Table1[[#This Row],[original_price]]* (Table1[[#This Row],[Markdown percentage updated]])</f>
        <v>4.0706999999999995</v>
      </c>
      <c r="L10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00" s="6">
        <v>131.62</v>
      </c>
      <c r="N10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00" s="7">
        <v>45533</v>
      </c>
      <c r="P1000">
        <v>16</v>
      </c>
      <c r="Q1000" s="16" t="str">
        <f>IF(Table1[[#This Row],[stock_quantity]]=0,"NO STOCK",
IF(Table1[[#This Row],[stock_quantity]]&lt;=10,"LOW STOCK",
"IN STOCK"))</f>
        <v>IN STOCK</v>
      </c>
      <c r="R1000" s="1">
        <f t="shared" si="62"/>
        <v>0</v>
      </c>
      <c r="T1000" t="b">
        <v>0</v>
      </c>
      <c r="U1000" t="str">
        <f t="shared" si="63"/>
        <v>No Return</v>
      </c>
    </row>
    <row r="1001" spans="1:22" hidden="1" x14ac:dyDescent="0.3">
      <c r="A1001" t="s">
        <v>1054</v>
      </c>
      <c r="B1001" t="s">
        <v>42</v>
      </c>
      <c r="C1001" t="s">
        <v>61</v>
      </c>
      <c r="D1001" t="s">
        <v>34</v>
      </c>
      <c r="E1001" t="str">
        <f t="shared" si="60"/>
        <v>OS</v>
      </c>
      <c r="G1001" t="s">
        <v>19</v>
      </c>
      <c r="H1001" s="8">
        <v>48.14</v>
      </c>
      <c r="I1001" s="3">
        <f t="shared" si="61"/>
        <v>0.28300000000000003</v>
      </c>
      <c r="J1001" s="4">
        <v>28.3</v>
      </c>
      <c r="K1001" s="11">
        <f>Table1[[#This Row],[original_price]]* (Table1[[#This Row],[Markdown percentage updated]])</f>
        <v>13.623620000000001</v>
      </c>
      <c r="L10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001" s="6">
        <v>34.520000000000003</v>
      </c>
      <c r="N10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001" s="7">
        <v>45875</v>
      </c>
      <c r="P1001">
        <v>41</v>
      </c>
      <c r="Q1001" s="16" t="str">
        <f>IF(Table1[[#This Row],[stock_quantity]]=0,"NO STOCK",
IF(Table1[[#This Row],[stock_quantity]]&lt;=10,"LOW STOCK",
"IN STOCK"))</f>
        <v>IN STOCK</v>
      </c>
      <c r="R1001" s="1">
        <f t="shared" si="62"/>
        <v>0</v>
      </c>
      <c r="T1001" t="b">
        <v>0</v>
      </c>
      <c r="U1001" t="str">
        <f t="shared" si="63"/>
        <v>No Return</v>
      </c>
    </row>
    <row r="1002" spans="1:22" hidden="1" x14ac:dyDescent="0.3">
      <c r="A1002" t="s">
        <v>1055</v>
      </c>
      <c r="B1002" t="s">
        <v>42</v>
      </c>
      <c r="C1002" t="s">
        <v>43</v>
      </c>
      <c r="D1002" t="s">
        <v>34</v>
      </c>
      <c r="E1002" t="str">
        <f t="shared" si="60"/>
        <v>L</v>
      </c>
      <c r="F1002" t="s">
        <v>55</v>
      </c>
      <c r="G1002" t="s">
        <v>44</v>
      </c>
      <c r="H1002" s="8">
        <v>142.96</v>
      </c>
      <c r="I1002" s="3">
        <f t="shared" si="61"/>
        <v>0.47700000000000004</v>
      </c>
      <c r="J1002" s="4">
        <v>47.7</v>
      </c>
      <c r="K1002" s="11">
        <f>Table1[[#This Row],[original_price]]* (Table1[[#This Row],[Markdown percentage updated]])</f>
        <v>68.19192000000001</v>
      </c>
      <c r="L10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02" s="6">
        <v>74.77</v>
      </c>
      <c r="N10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02" s="7">
        <v>45875</v>
      </c>
      <c r="P1002">
        <v>7</v>
      </c>
      <c r="Q1002" s="17" t="str">
        <f>IF(Table1[[#This Row],[stock_quantity]]=0,"NO STOCK",
IF(Table1[[#This Row],[stock_quantity]]&lt;=10,"LOW STOCK",
"IN STOCK"))</f>
        <v>LOW STOCK</v>
      </c>
      <c r="R1002" s="1">
        <f t="shared" si="62"/>
        <v>0</v>
      </c>
      <c r="T1002" t="b">
        <v>0</v>
      </c>
      <c r="U1002" t="str">
        <f t="shared" si="63"/>
        <v>No Return</v>
      </c>
    </row>
    <row r="1003" spans="1:22" hidden="1" x14ac:dyDescent="0.3">
      <c r="A1003" t="s">
        <v>1056</v>
      </c>
      <c r="B1003" t="s">
        <v>21</v>
      </c>
      <c r="C1003" t="s">
        <v>75</v>
      </c>
      <c r="D1003" t="s">
        <v>17</v>
      </c>
      <c r="E1003" t="str">
        <f t="shared" si="60"/>
        <v>OS</v>
      </c>
      <c r="F1003" t="s">
        <v>24</v>
      </c>
      <c r="G1003" t="s">
        <v>56</v>
      </c>
      <c r="H1003" s="8">
        <v>51.72</v>
      </c>
      <c r="I1003" s="3">
        <f t="shared" si="61"/>
        <v>0</v>
      </c>
      <c r="J1003" s="4">
        <v>0</v>
      </c>
      <c r="K1003" s="11">
        <f>Table1[[#This Row],[original_price]]* (Table1[[#This Row],[Markdown percentage updated]])</f>
        <v>0</v>
      </c>
      <c r="L10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03" s="6">
        <v>51.72</v>
      </c>
      <c r="N10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03" s="7">
        <v>45702</v>
      </c>
      <c r="P1003">
        <v>50</v>
      </c>
      <c r="Q1003" s="16" t="str">
        <f>IF(Table1[[#This Row],[stock_quantity]]=0,"NO STOCK",
IF(Table1[[#This Row],[stock_quantity]]&lt;=10,"LOW STOCK",
"IN STOCK"))</f>
        <v>IN STOCK</v>
      </c>
      <c r="R1003" s="1">
        <f t="shared" si="62"/>
        <v>0</v>
      </c>
      <c r="T1003" t="b">
        <v>0</v>
      </c>
      <c r="U1003" t="str">
        <f t="shared" si="63"/>
        <v>No Return</v>
      </c>
    </row>
    <row r="1004" spans="1:22" hidden="1" x14ac:dyDescent="0.3">
      <c r="A1004" t="s">
        <v>1057</v>
      </c>
      <c r="B1004" t="s">
        <v>27</v>
      </c>
      <c r="C1004" t="s">
        <v>16</v>
      </c>
      <c r="D1004" t="s">
        <v>34</v>
      </c>
      <c r="E1004" t="str">
        <f t="shared" si="60"/>
        <v>OS</v>
      </c>
      <c r="G1004" t="s">
        <v>70</v>
      </c>
      <c r="H1004" s="8">
        <v>18.3</v>
      </c>
      <c r="I1004" s="3">
        <f t="shared" si="61"/>
        <v>0.38299999999999995</v>
      </c>
      <c r="J1004" s="4">
        <v>38.299999999999997</v>
      </c>
      <c r="K1004" s="11">
        <f>Table1[[#This Row],[original_price]]* (Table1[[#This Row],[Markdown percentage updated]])</f>
        <v>7.0088999999999997</v>
      </c>
      <c r="L10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04" s="6">
        <v>11.29</v>
      </c>
      <c r="N10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04" s="7">
        <v>45875</v>
      </c>
      <c r="P1004">
        <v>14</v>
      </c>
      <c r="Q1004" s="16" t="str">
        <f>IF(Table1[[#This Row],[stock_quantity]]=0,"NO STOCK",
IF(Table1[[#This Row],[stock_quantity]]&lt;=10,"LOW STOCK",
"IN STOCK"))</f>
        <v>IN STOCK</v>
      </c>
      <c r="R1004" s="1">
        <f t="shared" si="62"/>
        <v>1.1000000000000001</v>
      </c>
      <c r="S1004">
        <v>1.1000000000000001</v>
      </c>
      <c r="T1004" t="b">
        <v>0</v>
      </c>
      <c r="U1004" t="str">
        <f t="shared" si="63"/>
        <v>No Return</v>
      </c>
    </row>
    <row r="1005" spans="1:22" hidden="1" x14ac:dyDescent="0.3">
      <c r="A1005" t="s">
        <v>1058</v>
      </c>
      <c r="B1005" t="s">
        <v>15</v>
      </c>
      <c r="C1005" t="s">
        <v>43</v>
      </c>
      <c r="D1005" t="s">
        <v>17</v>
      </c>
      <c r="E1005" t="str">
        <f t="shared" si="60"/>
        <v>OS</v>
      </c>
      <c r="F1005" t="s">
        <v>24</v>
      </c>
      <c r="G1005" t="s">
        <v>64</v>
      </c>
      <c r="H1005" s="8">
        <v>214.99</v>
      </c>
      <c r="I1005" s="3">
        <f t="shared" si="61"/>
        <v>0.28999999999999998</v>
      </c>
      <c r="J1005" s="4">
        <v>29</v>
      </c>
      <c r="K1005" s="11">
        <f>Table1[[#This Row],[original_price]]* (Table1[[#This Row],[Markdown percentage updated]])</f>
        <v>62.347099999999998</v>
      </c>
      <c r="L10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005" s="6">
        <v>152.63999999999999</v>
      </c>
      <c r="N10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05" s="7">
        <v>45541</v>
      </c>
      <c r="P1005">
        <v>32</v>
      </c>
      <c r="Q1005" s="16" t="str">
        <f>IF(Table1[[#This Row],[stock_quantity]]=0,"NO STOCK",
IF(Table1[[#This Row],[stock_quantity]]&lt;=10,"LOW STOCK",
"IN STOCK"))</f>
        <v>IN STOCK</v>
      </c>
      <c r="R1005" s="1">
        <f t="shared" si="62"/>
        <v>2.8</v>
      </c>
      <c r="S1005">
        <v>2.8</v>
      </c>
      <c r="T1005" t="b">
        <v>1</v>
      </c>
      <c r="U1005" s="13" t="str">
        <f t="shared" si="63"/>
        <v>Wrong Item</v>
      </c>
      <c r="V1005" t="s">
        <v>125</v>
      </c>
    </row>
    <row r="1006" spans="1:22" hidden="1" x14ac:dyDescent="0.3">
      <c r="A1006" t="s">
        <v>1059</v>
      </c>
      <c r="B1006" t="s">
        <v>27</v>
      </c>
      <c r="C1006" t="s">
        <v>61</v>
      </c>
      <c r="D1006" t="s">
        <v>17</v>
      </c>
      <c r="E1006" t="str">
        <f t="shared" si="60"/>
        <v>OS</v>
      </c>
      <c r="G1006" t="s">
        <v>19</v>
      </c>
      <c r="H1006" s="8">
        <v>20.77</v>
      </c>
      <c r="I1006" s="3">
        <f t="shared" si="61"/>
        <v>0</v>
      </c>
      <c r="J1006" s="4">
        <v>0</v>
      </c>
      <c r="K1006" s="11">
        <f>Table1[[#This Row],[original_price]]* (Table1[[#This Row],[Markdown percentage updated]])</f>
        <v>0</v>
      </c>
      <c r="L10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06" s="6">
        <v>20.77</v>
      </c>
      <c r="N10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06" s="7">
        <v>45521</v>
      </c>
      <c r="P1006">
        <v>31</v>
      </c>
      <c r="Q1006" s="16" t="str">
        <f>IF(Table1[[#This Row],[stock_quantity]]=0,"NO STOCK",
IF(Table1[[#This Row],[stock_quantity]]&lt;=10,"LOW STOCK",
"IN STOCK"))</f>
        <v>IN STOCK</v>
      </c>
      <c r="R1006" s="1">
        <f t="shared" si="62"/>
        <v>2</v>
      </c>
      <c r="S1006">
        <v>2</v>
      </c>
      <c r="T1006" t="b">
        <v>0</v>
      </c>
      <c r="U1006" t="str">
        <f t="shared" si="63"/>
        <v>No Return</v>
      </c>
    </row>
    <row r="1007" spans="1:22" hidden="1" x14ac:dyDescent="0.3">
      <c r="A1007" t="s">
        <v>1060</v>
      </c>
      <c r="B1007" t="s">
        <v>27</v>
      </c>
      <c r="C1007" t="s">
        <v>61</v>
      </c>
      <c r="D1007" t="s">
        <v>62</v>
      </c>
      <c r="E1007" t="str">
        <f t="shared" si="60"/>
        <v>XS</v>
      </c>
      <c r="G1007" t="s">
        <v>25</v>
      </c>
      <c r="H1007" s="8">
        <v>77.959999999999994</v>
      </c>
      <c r="I1007" s="3">
        <f t="shared" si="61"/>
        <v>0</v>
      </c>
      <c r="J1007" s="4">
        <v>0</v>
      </c>
      <c r="K1007" s="11">
        <f>Table1[[#This Row],[original_price]]* (Table1[[#This Row],[Markdown percentage updated]])</f>
        <v>0</v>
      </c>
      <c r="L10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07" s="6">
        <v>77.959999999999994</v>
      </c>
      <c r="N10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07" s="7">
        <v>45875</v>
      </c>
      <c r="P1007">
        <v>39</v>
      </c>
      <c r="Q1007" s="16" t="str">
        <f>IF(Table1[[#This Row],[stock_quantity]]=0,"NO STOCK",
IF(Table1[[#This Row],[stock_quantity]]&lt;=10,"LOW STOCK",
"IN STOCK"))</f>
        <v>IN STOCK</v>
      </c>
      <c r="R1007" s="1">
        <f t="shared" si="62"/>
        <v>4.8</v>
      </c>
      <c r="S1007">
        <v>4.8</v>
      </c>
      <c r="T1007" t="b">
        <v>0</v>
      </c>
      <c r="U1007" t="str">
        <f t="shared" si="63"/>
        <v>No Return</v>
      </c>
    </row>
    <row r="1008" spans="1:22" hidden="1" x14ac:dyDescent="0.3">
      <c r="A1008" t="s">
        <v>1061</v>
      </c>
      <c r="B1008" t="s">
        <v>27</v>
      </c>
      <c r="C1008" t="s">
        <v>16</v>
      </c>
      <c r="D1008" t="s">
        <v>34</v>
      </c>
      <c r="E1008" t="str">
        <f t="shared" si="60"/>
        <v>XXL</v>
      </c>
      <c r="G1008" t="s">
        <v>66</v>
      </c>
      <c r="H1008" s="8">
        <v>73.33</v>
      </c>
      <c r="I1008" s="3">
        <f t="shared" si="61"/>
        <v>0.34600000000000003</v>
      </c>
      <c r="J1008" s="4">
        <v>34.6</v>
      </c>
      <c r="K1008" s="11">
        <f>Table1[[#This Row],[original_price]]* (Table1[[#This Row],[Markdown percentage updated]])</f>
        <v>25.37218</v>
      </c>
      <c r="L10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08" s="6">
        <v>47.96</v>
      </c>
      <c r="N10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08" s="7">
        <v>45875</v>
      </c>
      <c r="P1008">
        <v>45</v>
      </c>
      <c r="Q1008" s="16" t="str">
        <f>IF(Table1[[#This Row],[stock_quantity]]=0,"NO STOCK",
IF(Table1[[#This Row],[stock_quantity]]&lt;=10,"LOW STOCK",
"IN STOCK"))</f>
        <v>IN STOCK</v>
      </c>
      <c r="R1008" s="1">
        <f t="shared" si="62"/>
        <v>2.1</v>
      </c>
      <c r="S1008">
        <v>2.1</v>
      </c>
      <c r="T1008" t="b">
        <v>0</v>
      </c>
      <c r="U1008" t="str">
        <f t="shared" si="63"/>
        <v>No Return</v>
      </c>
    </row>
    <row r="1009" spans="1:22" hidden="1" x14ac:dyDescent="0.3">
      <c r="A1009" t="s">
        <v>1062</v>
      </c>
      <c r="B1009" t="s">
        <v>27</v>
      </c>
      <c r="C1009" t="s">
        <v>75</v>
      </c>
      <c r="D1009" t="s">
        <v>34</v>
      </c>
      <c r="E1009" t="str">
        <f t="shared" si="60"/>
        <v>L</v>
      </c>
      <c r="G1009" t="s">
        <v>66</v>
      </c>
      <c r="H1009" s="8">
        <v>75.22</v>
      </c>
      <c r="I1009" s="3">
        <f t="shared" si="61"/>
        <v>0.25900000000000001</v>
      </c>
      <c r="J1009" s="4">
        <v>25.9</v>
      </c>
      <c r="K1009" s="11">
        <f>Table1[[#This Row],[original_price]]* (Table1[[#This Row],[Markdown percentage updated]])</f>
        <v>19.48198</v>
      </c>
      <c r="L10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009" s="6">
        <v>55.74</v>
      </c>
      <c r="N10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009" s="7">
        <v>45875</v>
      </c>
      <c r="P1009">
        <v>31</v>
      </c>
      <c r="Q1009" s="16" t="str">
        <f>IF(Table1[[#This Row],[stock_quantity]]=0,"NO STOCK",
IF(Table1[[#This Row],[stock_quantity]]&lt;=10,"LOW STOCK",
"IN STOCK"))</f>
        <v>IN STOCK</v>
      </c>
      <c r="R1009" s="1">
        <f t="shared" si="62"/>
        <v>1.9</v>
      </c>
      <c r="S1009">
        <v>1.9</v>
      </c>
      <c r="T1009" t="b">
        <v>1</v>
      </c>
      <c r="U1009" s="13" t="str">
        <f t="shared" si="63"/>
        <v>Color Mismatch</v>
      </c>
      <c r="V1009" t="s">
        <v>36</v>
      </c>
    </row>
    <row r="1010" spans="1:22" hidden="1" x14ac:dyDescent="0.3">
      <c r="A1010" t="s">
        <v>1063</v>
      </c>
      <c r="B1010" t="s">
        <v>38</v>
      </c>
      <c r="C1010" t="s">
        <v>61</v>
      </c>
      <c r="D1010" t="s">
        <v>34</v>
      </c>
      <c r="E1010" t="str">
        <f t="shared" si="60"/>
        <v>S</v>
      </c>
      <c r="F1010" t="s">
        <v>55</v>
      </c>
      <c r="G1010" t="s">
        <v>28</v>
      </c>
      <c r="H1010" s="8">
        <v>46.65</v>
      </c>
      <c r="I1010" s="3">
        <f t="shared" si="61"/>
        <v>0.24199999999999999</v>
      </c>
      <c r="J1010" s="4">
        <v>24.2</v>
      </c>
      <c r="K1010" s="11">
        <f>Table1[[#This Row],[original_price]]* (Table1[[#This Row],[Markdown percentage updated]])</f>
        <v>11.289299999999999</v>
      </c>
      <c r="L10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010" s="6">
        <v>35.36</v>
      </c>
      <c r="N10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010" s="7">
        <v>45875</v>
      </c>
      <c r="P1010">
        <v>8</v>
      </c>
      <c r="Q1010" s="17" t="str">
        <f>IF(Table1[[#This Row],[stock_quantity]]=0,"NO STOCK",
IF(Table1[[#This Row],[stock_quantity]]&lt;=10,"LOW STOCK",
"IN STOCK"))</f>
        <v>LOW STOCK</v>
      </c>
      <c r="R1010" s="1">
        <f t="shared" si="62"/>
        <v>3.2</v>
      </c>
      <c r="S1010">
        <v>3.2</v>
      </c>
      <c r="T1010" t="b">
        <v>0</v>
      </c>
      <c r="U1010" t="str">
        <f t="shared" si="63"/>
        <v>No Return</v>
      </c>
    </row>
    <row r="1011" spans="1:22" hidden="1" x14ac:dyDescent="0.3">
      <c r="A1011" t="s">
        <v>1064</v>
      </c>
      <c r="B1011" t="s">
        <v>42</v>
      </c>
      <c r="C1011" t="s">
        <v>43</v>
      </c>
      <c r="D1011" t="s">
        <v>34</v>
      </c>
      <c r="E1011" t="str">
        <f t="shared" si="60"/>
        <v>XXL</v>
      </c>
      <c r="F1011" t="s">
        <v>49</v>
      </c>
      <c r="G1011" t="s">
        <v>25</v>
      </c>
      <c r="H1011" s="8">
        <v>108.19</v>
      </c>
      <c r="I1011" s="3">
        <f t="shared" si="61"/>
        <v>0</v>
      </c>
      <c r="J1011" s="4">
        <v>0</v>
      </c>
      <c r="K1011" s="11">
        <f>Table1[[#This Row],[original_price]]* (Table1[[#This Row],[Markdown percentage updated]])</f>
        <v>0</v>
      </c>
      <c r="L10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11" s="6">
        <v>108.19</v>
      </c>
      <c r="N10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11" s="7">
        <v>45875</v>
      </c>
      <c r="P1011">
        <v>21</v>
      </c>
      <c r="Q1011" s="16" t="str">
        <f>IF(Table1[[#This Row],[stock_quantity]]=0,"NO STOCK",
IF(Table1[[#This Row],[stock_quantity]]&lt;=10,"LOW STOCK",
"IN STOCK"))</f>
        <v>IN STOCK</v>
      </c>
      <c r="R1011" s="1">
        <f t="shared" si="62"/>
        <v>0</v>
      </c>
      <c r="T1011" t="b">
        <v>0</v>
      </c>
      <c r="U1011" t="str">
        <f t="shared" si="63"/>
        <v>No Return</v>
      </c>
    </row>
    <row r="1012" spans="1:22" hidden="1" x14ac:dyDescent="0.3">
      <c r="A1012" t="s">
        <v>1065</v>
      </c>
      <c r="B1012" t="s">
        <v>42</v>
      </c>
      <c r="C1012" t="s">
        <v>16</v>
      </c>
      <c r="D1012" t="s">
        <v>17</v>
      </c>
      <c r="E1012" t="str">
        <f t="shared" si="60"/>
        <v>XL</v>
      </c>
      <c r="F1012" t="s">
        <v>24</v>
      </c>
      <c r="G1012" t="s">
        <v>19</v>
      </c>
      <c r="H1012" s="8">
        <v>62.82</v>
      </c>
      <c r="I1012" s="3">
        <f t="shared" si="61"/>
        <v>0</v>
      </c>
      <c r="J1012" s="4">
        <v>0</v>
      </c>
      <c r="K1012" s="11">
        <f>Table1[[#This Row],[original_price]]* (Table1[[#This Row],[Markdown percentage updated]])</f>
        <v>0</v>
      </c>
      <c r="L10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12" s="6">
        <v>62.82</v>
      </c>
      <c r="N10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12" s="7">
        <v>45573</v>
      </c>
      <c r="P1012">
        <v>36</v>
      </c>
      <c r="Q1012" s="16" t="str">
        <f>IF(Table1[[#This Row],[stock_quantity]]=0,"NO STOCK",
IF(Table1[[#This Row],[stock_quantity]]&lt;=10,"LOW STOCK",
"IN STOCK"))</f>
        <v>IN STOCK</v>
      </c>
      <c r="R1012" s="1">
        <f t="shared" si="62"/>
        <v>2.1</v>
      </c>
      <c r="S1012">
        <v>2.1</v>
      </c>
      <c r="T1012" t="b">
        <v>0</v>
      </c>
      <c r="U1012" t="str">
        <f t="shared" si="63"/>
        <v>No Return</v>
      </c>
    </row>
    <row r="1013" spans="1:22" hidden="1" x14ac:dyDescent="0.3">
      <c r="A1013" t="s">
        <v>1066</v>
      </c>
      <c r="B1013" t="s">
        <v>21</v>
      </c>
      <c r="C1013" t="s">
        <v>16</v>
      </c>
      <c r="D1013" t="s">
        <v>62</v>
      </c>
      <c r="E1013" t="str">
        <f t="shared" si="60"/>
        <v>XXL</v>
      </c>
      <c r="F1013" t="s">
        <v>39</v>
      </c>
      <c r="G1013" t="s">
        <v>25</v>
      </c>
      <c r="H1013" s="8">
        <v>57.32</v>
      </c>
      <c r="I1013" s="3">
        <f t="shared" si="61"/>
        <v>0.57399999999999995</v>
      </c>
      <c r="J1013" s="4">
        <v>57.4</v>
      </c>
      <c r="K1013" s="11">
        <f>Table1[[#This Row],[original_price]]* (Table1[[#This Row],[Markdown percentage updated]])</f>
        <v>32.901679999999999</v>
      </c>
      <c r="L10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13" s="6">
        <v>24.42</v>
      </c>
      <c r="N10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13" s="7">
        <v>45875</v>
      </c>
      <c r="P1013">
        <v>46</v>
      </c>
      <c r="Q1013" s="16" t="str">
        <f>IF(Table1[[#This Row],[stock_quantity]]=0,"NO STOCK",
IF(Table1[[#This Row],[stock_quantity]]&lt;=10,"LOW STOCK",
"IN STOCK"))</f>
        <v>IN STOCK</v>
      </c>
      <c r="R1013" s="1">
        <f t="shared" si="62"/>
        <v>3.1</v>
      </c>
      <c r="S1013">
        <v>3.1</v>
      </c>
      <c r="T1013" t="b">
        <v>0</v>
      </c>
      <c r="U1013" t="str">
        <f t="shared" si="63"/>
        <v>No Return</v>
      </c>
    </row>
    <row r="1014" spans="1:22" hidden="1" x14ac:dyDescent="0.3">
      <c r="A1014" t="s">
        <v>1067</v>
      </c>
      <c r="B1014" t="s">
        <v>15</v>
      </c>
      <c r="C1014" t="s">
        <v>48</v>
      </c>
      <c r="D1014" t="s">
        <v>23</v>
      </c>
      <c r="E1014" t="str">
        <f t="shared" si="60"/>
        <v>S</v>
      </c>
      <c r="F1014" t="s">
        <v>49</v>
      </c>
      <c r="G1014" t="s">
        <v>46</v>
      </c>
      <c r="H1014" s="8">
        <v>153.59</v>
      </c>
      <c r="I1014" s="3">
        <f t="shared" si="61"/>
        <v>0</v>
      </c>
      <c r="J1014" s="4">
        <v>0</v>
      </c>
      <c r="K1014" s="11">
        <f>Table1[[#This Row],[original_price]]* (Table1[[#This Row],[Markdown percentage updated]])</f>
        <v>0</v>
      </c>
      <c r="L10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14" s="6">
        <v>153.59</v>
      </c>
      <c r="N10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14" s="7">
        <v>45875</v>
      </c>
      <c r="P1014">
        <v>31</v>
      </c>
      <c r="Q1014" s="16" t="str">
        <f>IF(Table1[[#This Row],[stock_quantity]]=0,"NO STOCK",
IF(Table1[[#This Row],[stock_quantity]]&lt;=10,"LOW STOCK",
"IN STOCK"))</f>
        <v>IN STOCK</v>
      </c>
      <c r="R1014" s="1">
        <f t="shared" si="62"/>
        <v>2.9</v>
      </c>
      <c r="S1014">
        <v>2.9</v>
      </c>
      <c r="T1014" t="b">
        <v>1</v>
      </c>
      <c r="U1014" s="13" t="str">
        <f t="shared" si="63"/>
        <v>Damaged</v>
      </c>
      <c r="V1014" t="s">
        <v>78</v>
      </c>
    </row>
    <row r="1015" spans="1:22" hidden="1" x14ac:dyDescent="0.3">
      <c r="A1015" t="s">
        <v>1068</v>
      </c>
      <c r="B1015" t="s">
        <v>30</v>
      </c>
      <c r="C1015" t="s">
        <v>43</v>
      </c>
      <c r="D1015" t="s">
        <v>23</v>
      </c>
      <c r="E1015" t="str">
        <f t="shared" si="60"/>
        <v>L</v>
      </c>
      <c r="F1015" t="s">
        <v>18</v>
      </c>
      <c r="G1015" t="s">
        <v>66</v>
      </c>
      <c r="H1015" s="8">
        <v>101.14</v>
      </c>
      <c r="I1015" s="3">
        <f t="shared" si="61"/>
        <v>0</v>
      </c>
      <c r="J1015" s="4">
        <v>0</v>
      </c>
      <c r="K1015" s="11">
        <f>Table1[[#This Row],[original_price]]* (Table1[[#This Row],[Markdown percentage updated]])</f>
        <v>0</v>
      </c>
      <c r="L10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15" s="6">
        <v>101.14</v>
      </c>
      <c r="N10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15" s="7">
        <v>45875</v>
      </c>
      <c r="P1015">
        <v>43</v>
      </c>
      <c r="Q1015" s="16" t="str">
        <f>IF(Table1[[#This Row],[stock_quantity]]=0,"NO STOCK",
IF(Table1[[#This Row],[stock_quantity]]&lt;=10,"LOW STOCK",
"IN STOCK"))</f>
        <v>IN STOCK</v>
      </c>
      <c r="R1015" s="1">
        <f t="shared" si="62"/>
        <v>2.8</v>
      </c>
      <c r="S1015">
        <v>2.8</v>
      </c>
      <c r="T1015" t="b">
        <v>0</v>
      </c>
      <c r="U1015" t="str">
        <f t="shared" si="63"/>
        <v>No Return</v>
      </c>
    </row>
    <row r="1016" spans="1:22" hidden="1" x14ac:dyDescent="0.3">
      <c r="A1016" t="s">
        <v>1069</v>
      </c>
      <c r="B1016" t="s">
        <v>38</v>
      </c>
      <c r="C1016" t="s">
        <v>53</v>
      </c>
      <c r="D1016" t="s">
        <v>17</v>
      </c>
      <c r="E1016" t="str">
        <f t="shared" si="60"/>
        <v>XXL</v>
      </c>
      <c r="F1016" t="s">
        <v>49</v>
      </c>
      <c r="G1016" t="s">
        <v>70</v>
      </c>
      <c r="H1016" s="8">
        <v>43.89</v>
      </c>
      <c r="I1016" s="3">
        <f t="shared" si="61"/>
        <v>0.156</v>
      </c>
      <c r="J1016" s="4">
        <v>15.6</v>
      </c>
      <c r="K1016" s="11">
        <f>Table1[[#This Row],[original_price]]* (Table1[[#This Row],[Markdown percentage updated]])</f>
        <v>6.8468400000000003</v>
      </c>
      <c r="L10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16" s="6">
        <v>37.04</v>
      </c>
      <c r="N10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16" s="7">
        <v>45777</v>
      </c>
      <c r="P1016">
        <v>31</v>
      </c>
      <c r="Q1016" s="16" t="str">
        <f>IF(Table1[[#This Row],[stock_quantity]]=0,"NO STOCK",
IF(Table1[[#This Row],[stock_quantity]]&lt;=10,"LOW STOCK",
"IN STOCK"))</f>
        <v>IN STOCK</v>
      </c>
      <c r="R1016" s="1">
        <f t="shared" si="62"/>
        <v>1.7</v>
      </c>
      <c r="S1016">
        <v>1.7</v>
      </c>
      <c r="T1016" t="b">
        <v>1</v>
      </c>
      <c r="U1016" s="13" t="str">
        <f t="shared" si="63"/>
        <v>Wrong Item</v>
      </c>
      <c r="V1016" t="s">
        <v>125</v>
      </c>
    </row>
    <row r="1017" spans="1:22" hidden="1" x14ac:dyDescent="0.3">
      <c r="A1017" t="s">
        <v>1070</v>
      </c>
      <c r="B1017" t="s">
        <v>15</v>
      </c>
      <c r="C1017" t="s">
        <v>16</v>
      </c>
      <c r="D1017" t="s">
        <v>23</v>
      </c>
      <c r="E1017" t="str">
        <f t="shared" si="60"/>
        <v>XXL</v>
      </c>
      <c r="F1017" t="s">
        <v>39</v>
      </c>
      <c r="G1017" t="s">
        <v>40</v>
      </c>
      <c r="H1017" s="8">
        <v>130.16</v>
      </c>
      <c r="I1017" s="3">
        <f t="shared" si="61"/>
        <v>0.47499999999999998</v>
      </c>
      <c r="J1017" s="4">
        <v>47.5</v>
      </c>
      <c r="K1017" s="11">
        <f>Table1[[#This Row],[original_price]]* (Table1[[#This Row],[Markdown percentage updated]])</f>
        <v>61.825999999999993</v>
      </c>
      <c r="L10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17" s="6">
        <v>68.33</v>
      </c>
      <c r="N10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17" s="7">
        <v>45875</v>
      </c>
      <c r="P1017">
        <v>21</v>
      </c>
      <c r="Q1017" s="16" t="str">
        <f>IF(Table1[[#This Row],[stock_quantity]]=0,"NO STOCK",
IF(Table1[[#This Row],[stock_quantity]]&lt;=10,"LOW STOCK",
"IN STOCK"))</f>
        <v>IN STOCK</v>
      </c>
      <c r="R1017" s="1">
        <f t="shared" si="62"/>
        <v>0</v>
      </c>
      <c r="T1017" t="b">
        <v>0</v>
      </c>
      <c r="U1017" t="str">
        <f t="shared" si="63"/>
        <v>No Return</v>
      </c>
    </row>
    <row r="1018" spans="1:22" hidden="1" x14ac:dyDescent="0.3">
      <c r="A1018" t="s">
        <v>1071</v>
      </c>
      <c r="B1018" t="s">
        <v>42</v>
      </c>
      <c r="C1018" t="s">
        <v>61</v>
      </c>
      <c r="D1018" t="s">
        <v>23</v>
      </c>
      <c r="E1018" t="str">
        <f t="shared" si="60"/>
        <v>M</v>
      </c>
      <c r="F1018" t="s">
        <v>24</v>
      </c>
      <c r="G1018" t="s">
        <v>28</v>
      </c>
      <c r="H1018" s="8">
        <v>153.12</v>
      </c>
      <c r="I1018" s="3">
        <f t="shared" si="61"/>
        <v>0</v>
      </c>
      <c r="J1018" s="4">
        <v>0</v>
      </c>
      <c r="K1018" s="11">
        <f>Table1[[#This Row],[original_price]]* (Table1[[#This Row],[Markdown percentage updated]])</f>
        <v>0</v>
      </c>
      <c r="L10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18" s="6">
        <v>153.12</v>
      </c>
      <c r="N10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18" s="7">
        <v>45875</v>
      </c>
      <c r="P1018">
        <v>27</v>
      </c>
      <c r="Q1018" s="16" t="str">
        <f>IF(Table1[[#This Row],[stock_quantity]]=0,"NO STOCK",
IF(Table1[[#This Row],[stock_quantity]]&lt;=10,"LOW STOCK",
"IN STOCK"))</f>
        <v>IN STOCK</v>
      </c>
      <c r="R1018" s="1">
        <f t="shared" si="62"/>
        <v>3.3</v>
      </c>
      <c r="S1018">
        <v>3.3</v>
      </c>
      <c r="T1018" t="b">
        <v>0</v>
      </c>
      <c r="U1018" t="str">
        <f t="shared" si="63"/>
        <v>No Return</v>
      </c>
    </row>
    <row r="1019" spans="1:22" hidden="1" x14ac:dyDescent="0.3">
      <c r="A1019" t="s">
        <v>1072</v>
      </c>
      <c r="B1019" t="s">
        <v>21</v>
      </c>
      <c r="C1019" t="s">
        <v>75</v>
      </c>
      <c r="D1019" t="s">
        <v>62</v>
      </c>
      <c r="E1019" t="str">
        <f t="shared" si="60"/>
        <v>S</v>
      </c>
      <c r="F1019" t="s">
        <v>49</v>
      </c>
      <c r="G1019" t="s">
        <v>44</v>
      </c>
      <c r="H1019" s="8">
        <v>37.119999999999997</v>
      </c>
      <c r="I1019" s="3">
        <f t="shared" si="61"/>
        <v>0.121</v>
      </c>
      <c r="J1019" s="4">
        <v>12.1</v>
      </c>
      <c r="K1019" s="11">
        <f>Table1[[#This Row],[original_price]]* (Table1[[#This Row],[Markdown percentage updated]])</f>
        <v>4.4915199999999995</v>
      </c>
      <c r="L10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19" s="6">
        <v>32.630000000000003</v>
      </c>
      <c r="N10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19" s="7">
        <v>45875</v>
      </c>
      <c r="P1019">
        <v>43</v>
      </c>
      <c r="Q1019" s="16" t="str">
        <f>IF(Table1[[#This Row],[stock_quantity]]=0,"NO STOCK",
IF(Table1[[#This Row],[stock_quantity]]&lt;=10,"LOW STOCK",
"IN STOCK"))</f>
        <v>IN STOCK</v>
      </c>
      <c r="R1019" s="1">
        <f t="shared" si="62"/>
        <v>3.2</v>
      </c>
      <c r="S1019">
        <v>3.2</v>
      </c>
      <c r="T1019" t="b">
        <v>0</v>
      </c>
      <c r="U1019" t="str">
        <f t="shared" si="63"/>
        <v>No Return</v>
      </c>
    </row>
    <row r="1020" spans="1:22" hidden="1" x14ac:dyDescent="0.3">
      <c r="A1020" t="s">
        <v>1073</v>
      </c>
      <c r="B1020" t="s">
        <v>21</v>
      </c>
      <c r="C1020" t="s">
        <v>43</v>
      </c>
      <c r="D1020" t="s">
        <v>62</v>
      </c>
      <c r="E1020" t="str">
        <f t="shared" si="60"/>
        <v>OS</v>
      </c>
      <c r="F1020" t="s">
        <v>49</v>
      </c>
      <c r="G1020" t="s">
        <v>66</v>
      </c>
      <c r="H1020" s="8">
        <v>41.05</v>
      </c>
      <c r="I1020" s="3">
        <f t="shared" si="61"/>
        <v>0</v>
      </c>
      <c r="J1020" s="4">
        <v>0</v>
      </c>
      <c r="K1020" s="11">
        <f>Table1[[#This Row],[original_price]]* (Table1[[#This Row],[Markdown percentage updated]])</f>
        <v>0</v>
      </c>
      <c r="L10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20" s="6">
        <v>41.05</v>
      </c>
      <c r="N10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20" s="7">
        <v>45875</v>
      </c>
      <c r="P1020">
        <v>24</v>
      </c>
      <c r="Q1020" s="16" t="str">
        <f>IF(Table1[[#This Row],[stock_quantity]]=0,"NO STOCK",
IF(Table1[[#This Row],[stock_quantity]]&lt;=10,"LOW STOCK",
"IN STOCK"))</f>
        <v>IN STOCK</v>
      </c>
      <c r="R1020" s="1">
        <f t="shared" si="62"/>
        <v>0</v>
      </c>
      <c r="T1020" t="b">
        <v>0</v>
      </c>
      <c r="U1020" t="str">
        <f t="shared" si="63"/>
        <v>No Return</v>
      </c>
    </row>
    <row r="1021" spans="1:22" hidden="1" x14ac:dyDescent="0.3">
      <c r="A1021" t="s">
        <v>1074</v>
      </c>
      <c r="B1021" t="s">
        <v>30</v>
      </c>
      <c r="C1021" t="s">
        <v>75</v>
      </c>
      <c r="D1021" t="s">
        <v>34</v>
      </c>
      <c r="E1021" t="str">
        <f t="shared" si="60"/>
        <v>OS</v>
      </c>
      <c r="F1021" t="s">
        <v>58</v>
      </c>
      <c r="G1021" t="s">
        <v>64</v>
      </c>
      <c r="H1021" s="8">
        <v>61.04</v>
      </c>
      <c r="I1021" s="3">
        <f t="shared" si="61"/>
        <v>0</v>
      </c>
      <c r="J1021" s="4">
        <v>0</v>
      </c>
      <c r="K1021" s="11">
        <f>Table1[[#This Row],[original_price]]* (Table1[[#This Row],[Markdown percentage updated]])</f>
        <v>0</v>
      </c>
      <c r="L10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21" s="6">
        <v>61.04</v>
      </c>
      <c r="N10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21" s="7">
        <v>45875</v>
      </c>
      <c r="P1021">
        <v>43</v>
      </c>
      <c r="Q1021" s="16" t="str">
        <f>IF(Table1[[#This Row],[stock_quantity]]=0,"NO STOCK",
IF(Table1[[#This Row],[stock_quantity]]&lt;=10,"LOW STOCK",
"IN STOCK"))</f>
        <v>IN STOCK</v>
      </c>
      <c r="R1021" s="1">
        <f t="shared" si="62"/>
        <v>1.9</v>
      </c>
      <c r="S1021">
        <v>1.9</v>
      </c>
      <c r="T1021" t="b">
        <v>0</v>
      </c>
      <c r="U1021" t="str">
        <f t="shared" si="63"/>
        <v>No Return</v>
      </c>
    </row>
    <row r="1022" spans="1:22" hidden="1" x14ac:dyDescent="0.3">
      <c r="A1022" t="s">
        <v>1075</v>
      </c>
      <c r="B1022" t="s">
        <v>21</v>
      </c>
      <c r="C1022" t="s">
        <v>53</v>
      </c>
      <c r="D1022" t="s">
        <v>62</v>
      </c>
      <c r="E1022" t="str">
        <f t="shared" si="60"/>
        <v>S</v>
      </c>
      <c r="F1022" t="s">
        <v>39</v>
      </c>
      <c r="G1022" t="s">
        <v>28</v>
      </c>
      <c r="H1022" s="8">
        <v>97.17</v>
      </c>
      <c r="I1022" s="3">
        <f t="shared" si="61"/>
        <v>0</v>
      </c>
      <c r="J1022" s="4">
        <v>0</v>
      </c>
      <c r="K1022" s="11">
        <f>Table1[[#This Row],[original_price]]* (Table1[[#This Row],[Markdown percentage updated]])</f>
        <v>0</v>
      </c>
      <c r="L10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22" s="6">
        <v>97.17</v>
      </c>
      <c r="N10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22" s="7">
        <v>45875</v>
      </c>
      <c r="P1022">
        <v>35</v>
      </c>
      <c r="Q1022" s="16" t="str">
        <f>IF(Table1[[#This Row],[stock_quantity]]=0,"NO STOCK",
IF(Table1[[#This Row],[stock_quantity]]&lt;=10,"LOW STOCK",
"IN STOCK"))</f>
        <v>IN STOCK</v>
      </c>
      <c r="R1022" s="1">
        <f t="shared" si="62"/>
        <v>3</v>
      </c>
      <c r="S1022">
        <v>3</v>
      </c>
      <c r="T1022" t="b">
        <v>0</v>
      </c>
      <c r="U1022" t="str">
        <f t="shared" si="63"/>
        <v>No Return</v>
      </c>
    </row>
    <row r="1023" spans="1:22" hidden="1" x14ac:dyDescent="0.3">
      <c r="A1023" t="s">
        <v>1076</v>
      </c>
      <c r="B1023" t="s">
        <v>27</v>
      </c>
      <c r="C1023" t="s">
        <v>22</v>
      </c>
      <c r="D1023" t="s">
        <v>62</v>
      </c>
      <c r="E1023" t="str">
        <f t="shared" si="60"/>
        <v>L</v>
      </c>
      <c r="G1023" t="s">
        <v>19</v>
      </c>
      <c r="H1023" s="8">
        <v>63.45</v>
      </c>
      <c r="I1023" s="3">
        <f t="shared" si="61"/>
        <v>0</v>
      </c>
      <c r="J1023" s="4">
        <v>0</v>
      </c>
      <c r="K1023" s="11">
        <f>Table1[[#This Row],[original_price]]* (Table1[[#This Row],[Markdown percentage updated]])</f>
        <v>0</v>
      </c>
      <c r="L10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23" s="6">
        <v>63.45</v>
      </c>
      <c r="N10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23" s="7">
        <v>45875</v>
      </c>
      <c r="P1023">
        <v>4</v>
      </c>
      <c r="Q1023" s="17" t="str">
        <f>IF(Table1[[#This Row],[stock_quantity]]=0,"NO STOCK",
IF(Table1[[#This Row],[stock_quantity]]&lt;=10,"LOW STOCK",
"IN STOCK"))</f>
        <v>LOW STOCK</v>
      </c>
      <c r="R1023" s="1">
        <f t="shared" si="62"/>
        <v>3.9</v>
      </c>
      <c r="S1023">
        <v>3.9</v>
      </c>
      <c r="T1023" t="b">
        <v>0</v>
      </c>
      <c r="U1023" t="str">
        <f t="shared" si="63"/>
        <v>No Return</v>
      </c>
    </row>
    <row r="1024" spans="1:22" hidden="1" x14ac:dyDescent="0.3">
      <c r="A1024" t="s">
        <v>1077</v>
      </c>
      <c r="B1024" t="s">
        <v>21</v>
      </c>
      <c r="C1024" t="s">
        <v>43</v>
      </c>
      <c r="D1024" t="s">
        <v>34</v>
      </c>
      <c r="E1024" t="str">
        <f t="shared" si="60"/>
        <v>XXL</v>
      </c>
      <c r="G1024" t="s">
        <v>40</v>
      </c>
      <c r="H1024" s="8">
        <v>117.39</v>
      </c>
      <c r="I1024" s="3">
        <f t="shared" si="61"/>
        <v>0</v>
      </c>
      <c r="J1024" s="4">
        <v>0</v>
      </c>
      <c r="K1024" s="11">
        <f>Table1[[#This Row],[original_price]]* (Table1[[#This Row],[Markdown percentage updated]])</f>
        <v>0</v>
      </c>
      <c r="L10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24" s="6">
        <v>117.39</v>
      </c>
      <c r="N10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24" s="7">
        <v>45875</v>
      </c>
      <c r="P1024">
        <v>14</v>
      </c>
      <c r="Q1024" s="16" t="str">
        <f>IF(Table1[[#This Row],[stock_quantity]]=0,"NO STOCK",
IF(Table1[[#This Row],[stock_quantity]]&lt;=10,"LOW STOCK",
"IN STOCK"))</f>
        <v>IN STOCK</v>
      </c>
      <c r="R1024" s="1">
        <f t="shared" si="62"/>
        <v>3.2</v>
      </c>
      <c r="S1024">
        <v>3.2</v>
      </c>
      <c r="T1024" t="b">
        <v>0</v>
      </c>
      <c r="U1024" t="str">
        <f t="shared" si="63"/>
        <v>No Return</v>
      </c>
    </row>
    <row r="1025" spans="1:22" hidden="1" x14ac:dyDescent="0.3">
      <c r="A1025" t="s">
        <v>1078</v>
      </c>
      <c r="B1025" t="s">
        <v>21</v>
      </c>
      <c r="C1025" t="s">
        <v>32</v>
      </c>
      <c r="D1025" t="s">
        <v>17</v>
      </c>
      <c r="E1025" t="str">
        <f t="shared" si="60"/>
        <v>L</v>
      </c>
      <c r="F1025" t="s">
        <v>39</v>
      </c>
      <c r="G1025" t="s">
        <v>70</v>
      </c>
      <c r="H1025" s="8">
        <v>32.89</v>
      </c>
      <c r="I1025" s="3">
        <f t="shared" si="61"/>
        <v>0</v>
      </c>
      <c r="J1025" s="4">
        <v>0</v>
      </c>
      <c r="K1025" s="11">
        <f>Table1[[#This Row],[original_price]]* (Table1[[#This Row],[Markdown percentage updated]])</f>
        <v>0</v>
      </c>
      <c r="L10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25" s="6">
        <v>32.89</v>
      </c>
      <c r="N10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25" s="7">
        <v>45846</v>
      </c>
      <c r="P1025">
        <v>6</v>
      </c>
      <c r="Q1025" s="17" t="str">
        <f>IF(Table1[[#This Row],[stock_quantity]]=0,"NO STOCK",
IF(Table1[[#This Row],[stock_quantity]]&lt;=10,"LOW STOCK",
"IN STOCK"))</f>
        <v>LOW STOCK</v>
      </c>
      <c r="R1025" s="1">
        <f t="shared" si="62"/>
        <v>4.5999999999999996</v>
      </c>
      <c r="S1025">
        <v>4.5999999999999996</v>
      </c>
      <c r="T1025" t="b">
        <v>0</v>
      </c>
      <c r="U1025" t="str">
        <f t="shared" si="63"/>
        <v>No Return</v>
      </c>
    </row>
    <row r="1026" spans="1:22" hidden="1" x14ac:dyDescent="0.3">
      <c r="A1026" t="s">
        <v>1079</v>
      </c>
      <c r="B1026" t="s">
        <v>38</v>
      </c>
      <c r="C1026" t="s">
        <v>53</v>
      </c>
      <c r="D1026" t="s">
        <v>17</v>
      </c>
      <c r="E1026" t="str">
        <f t="shared" ref="E1026:E1089" si="64">IF(ISBLANK(F1029),"OS",F1029)</f>
        <v>XL</v>
      </c>
      <c r="F1026" t="s">
        <v>24</v>
      </c>
      <c r="G1026" t="s">
        <v>44</v>
      </c>
      <c r="H1026" s="8">
        <v>102.6</v>
      </c>
      <c r="I1026" s="3">
        <f t="shared" ref="I1026:I1089" si="65">J1026/100</f>
        <v>0.38600000000000001</v>
      </c>
      <c r="J1026" s="4">
        <v>38.6</v>
      </c>
      <c r="K1026" s="11">
        <f>Table1[[#This Row],[original_price]]* (Table1[[#This Row],[Markdown percentage updated]])</f>
        <v>39.6036</v>
      </c>
      <c r="L10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26" s="6">
        <v>63</v>
      </c>
      <c r="N10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26" s="7">
        <v>45787</v>
      </c>
      <c r="P1026">
        <v>14</v>
      </c>
      <c r="Q1026" s="16" t="str">
        <f>IF(Table1[[#This Row],[stock_quantity]]=0,"NO STOCK",
IF(Table1[[#This Row],[stock_quantity]]&lt;=10,"LOW STOCK",
"IN STOCK"))</f>
        <v>IN STOCK</v>
      </c>
      <c r="R1026" s="1">
        <f t="shared" si="62"/>
        <v>4</v>
      </c>
      <c r="S1026">
        <v>4</v>
      </c>
      <c r="T1026" t="b">
        <v>0</v>
      </c>
      <c r="U1026" t="str">
        <f t="shared" si="63"/>
        <v>No Return</v>
      </c>
    </row>
    <row r="1027" spans="1:22" hidden="1" x14ac:dyDescent="0.3">
      <c r="A1027" t="s">
        <v>1080</v>
      </c>
      <c r="B1027" t="s">
        <v>30</v>
      </c>
      <c r="C1027" t="s">
        <v>61</v>
      </c>
      <c r="D1027" t="s">
        <v>17</v>
      </c>
      <c r="E1027" t="str">
        <f t="shared" si="64"/>
        <v>XXL</v>
      </c>
      <c r="F1027" t="s">
        <v>49</v>
      </c>
      <c r="G1027" t="s">
        <v>64</v>
      </c>
      <c r="H1027" s="8">
        <v>155.91999999999999</v>
      </c>
      <c r="I1027" s="3">
        <f t="shared" si="65"/>
        <v>0.32200000000000001</v>
      </c>
      <c r="J1027" s="4">
        <v>32.200000000000003</v>
      </c>
      <c r="K1027" s="11">
        <f>Table1[[#This Row],[original_price]]* (Table1[[#This Row],[Markdown percentage updated]])</f>
        <v>50.206239999999994</v>
      </c>
      <c r="L10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27" s="6">
        <v>105.71</v>
      </c>
      <c r="N10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27" s="7">
        <v>45567</v>
      </c>
      <c r="P1027">
        <v>5</v>
      </c>
      <c r="Q1027" s="17" t="str">
        <f>IF(Table1[[#This Row],[stock_quantity]]=0,"NO STOCK",
IF(Table1[[#This Row],[stock_quantity]]&lt;=10,"LOW STOCK",
"IN STOCK"))</f>
        <v>LOW STOCK</v>
      </c>
      <c r="R1027" s="1">
        <f t="shared" ref="R1027:R1090" si="66">IF(ISBLANK(S1027), 0, S1027)</f>
        <v>2</v>
      </c>
      <c r="S1027">
        <v>2</v>
      </c>
      <c r="T1027" t="b">
        <v>0</v>
      </c>
      <c r="U1027" t="str">
        <f t="shared" ref="U1027:U1090" si="67">IF(V1027="","No Return",V1027)</f>
        <v>No Return</v>
      </c>
    </row>
    <row r="1028" spans="1:22" hidden="1" x14ac:dyDescent="0.3">
      <c r="A1028" t="s">
        <v>1081</v>
      </c>
      <c r="B1028" t="s">
        <v>15</v>
      </c>
      <c r="C1028" t="s">
        <v>61</v>
      </c>
      <c r="D1028" t="s">
        <v>34</v>
      </c>
      <c r="E1028" t="str">
        <f t="shared" si="64"/>
        <v>M</v>
      </c>
      <c r="F1028" t="s">
        <v>24</v>
      </c>
      <c r="G1028" t="s">
        <v>66</v>
      </c>
      <c r="H1028" s="8">
        <v>178.39</v>
      </c>
      <c r="I1028" s="3">
        <f t="shared" si="65"/>
        <v>0</v>
      </c>
      <c r="J1028" s="4">
        <v>0</v>
      </c>
      <c r="K1028" s="11">
        <f>Table1[[#This Row],[original_price]]* (Table1[[#This Row],[Markdown percentage updated]])</f>
        <v>0</v>
      </c>
      <c r="L10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28" s="6">
        <v>178.39</v>
      </c>
      <c r="N10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28" s="7">
        <v>45875</v>
      </c>
      <c r="P1028">
        <v>29</v>
      </c>
      <c r="Q1028" s="16" t="str">
        <f>IF(Table1[[#This Row],[stock_quantity]]=0,"NO STOCK",
IF(Table1[[#This Row],[stock_quantity]]&lt;=10,"LOW STOCK",
"IN STOCK"))</f>
        <v>IN STOCK</v>
      </c>
      <c r="R1028" s="1">
        <f t="shared" si="66"/>
        <v>4.2</v>
      </c>
      <c r="S1028">
        <v>4.2</v>
      </c>
      <c r="T1028" t="b">
        <v>0</v>
      </c>
      <c r="U1028" t="str">
        <f t="shared" si="67"/>
        <v>No Return</v>
      </c>
    </row>
    <row r="1029" spans="1:22" hidden="1" x14ac:dyDescent="0.3">
      <c r="A1029" t="s">
        <v>1082</v>
      </c>
      <c r="B1029" t="s">
        <v>15</v>
      </c>
      <c r="C1029" t="s">
        <v>48</v>
      </c>
      <c r="D1029" t="s">
        <v>17</v>
      </c>
      <c r="E1029" t="str">
        <f t="shared" si="64"/>
        <v>S</v>
      </c>
      <c r="F1029" t="s">
        <v>18</v>
      </c>
      <c r="G1029" t="s">
        <v>40</v>
      </c>
      <c r="H1029" s="8">
        <v>151.1</v>
      </c>
      <c r="I1029" s="3">
        <f t="shared" si="65"/>
        <v>0</v>
      </c>
      <c r="J1029" s="4">
        <v>0</v>
      </c>
      <c r="K1029" s="11">
        <f>Table1[[#This Row],[original_price]]* (Table1[[#This Row],[Markdown percentage updated]])</f>
        <v>0</v>
      </c>
      <c r="L10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29" s="6">
        <v>151.1</v>
      </c>
      <c r="N10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29" s="7">
        <v>45738</v>
      </c>
      <c r="P1029">
        <v>24</v>
      </c>
      <c r="Q1029" s="16" t="str">
        <f>IF(Table1[[#This Row],[stock_quantity]]=0,"NO STOCK",
IF(Table1[[#This Row],[stock_quantity]]&lt;=10,"LOW STOCK",
"IN STOCK"))</f>
        <v>IN STOCK</v>
      </c>
      <c r="R1029" s="1">
        <f t="shared" si="66"/>
        <v>2.4</v>
      </c>
      <c r="S1029">
        <v>2.4</v>
      </c>
      <c r="T1029" t="b">
        <v>0</v>
      </c>
      <c r="U1029" t="str">
        <f t="shared" si="67"/>
        <v>No Return</v>
      </c>
    </row>
    <row r="1030" spans="1:22" hidden="1" x14ac:dyDescent="0.3">
      <c r="A1030" t="s">
        <v>1083</v>
      </c>
      <c r="B1030" t="s">
        <v>21</v>
      </c>
      <c r="C1030" t="s">
        <v>75</v>
      </c>
      <c r="D1030" t="s">
        <v>62</v>
      </c>
      <c r="E1030" t="str">
        <f t="shared" si="64"/>
        <v>XL</v>
      </c>
      <c r="F1030" t="s">
        <v>49</v>
      </c>
      <c r="G1030" t="s">
        <v>56</v>
      </c>
      <c r="H1030" s="8">
        <v>91.03</v>
      </c>
      <c r="I1030" s="3">
        <f t="shared" si="65"/>
        <v>0.55399999999999994</v>
      </c>
      <c r="J1030" s="4">
        <v>55.4</v>
      </c>
      <c r="K1030" s="11">
        <f>Table1[[#This Row],[original_price]]* (Table1[[#This Row],[Markdown percentage updated]])</f>
        <v>50.430619999999998</v>
      </c>
      <c r="L10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30" s="6">
        <v>40.6</v>
      </c>
      <c r="N10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30" s="7">
        <v>45875</v>
      </c>
      <c r="P1030">
        <v>2</v>
      </c>
      <c r="Q1030" s="17" t="str">
        <f>IF(Table1[[#This Row],[stock_quantity]]=0,"NO STOCK",
IF(Table1[[#This Row],[stock_quantity]]&lt;=10,"LOW STOCK",
"IN STOCK"))</f>
        <v>LOW STOCK</v>
      </c>
      <c r="R1030" s="1">
        <f t="shared" si="66"/>
        <v>2.5</v>
      </c>
      <c r="S1030">
        <v>2.5</v>
      </c>
      <c r="T1030" t="b">
        <v>0</v>
      </c>
      <c r="U1030" t="str">
        <f t="shared" si="67"/>
        <v>No Return</v>
      </c>
    </row>
    <row r="1031" spans="1:22" hidden="1" x14ac:dyDescent="0.3">
      <c r="A1031" t="s">
        <v>1084</v>
      </c>
      <c r="B1031" t="s">
        <v>21</v>
      </c>
      <c r="C1031" t="s">
        <v>48</v>
      </c>
      <c r="D1031" t="s">
        <v>34</v>
      </c>
      <c r="E1031" t="str">
        <f t="shared" si="64"/>
        <v>XS</v>
      </c>
      <c r="F1031" t="s">
        <v>58</v>
      </c>
      <c r="G1031" t="s">
        <v>40</v>
      </c>
      <c r="H1031" s="8">
        <v>89.03</v>
      </c>
      <c r="I1031" s="3">
        <f t="shared" si="65"/>
        <v>0.41299999999999998</v>
      </c>
      <c r="J1031" s="4">
        <v>41.3</v>
      </c>
      <c r="K1031" s="11">
        <f>Table1[[#This Row],[original_price]]* (Table1[[#This Row],[Markdown percentage updated]])</f>
        <v>36.769390000000001</v>
      </c>
      <c r="L10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31" s="6">
        <v>52.26</v>
      </c>
      <c r="N10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31" s="7">
        <v>45875</v>
      </c>
      <c r="P1031">
        <v>50</v>
      </c>
      <c r="Q1031" s="16" t="str">
        <f>IF(Table1[[#This Row],[stock_quantity]]=0,"NO STOCK",
IF(Table1[[#This Row],[stock_quantity]]&lt;=10,"LOW STOCK",
"IN STOCK"))</f>
        <v>IN STOCK</v>
      </c>
      <c r="R1031" s="1">
        <f t="shared" si="66"/>
        <v>0</v>
      </c>
      <c r="T1031" t="b">
        <v>0</v>
      </c>
      <c r="U1031" t="str">
        <f t="shared" si="67"/>
        <v>No Return</v>
      </c>
    </row>
    <row r="1032" spans="1:22" hidden="1" x14ac:dyDescent="0.3">
      <c r="A1032" t="s">
        <v>1085</v>
      </c>
      <c r="B1032" t="s">
        <v>42</v>
      </c>
      <c r="C1032" t="s">
        <v>53</v>
      </c>
      <c r="D1032" t="s">
        <v>62</v>
      </c>
      <c r="E1032" t="str">
        <f t="shared" si="64"/>
        <v>XXL</v>
      </c>
      <c r="F1032" t="s">
        <v>39</v>
      </c>
      <c r="G1032" t="s">
        <v>46</v>
      </c>
      <c r="H1032" s="8">
        <v>147.58000000000001</v>
      </c>
      <c r="I1032" s="3">
        <f t="shared" si="65"/>
        <v>0</v>
      </c>
      <c r="J1032" s="4">
        <v>0</v>
      </c>
      <c r="K1032" s="11">
        <f>Table1[[#This Row],[original_price]]* (Table1[[#This Row],[Markdown percentage updated]])</f>
        <v>0</v>
      </c>
      <c r="L10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32" s="6">
        <v>147.58000000000001</v>
      </c>
      <c r="N10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32" s="7">
        <v>45875</v>
      </c>
      <c r="P1032">
        <v>10</v>
      </c>
      <c r="Q1032" s="17" t="str">
        <f>IF(Table1[[#This Row],[stock_quantity]]=0,"NO STOCK",
IF(Table1[[#This Row],[stock_quantity]]&lt;=10,"LOW STOCK",
"IN STOCK"))</f>
        <v>LOW STOCK</v>
      </c>
      <c r="R1032" s="1">
        <f t="shared" si="66"/>
        <v>4.3</v>
      </c>
      <c r="S1032">
        <v>4.3</v>
      </c>
      <c r="T1032" t="b">
        <v>0</v>
      </c>
      <c r="U1032" t="str">
        <f t="shared" si="67"/>
        <v>No Return</v>
      </c>
    </row>
    <row r="1033" spans="1:22" hidden="1" x14ac:dyDescent="0.3">
      <c r="A1033" t="s">
        <v>1086</v>
      </c>
      <c r="B1033" t="s">
        <v>42</v>
      </c>
      <c r="C1033" t="s">
        <v>32</v>
      </c>
      <c r="D1033" t="s">
        <v>62</v>
      </c>
      <c r="E1033" t="str">
        <f t="shared" si="64"/>
        <v>L</v>
      </c>
      <c r="F1033" t="s">
        <v>18</v>
      </c>
      <c r="G1033" t="s">
        <v>44</v>
      </c>
      <c r="H1033" s="8">
        <v>79.98</v>
      </c>
      <c r="I1033" s="3">
        <f t="shared" si="65"/>
        <v>0</v>
      </c>
      <c r="J1033" s="4">
        <v>0</v>
      </c>
      <c r="K1033" s="11">
        <f>Table1[[#This Row],[original_price]]* (Table1[[#This Row],[Markdown percentage updated]])</f>
        <v>0</v>
      </c>
      <c r="L10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33" s="6">
        <v>79.98</v>
      </c>
      <c r="N10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33" s="7">
        <v>45875</v>
      </c>
      <c r="P1033">
        <v>25</v>
      </c>
      <c r="Q1033" s="16" t="str">
        <f>IF(Table1[[#This Row],[stock_quantity]]=0,"NO STOCK",
IF(Table1[[#This Row],[stock_quantity]]&lt;=10,"LOW STOCK",
"IN STOCK"))</f>
        <v>IN STOCK</v>
      </c>
      <c r="R1033" s="1">
        <f t="shared" si="66"/>
        <v>1.5</v>
      </c>
      <c r="S1033">
        <v>1.5</v>
      </c>
      <c r="T1033" t="b">
        <v>0</v>
      </c>
      <c r="U1033" t="str">
        <f t="shared" si="67"/>
        <v>No Return</v>
      </c>
    </row>
    <row r="1034" spans="1:22" hidden="1" x14ac:dyDescent="0.3">
      <c r="A1034" t="s">
        <v>1087</v>
      </c>
      <c r="B1034" t="s">
        <v>42</v>
      </c>
      <c r="C1034" t="s">
        <v>48</v>
      </c>
      <c r="D1034" t="s">
        <v>34</v>
      </c>
      <c r="E1034" t="str">
        <f t="shared" si="64"/>
        <v>XXL</v>
      </c>
      <c r="F1034" t="s">
        <v>55</v>
      </c>
      <c r="G1034" t="s">
        <v>56</v>
      </c>
      <c r="H1034" s="8">
        <v>86.38</v>
      </c>
      <c r="I1034" s="3">
        <f t="shared" si="65"/>
        <v>0</v>
      </c>
      <c r="J1034" s="4">
        <v>0</v>
      </c>
      <c r="K1034" s="11">
        <f>Table1[[#This Row],[original_price]]* (Table1[[#This Row],[Markdown percentage updated]])</f>
        <v>0</v>
      </c>
      <c r="L10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34" s="6">
        <v>86.38</v>
      </c>
      <c r="N10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34" s="7">
        <v>45875</v>
      </c>
      <c r="P1034">
        <v>40</v>
      </c>
      <c r="Q1034" s="16" t="str">
        <f>IF(Table1[[#This Row],[stock_quantity]]=0,"NO STOCK",
IF(Table1[[#This Row],[stock_quantity]]&lt;=10,"LOW STOCK",
"IN STOCK"))</f>
        <v>IN STOCK</v>
      </c>
      <c r="R1034" s="1">
        <f t="shared" si="66"/>
        <v>2.7</v>
      </c>
      <c r="S1034">
        <v>2.7</v>
      </c>
      <c r="T1034" t="b">
        <v>0</v>
      </c>
      <c r="U1034" t="str">
        <f t="shared" si="67"/>
        <v>No Return</v>
      </c>
    </row>
    <row r="1035" spans="1:22" hidden="1" x14ac:dyDescent="0.3">
      <c r="A1035" t="s">
        <v>1088</v>
      </c>
      <c r="B1035" t="s">
        <v>21</v>
      </c>
      <c r="C1035" t="s">
        <v>32</v>
      </c>
      <c r="D1035" t="s">
        <v>62</v>
      </c>
      <c r="E1035" t="str">
        <f t="shared" si="64"/>
        <v>XXL</v>
      </c>
      <c r="F1035" t="s">
        <v>49</v>
      </c>
      <c r="G1035" t="s">
        <v>70</v>
      </c>
      <c r="H1035" s="8">
        <v>47.29</v>
      </c>
      <c r="I1035" s="3">
        <f t="shared" si="65"/>
        <v>0.40399999999999997</v>
      </c>
      <c r="J1035" s="4">
        <v>40.4</v>
      </c>
      <c r="K1035" s="11">
        <f>Table1[[#This Row],[original_price]]* (Table1[[#This Row],[Markdown percentage updated]])</f>
        <v>19.105159999999998</v>
      </c>
      <c r="L10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35" s="6">
        <v>28.18</v>
      </c>
      <c r="N10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035" s="7">
        <v>45875</v>
      </c>
      <c r="P1035">
        <v>26</v>
      </c>
      <c r="Q1035" s="16" t="str">
        <f>IF(Table1[[#This Row],[stock_quantity]]=0,"NO STOCK",
IF(Table1[[#This Row],[stock_quantity]]&lt;=10,"LOW STOCK",
"IN STOCK"))</f>
        <v>IN STOCK</v>
      </c>
      <c r="R1035" s="1">
        <f t="shared" si="66"/>
        <v>4.4000000000000004</v>
      </c>
      <c r="S1035">
        <v>4.4000000000000004</v>
      </c>
      <c r="T1035" t="b">
        <v>0</v>
      </c>
      <c r="U1035" t="str">
        <f t="shared" si="67"/>
        <v>No Return</v>
      </c>
    </row>
    <row r="1036" spans="1:22" hidden="1" x14ac:dyDescent="0.3">
      <c r="A1036" t="s">
        <v>1089</v>
      </c>
      <c r="B1036" t="s">
        <v>15</v>
      </c>
      <c r="C1036" t="s">
        <v>75</v>
      </c>
      <c r="D1036" t="s">
        <v>17</v>
      </c>
      <c r="E1036" t="str">
        <f t="shared" si="64"/>
        <v>OS</v>
      </c>
      <c r="F1036" t="s">
        <v>24</v>
      </c>
      <c r="G1036" t="s">
        <v>64</v>
      </c>
      <c r="H1036" s="8">
        <v>196.54</v>
      </c>
      <c r="I1036" s="3">
        <f t="shared" si="65"/>
        <v>0.22600000000000001</v>
      </c>
      <c r="J1036" s="4">
        <v>22.6</v>
      </c>
      <c r="K1036" s="11">
        <f>Table1[[#This Row],[original_price]]* (Table1[[#This Row],[Markdown percentage updated]])</f>
        <v>44.418039999999998</v>
      </c>
      <c r="L10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036" s="6">
        <v>152.12</v>
      </c>
      <c r="N10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36" s="7">
        <v>45789</v>
      </c>
      <c r="P1036">
        <v>33</v>
      </c>
      <c r="Q1036" s="16" t="str">
        <f>IF(Table1[[#This Row],[stock_quantity]]=0,"NO STOCK",
IF(Table1[[#This Row],[stock_quantity]]&lt;=10,"LOW STOCK",
"IN STOCK"))</f>
        <v>IN STOCK</v>
      </c>
      <c r="R1036" s="1">
        <f t="shared" si="66"/>
        <v>1.4</v>
      </c>
      <c r="S1036">
        <v>1.4</v>
      </c>
      <c r="T1036" t="b">
        <v>0</v>
      </c>
      <c r="U1036" t="str">
        <f t="shared" si="67"/>
        <v>No Return</v>
      </c>
    </row>
    <row r="1037" spans="1:22" hidden="1" x14ac:dyDescent="0.3">
      <c r="A1037" t="s">
        <v>1090</v>
      </c>
      <c r="B1037" t="s">
        <v>21</v>
      </c>
      <c r="C1037" t="s">
        <v>16</v>
      </c>
      <c r="D1037" t="s">
        <v>17</v>
      </c>
      <c r="E1037" t="str">
        <f t="shared" si="64"/>
        <v>XXL</v>
      </c>
      <c r="F1037" t="s">
        <v>49</v>
      </c>
      <c r="G1037" t="s">
        <v>40</v>
      </c>
      <c r="H1037" s="8">
        <v>72.72</v>
      </c>
      <c r="I1037" s="3">
        <f t="shared" si="65"/>
        <v>0</v>
      </c>
      <c r="J1037" s="4">
        <v>0</v>
      </c>
      <c r="K1037" s="11">
        <f>Table1[[#This Row],[original_price]]* (Table1[[#This Row],[Markdown percentage updated]])</f>
        <v>0</v>
      </c>
      <c r="L10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37" s="6">
        <v>72.72</v>
      </c>
      <c r="N10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37" s="7">
        <v>45688</v>
      </c>
      <c r="P1037">
        <v>23</v>
      </c>
      <c r="Q1037" s="16" t="str">
        <f>IF(Table1[[#This Row],[stock_quantity]]=0,"NO STOCK",
IF(Table1[[#This Row],[stock_quantity]]&lt;=10,"LOW STOCK",
"IN STOCK"))</f>
        <v>IN STOCK</v>
      </c>
      <c r="R1037" s="1">
        <f t="shared" si="66"/>
        <v>1.6</v>
      </c>
      <c r="S1037">
        <v>1.6</v>
      </c>
      <c r="T1037" t="b">
        <v>0</v>
      </c>
      <c r="U1037" t="str">
        <f t="shared" si="67"/>
        <v>No Return</v>
      </c>
    </row>
    <row r="1038" spans="1:22" hidden="1" x14ac:dyDescent="0.3">
      <c r="A1038" t="s">
        <v>1091</v>
      </c>
      <c r="B1038" t="s">
        <v>21</v>
      </c>
      <c r="C1038" t="s">
        <v>61</v>
      </c>
      <c r="D1038" t="s">
        <v>62</v>
      </c>
      <c r="E1038" t="str">
        <f t="shared" si="64"/>
        <v>XXL</v>
      </c>
      <c r="F1038" t="s">
        <v>49</v>
      </c>
      <c r="G1038" t="s">
        <v>56</v>
      </c>
      <c r="H1038" s="8">
        <v>115.5</v>
      </c>
      <c r="I1038" s="3">
        <f t="shared" si="65"/>
        <v>0</v>
      </c>
      <c r="J1038" s="4">
        <v>0</v>
      </c>
      <c r="K1038" s="11">
        <f>Table1[[#This Row],[original_price]]* (Table1[[#This Row],[Markdown percentage updated]])</f>
        <v>0</v>
      </c>
      <c r="L10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38" s="6">
        <v>115.5</v>
      </c>
      <c r="N10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38" s="7">
        <v>45875</v>
      </c>
      <c r="P1038">
        <v>36</v>
      </c>
      <c r="Q1038" s="16" t="str">
        <f>IF(Table1[[#This Row],[stock_quantity]]=0,"NO STOCK",
IF(Table1[[#This Row],[stock_quantity]]&lt;=10,"LOW STOCK",
"IN STOCK"))</f>
        <v>IN STOCK</v>
      </c>
      <c r="R1038" s="1">
        <f t="shared" si="66"/>
        <v>0</v>
      </c>
      <c r="T1038" t="b">
        <v>1</v>
      </c>
      <c r="U1038" s="13" t="str">
        <f t="shared" si="67"/>
        <v>Quality Issue</v>
      </c>
      <c r="V1038" t="s">
        <v>83</v>
      </c>
    </row>
    <row r="1039" spans="1:22" hidden="1" x14ac:dyDescent="0.3">
      <c r="A1039" t="s">
        <v>1092</v>
      </c>
      <c r="B1039" t="s">
        <v>27</v>
      </c>
      <c r="C1039" t="s">
        <v>48</v>
      </c>
      <c r="D1039" t="s">
        <v>62</v>
      </c>
      <c r="E1039" t="str">
        <f t="shared" si="64"/>
        <v>XS</v>
      </c>
      <c r="G1039" t="s">
        <v>40</v>
      </c>
      <c r="H1039" s="8">
        <v>68.22</v>
      </c>
      <c r="I1039" s="3">
        <f t="shared" si="65"/>
        <v>8.1000000000000003E-2</v>
      </c>
      <c r="J1039" s="4">
        <v>8.1</v>
      </c>
      <c r="K1039" s="11">
        <f>Table1[[#This Row],[original_price]]* (Table1[[#This Row],[Markdown percentage updated]])</f>
        <v>5.5258200000000004</v>
      </c>
      <c r="L10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39" s="6">
        <v>62.69</v>
      </c>
      <c r="N10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39" s="7">
        <v>45875</v>
      </c>
      <c r="P1039">
        <v>28</v>
      </c>
      <c r="Q1039" s="16" t="str">
        <f>IF(Table1[[#This Row],[stock_quantity]]=0,"NO STOCK",
IF(Table1[[#This Row],[stock_quantity]]&lt;=10,"LOW STOCK",
"IN STOCK"))</f>
        <v>IN STOCK</v>
      </c>
      <c r="R1039" s="1">
        <f t="shared" si="66"/>
        <v>4</v>
      </c>
      <c r="S1039">
        <v>4</v>
      </c>
      <c r="T1039" t="b">
        <v>0</v>
      </c>
      <c r="U1039" t="str">
        <f t="shared" si="67"/>
        <v>No Return</v>
      </c>
    </row>
    <row r="1040" spans="1:22" hidden="1" x14ac:dyDescent="0.3">
      <c r="A1040" t="s">
        <v>1093</v>
      </c>
      <c r="B1040" t="s">
        <v>21</v>
      </c>
      <c r="C1040" t="s">
        <v>43</v>
      </c>
      <c r="D1040" t="s">
        <v>34</v>
      </c>
      <c r="E1040" t="str">
        <f t="shared" si="64"/>
        <v>OS</v>
      </c>
      <c r="F1040" t="s">
        <v>49</v>
      </c>
      <c r="G1040" t="s">
        <v>28</v>
      </c>
      <c r="H1040" s="8">
        <v>91.03</v>
      </c>
      <c r="I1040" s="3">
        <f t="shared" si="65"/>
        <v>0</v>
      </c>
      <c r="J1040" s="4">
        <v>0</v>
      </c>
      <c r="K1040" s="11">
        <f>Table1[[#This Row],[original_price]]* (Table1[[#This Row],[Markdown percentage updated]])</f>
        <v>0</v>
      </c>
      <c r="L10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40" s="6">
        <v>91.03</v>
      </c>
      <c r="N10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40" s="7">
        <v>45875</v>
      </c>
      <c r="P1040">
        <v>20</v>
      </c>
      <c r="Q1040" s="16" t="str">
        <f>IF(Table1[[#This Row],[stock_quantity]]=0,"NO STOCK",
IF(Table1[[#This Row],[stock_quantity]]&lt;=10,"LOW STOCK",
"IN STOCK"))</f>
        <v>IN STOCK</v>
      </c>
      <c r="R1040" s="1">
        <f t="shared" si="66"/>
        <v>2.1</v>
      </c>
      <c r="S1040">
        <v>2.1</v>
      </c>
      <c r="T1040" t="b">
        <v>0</v>
      </c>
      <c r="U1040" t="str">
        <f t="shared" si="67"/>
        <v>No Return</v>
      </c>
    </row>
    <row r="1041" spans="1:22" hidden="1" x14ac:dyDescent="0.3">
      <c r="A1041" t="s">
        <v>1094</v>
      </c>
      <c r="B1041" t="s">
        <v>15</v>
      </c>
      <c r="C1041" t="s">
        <v>75</v>
      </c>
      <c r="D1041" t="s">
        <v>34</v>
      </c>
      <c r="E1041" t="str">
        <f t="shared" si="64"/>
        <v>XL</v>
      </c>
      <c r="F1041" t="s">
        <v>49</v>
      </c>
      <c r="G1041" t="s">
        <v>66</v>
      </c>
      <c r="H1041" s="8">
        <v>100.39</v>
      </c>
      <c r="I1041" s="3">
        <f t="shared" si="65"/>
        <v>0.16500000000000001</v>
      </c>
      <c r="J1041" s="4">
        <v>16.5</v>
      </c>
      <c r="K1041" s="11">
        <f>Table1[[#This Row],[original_price]]* (Table1[[#This Row],[Markdown percentage updated]])</f>
        <v>16.564350000000001</v>
      </c>
      <c r="L10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41" s="6">
        <v>83.83</v>
      </c>
      <c r="N10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041" s="7">
        <v>45875</v>
      </c>
      <c r="P1041">
        <v>17</v>
      </c>
      <c r="Q1041" s="16" t="str">
        <f>IF(Table1[[#This Row],[stock_quantity]]=0,"NO STOCK",
IF(Table1[[#This Row],[stock_quantity]]&lt;=10,"LOW STOCK",
"IN STOCK"))</f>
        <v>IN STOCK</v>
      </c>
      <c r="R1041" s="1">
        <f t="shared" si="66"/>
        <v>4.5999999999999996</v>
      </c>
      <c r="S1041">
        <v>4.5999999999999996</v>
      </c>
      <c r="T1041" t="b">
        <v>0</v>
      </c>
      <c r="U1041" t="str">
        <f t="shared" si="67"/>
        <v>No Return</v>
      </c>
    </row>
    <row r="1042" spans="1:22" hidden="1" x14ac:dyDescent="0.3">
      <c r="A1042" t="s">
        <v>1095</v>
      </c>
      <c r="B1042" t="s">
        <v>21</v>
      </c>
      <c r="C1042" t="s">
        <v>61</v>
      </c>
      <c r="D1042" t="s">
        <v>34</v>
      </c>
      <c r="E1042" t="str">
        <f t="shared" si="64"/>
        <v>OS</v>
      </c>
      <c r="F1042" t="s">
        <v>55</v>
      </c>
      <c r="G1042" t="s">
        <v>64</v>
      </c>
      <c r="H1042" s="8">
        <v>100.03</v>
      </c>
      <c r="I1042" s="3">
        <f t="shared" si="65"/>
        <v>0</v>
      </c>
      <c r="J1042" s="4">
        <v>0</v>
      </c>
      <c r="K1042" s="11">
        <f>Table1[[#This Row],[original_price]]* (Table1[[#This Row],[Markdown percentage updated]])</f>
        <v>0</v>
      </c>
      <c r="L10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42" s="6">
        <v>100.03</v>
      </c>
      <c r="N10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42" s="7">
        <v>45875</v>
      </c>
      <c r="P1042">
        <v>39</v>
      </c>
      <c r="Q1042" s="16" t="str">
        <f>IF(Table1[[#This Row],[stock_quantity]]=0,"NO STOCK",
IF(Table1[[#This Row],[stock_quantity]]&lt;=10,"LOW STOCK",
"IN STOCK"))</f>
        <v>IN STOCK</v>
      </c>
      <c r="R1042" s="1">
        <f t="shared" si="66"/>
        <v>1.2</v>
      </c>
      <c r="S1042">
        <v>1.2</v>
      </c>
      <c r="T1042" t="b">
        <v>0</v>
      </c>
      <c r="U1042" t="str">
        <f t="shared" si="67"/>
        <v>No Return</v>
      </c>
    </row>
    <row r="1043" spans="1:22" hidden="1" x14ac:dyDescent="0.3">
      <c r="A1043" t="s">
        <v>1096</v>
      </c>
      <c r="B1043" t="s">
        <v>27</v>
      </c>
      <c r="C1043" t="s">
        <v>61</v>
      </c>
      <c r="D1043" t="s">
        <v>17</v>
      </c>
      <c r="E1043" t="str">
        <f t="shared" si="64"/>
        <v>S</v>
      </c>
      <c r="G1043" t="s">
        <v>35</v>
      </c>
      <c r="H1043" s="8">
        <v>50.14</v>
      </c>
      <c r="I1043" s="3">
        <f t="shared" si="65"/>
        <v>0.29199999999999998</v>
      </c>
      <c r="J1043" s="4">
        <v>29.2</v>
      </c>
      <c r="K1043" s="11">
        <f>Table1[[#This Row],[original_price]]* (Table1[[#This Row],[Markdown percentage updated]])</f>
        <v>14.640879999999999</v>
      </c>
      <c r="L10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043" s="6">
        <v>35.5</v>
      </c>
      <c r="N10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043" s="7">
        <v>45692</v>
      </c>
      <c r="P1043">
        <v>33</v>
      </c>
      <c r="Q1043" s="16" t="str">
        <f>IF(Table1[[#This Row],[stock_quantity]]=0,"NO STOCK",
IF(Table1[[#This Row],[stock_quantity]]&lt;=10,"LOW STOCK",
"IN STOCK"))</f>
        <v>IN STOCK</v>
      </c>
      <c r="R1043" s="1">
        <f t="shared" si="66"/>
        <v>4.4000000000000004</v>
      </c>
      <c r="S1043">
        <v>4.4000000000000004</v>
      </c>
      <c r="T1043" t="b">
        <v>0</v>
      </c>
      <c r="U1043" t="str">
        <f t="shared" si="67"/>
        <v>No Return</v>
      </c>
    </row>
    <row r="1044" spans="1:22" hidden="1" x14ac:dyDescent="0.3">
      <c r="A1044" t="s">
        <v>1097</v>
      </c>
      <c r="B1044" t="s">
        <v>38</v>
      </c>
      <c r="C1044" t="s">
        <v>16</v>
      </c>
      <c r="D1044" t="s">
        <v>62</v>
      </c>
      <c r="E1044" t="str">
        <f t="shared" si="64"/>
        <v>XS</v>
      </c>
      <c r="F1044" t="s">
        <v>18</v>
      </c>
      <c r="G1044" t="s">
        <v>28</v>
      </c>
      <c r="H1044" s="8">
        <v>33.130000000000003</v>
      </c>
      <c r="I1044" s="3">
        <f t="shared" si="65"/>
        <v>0</v>
      </c>
      <c r="J1044" s="4">
        <v>0</v>
      </c>
      <c r="K1044" s="11">
        <f>Table1[[#This Row],[original_price]]* (Table1[[#This Row],[Markdown percentage updated]])</f>
        <v>0</v>
      </c>
      <c r="L10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44" s="6">
        <v>33.130000000000003</v>
      </c>
      <c r="N10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44" s="7">
        <v>45875</v>
      </c>
      <c r="P1044">
        <v>41</v>
      </c>
      <c r="Q1044" s="16" t="str">
        <f>IF(Table1[[#This Row],[stock_quantity]]=0,"NO STOCK",
IF(Table1[[#This Row],[stock_quantity]]&lt;=10,"LOW STOCK",
"IN STOCK"))</f>
        <v>IN STOCK</v>
      </c>
      <c r="R1044" s="1">
        <f t="shared" si="66"/>
        <v>3.3</v>
      </c>
      <c r="S1044">
        <v>3.3</v>
      </c>
      <c r="T1044" t="b">
        <v>0</v>
      </c>
      <c r="U1044" t="str">
        <f t="shared" si="67"/>
        <v>No Return</v>
      </c>
    </row>
    <row r="1045" spans="1:22" hidden="1" x14ac:dyDescent="0.3">
      <c r="A1045" t="s">
        <v>1098</v>
      </c>
      <c r="B1045" t="s">
        <v>27</v>
      </c>
      <c r="C1045" t="s">
        <v>48</v>
      </c>
      <c r="D1045" t="s">
        <v>17</v>
      </c>
      <c r="E1045" t="str">
        <f t="shared" si="64"/>
        <v>M</v>
      </c>
      <c r="G1045" t="s">
        <v>64</v>
      </c>
      <c r="H1045" s="8">
        <v>67.67</v>
      </c>
      <c r="I1045" s="3">
        <f t="shared" si="65"/>
        <v>0</v>
      </c>
      <c r="J1045" s="4">
        <v>0</v>
      </c>
      <c r="K1045" s="11">
        <f>Table1[[#This Row],[original_price]]* (Table1[[#This Row],[Markdown percentage updated]])</f>
        <v>0</v>
      </c>
      <c r="L10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45" s="6">
        <v>67.67</v>
      </c>
      <c r="N10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45" s="7">
        <v>45560</v>
      </c>
      <c r="P1045">
        <v>7</v>
      </c>
      <c r="Q1045" s="17" t="str">
        <f>IF(Table1[[#This Row],[stock_quantity]]=0,"NO STOCK",
IF(Table1[[#This Row],[stock_quantity]]&lt;=10,"LOW STOCK",
"IN STOCK"))</f>
        <v>LOW STOCK</v>
      </c>
      <c r="R1045" s="1">
        <f t="shared" si="66"/>
        <v>3.3</v>
      </c>
      <c r="S1045">
        <v>3.3</v>
      </c>
      <c r="T1045" t="b">
        <v>0</v>
      </c>
      <c r="U1045" t="str">
        <f t="shared" si="67"/>
        <v>No Return</v>
      </c>
    </row>
    <row r="1046" spans="1:22" hidden="1" x14ac:dyDescent="0.3">
      <c r="A1046" t="s">
        <v>1099</v>
      </c>
      <c r="B1046" t="s">
        <v>38</v>
      </c>
      <c r="C1046" t="s">
        <v>32</v>
      </c>
      <c r="D1046" t="s">
        <v>62</v>
      </c>
      <c r="E1046" t="str">
        <f t="shared" si="64"/>
        <v>XS</v>
      </c>
      <c r="F1046" t="s">
        <v>39</v>
      </c>
      <c r="G1046" t="s">
        <v>28</v>
      </c>
      <c r="H1046" s="8">
        <v>93.94</v>
      </c>
      <c r="I1046" s="3">
        <f t="shared" si="65"/>
        <v>0.56299999999999994</v>
      </c>
      <c r="J1046" s="4">
        <v>56.3</v>
      </c>
      <c r="K1046" s="11">
        <f>Table1[[#This Row],[original_price]]* (Table1[[#This Row],[Markdown percentage updated]])</f>
        <v>52.888219999999997</v>
      </c>
      <c r="L10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46" s="6">
        <v>41.05</v>
      </c>
      <c r="N10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46" s="7">
        <v>45875</v>
      </c>
      <c r="P1046">
        <v>36</v>
      </c>
      <c r="Q1046" s="16" t="str">
        <f>IF(Table1[[#This Row],[stock_quantity]]=0,"NO STOCK",
IF(Table1[[#This Row],[stock_quantity]]&lt;=10,"LOW STOCK",
"IN STOCK"))</f>
        <v>IN STOCK</v>
      </c>
      <c r="R1046" s="1">
        <f t="shared" si="66"/>
        <v>1.1000000000000001</v>
      </c>
      <c r="S1046">
        <v>1.1000000000000001</v>
      </c>
      <c r="T1046" t="b">
        <v>0</v>
      </c>
      <c r="U1046" t="str">
        <f t="shared" si="67"/>
        <v>No Return</v>
      </c>
    </row>
    <row r="1047" spans="1:22" hidden="1" x14ac:dyDescent="0.3">
      <c r="A1047" t="s">
        <v>1100</v>
      </c>
      <c r="B1047" t="s">
        <v>21</v>
      </c>
      <c r="C1047" t="s">
        <v>32</v>
      </c>
      <c r="D1047" t="s">
        <v>34</v>
      </c>
      <c r="E1047" t="str">
        <f t="shared" si="64"/>
        <v>XL</v>
      </c>
      <c r="F1047" t="s">
        <v>55</v>
      </c>
      <c r="G1047" t="s">
        <v>28</v>
      </c>
      <c r="H1047" s="8">
        <v>34.56</v>
      </c>
      <c r="I1047" s="3">
        <f t="shared" si="65"/>
        <v>0.11199999999999999</v>
      </c>
      <c r="J1047" s="4">
        <v>11.2</v>
      </c>
      <c r="K1047" s="11">
        <f>Table1[[#This Row],[original_price]]* (Table1[[#This Row],[Markdown percentage updated]])</f>
        <v>3.8707199999999999</v>
      </c>
      <c r="L10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47" s="6">
        <v>30.69</v>
      </c>
      <c r="N10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47" s="7">
        <v>45875</v>
      </c>
      <c r="P1047">
        <v>46</v>
      </c>
      <c r="Q1047" s="16" t="str">
        <f>IF(Table1[[#This Row],[stock_quantity]]=0,"NO STOCK",
IF(Table1[[#This Row],[stock_quantity]]&lt;=10,"LOW STOCK",
"IN STOCK"))</f>
        <v>IN STOCK</v>
      </c>
      <c r="R1047" s="1">
        <f t="shared" si="66"/>
        <v>3.4</v>
      </c>
      <c r="S1047">
        <v>3.4</v>
      </c>
      <c r="T1047" t="b">
        <v>0</v>
      </c>
      <c r="U1047" t="str">
        <f t="shared" si="67"/>
        <v>No Return</v>
      </c>
    </row>
    <row r="1048" spans="1:22" hidden="1" x14ac:dyDescent="0.3">
      <c r="A1048" t="s">
        <v>1101</v>
      </c>
      <c r="B1048" t="s">
        <v>15</v>
      </c>
      <c r="C1048" t="s">
        <v>53</v>
      </c>
      <c r="D1048" t="s">
        <v>62</v>
      </c>
      <c r="E1048" t="str">
        <f t="shared" si="64"/>
        <v>XL</v>
      </c>
      <c r="F1048" t="s">
        <v>58</v>
      </c>
      <c r="G1048" t="s">
        <v>28</v>
      </c>
      <c r="H1048" s="8">
        <v>235.33</v>
      </c>
      <c r="I1048" s="3">
        <f t="shared" si="65"/>
        <v>0</v>
      </c>
      <c r="J1048" s="4">
        <v>0</v>
      </c>
      <c r="K1048" s="11">
        <f>Table1[[#This Row],[original_price]]* (Table1[[#This Row],[Markdown percentage updated]])</f>
        <v>0</v>
      </c>
      <c r="L10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48" s="6">
        <v>235.33</v>
      </c>
      <c r="N10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48" s="7">
        <v>45875</v>
      </c>
      <c r="P1048">
        <v>11</v>
      </c>
      <c r="Q1048" s="16" t="str">
        <f>IF(Table1[[#This Row],[stock_quantity]]=0,"NO STOCK",
IF(Table1[[#This Row],[stock_quantity]]&lt;=10,"LOW STOCK",
"IN STOCK"))</f>
        <v>IN STOCK</v>
      </c>
      <c r="R1048" s="1">
        <f t="shared" si="66"/>
        <v>4.7</v>
      </c>
      <c r="S1048">
        <v>4.7</v>
      </c>
      <c r="T1048" t="b">
        <v>1</v>
      </c>
      <c r="U1048" s="13" t="str">
        <f t="shared" si="67"/>
        <v>Size Issue</v>
      </c>
      <c r="V1048" t="s">
        <v>73</v>
      </c>
    </row>
    <row r="1049" spans="1:22" hidden="1" x14ac:dyDescent="0.3">
      <c r="A1049" t="s">
        <v>1102</v>
      </c>
      <c r="B1049" t="s">
        <v>21</v>
      </c>
      <c r="C1049" t="s">
        <v>22</v>
      </c>
      <c r="D1049" t="s">
        <v>17</v>
      </c>
      <c r="E1049" t="str">
        <f t="shared" si="64"/>
        <v>S</v>
      </c>
      <c r="F1049" t="s">
        <v>55</v>
      </c>
      <c r="G1049" t="s">
        <v>19</v>
      </c>
      <c r="H1049" s="8">
        <v>25.45</v>
      </c>
      <c r="I1049" s="3">
        <f t="shared" si="65"/>
        <v>0</v>
      </c>
      <c r="J1049" s="4">
        <v>0</v>
      </c>
      <c r="K1049" s="11">
        <f>Table1[[#This Row],[original_price]]* (Table1[[#This Row],[Markdown percentage updated]])</f>
        <v>0</v>
      </c>
      <c r="L10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49" s="6">
        <v>25.45</v>
      </c>
      <c r="N10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49" s="7">
        <v>45514</v>
      </c>
      <c r="P1049">
        <v>29</v>
      </c>
      <c r="Q1049" s="16" t="str">
        <f>IF(Table1[[#This Row],[stock_quantity]]=0,"NO STOCK",
IF(Table1[[#This Row],[stock_quantity]]&lt;=10,"LOW STOCK",
"IN STOCK"))</f>
        <v>IN STOCK</v>
      </c>
      <c r="R1049" s="1">
        <f t="shared" si="66"/>
        <v>3.7</v>
      </c>
      <c r="S1049">
        <v>3.7</v>
      </c>
      <c r="T1049" t="b">
        <v>0</v>
      </c>
      <c r="U1049" t="str">
        <f t="shared" si="67"/>
        <v>No Return</v>
      </c>
    </row>
    <row r="1050" spans="1:22" hidden="1" x14ac:dyDescent="0.3">
      <c r="A1050" t="s">
        <v>1103</v>
      </c>
      <c r="B1050" t="s">
        <v>21</v>
      </c>
      <c r="C1050" t="s">
        <v>61</v>
      </c>
      <c r="D1050" t="s">
        <v>23</v>
      </c>
      <c r="E1050" t="str">
        <f t="shared" si="64"/>
        <v>XS</v>
      </c>
      <c r="F1050" t="s">
        <v>18</v>
      </c>
      <c r="G1050" t="s">
        <v>40</v>
      </c>
      <c r="H1050" s="8">
        <v>71.44</v>
      </c>
      <c r="I1050" s="3">
        <f t="shared" si="65"/>
        <v>0</v>
      </c>
      <c r="J1050" s="4">
        <v>0</v>
      </c>
      <c r="K1050" s="11">
        <f>Table1[[#This Row],[original_price]]* (Table1[[#This Row],[Markdown percentage updated]])</f>
        <v>0</v>
      </c>
      <c r="L10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50" s="6">
        <v>71.44</v>
      </c>
      <c r="N10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50" s="7">
        <v>45875</v>
      </c>
      <c r="P1050">
        <v>18</v>
      </c>
      <c r="Q1050" s="16" t="str">
        <f>IF(Table1[[#This Row],[stock_quantity]]=0,"NO STOCK",
IF(Table1[[#This Row],[stock_quantity]]&lt;=10,"LOW STOCK",
"IN STOCK"))</f>
        <v>IN STOCK</v>
      </c>
      <c r="R1050" s="1">
        <f t="shared" si="66"/>
        <v>4.3</v>
      </c>
      <c r="S1050">
        <v>4.3</v>
      </c>
      <c r="T1050" t="b">
        <v>0</v>
      </c>
      <c r="U1050" t="str">
        <f t="shared" si="67"/>
        <v>No Return</v>
      </c>
    </row>
    <row r="1051" spans="1:22" hidden="1" x14ac:dyDescent="0.3">
      <c r="A1051" t="s">
        <v>1104</v>
      </c>
      <c r="B1051" t="s">
        <v>42</v>
      </c>
      <c r="C1051" t="s">
        <v>32</v>
      </c>
      <c r="D1051" t="s">
        <v>62</v>
      </c>
      <c r="E1051" t="str">
        <f t="shared" si="64"/>
        <v>L</v>
      </c>
      <c r="F1051" t="s">
        <v>18</v>
      </c>
      <c r="G1051" t="s">
        <v>35</v>
      </c>
      <c r="H1051" s="8">
        <v>98.33</v>
      </c>
      <c r="I1051" s="3">
        <f t="shared" si="65"/>
        <v>0</v>
      </c>
      <c r="J1051" s="4">
        <v>0</v>
      </c>
      <c r="K1051" s="11">
        <f>Table1[[#This Row],[original_price]]* (Table1[[#This Row],[Markdown percentage updated]])</f>
        <v>0</v>
      </c>
      <c r="L10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51" s="6">
        <v>98.33</v>
      </c>
      <c r="N10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51" s="7">
        <v>45875</v>
      </c>
      <c r="P1051">
        <v>46</v>
      </c>
      <c r="Q1051" s="16" t="str">
        <f>IF(Table1[[#This Row],[stock_quantity]]=0,"NO STOCK",
IF(Table1[[#This Row],[stock_quantity]]&lt;=10,"LOW STOCK",
"IN STOCK"))</f>
        <v>IN STOCK</v>
      </c>
      <c r="R1051" s="1">
        <f t="shared" si="66"/>
        <v>3.7</v>
      </c>
      <c r="S1051">
        <v>3.7</v>
      </c>
      <c r="T1051" t="b">
        <v>0</v>
      </c>
      <c r="U1051" t="str">
        <f t="shared" si="67"/>
        <v>No Return</v>
      </c>
    </row>
    <row r="1052" spans="1:22" hidden="1" x14ac:dyDescent="0.3">
      <c r="A1052" t="s">
        <v>1105</v>
      </c>
      <c r="B1052" t="s">
        <v>42</v>
      </c>
      <c r="C1052" t="s">
        <v>75</v>
      </c>
      <c r="D1052" t="s">
        <v>17</v>
      </c>
      <c r="E1052" t="str">
        <f t="shared" si="64"/>
        <v>M</v>
      </c>
      <c r="F1052" t="s">
        <v>39</v>
      </c>
      <c r="G1052" t="s">
        <v>44</v>
      </c>
      <c r="H1052" s="8">
        <v>171.1</v>
      </c>
      <c r="I1052" s="3">
        <f t="shared" si="65"/>
        <v>0</v>
      </c>
      <c r="J1052" s="4">
        <v>0</v>
      </c>
      <c r="K1052" s="11">
        <f>Table1[[#This Row],[original_price]]* (Table1[[#This Row],[Markdown percentage updated]])</f>
        <v>0</v>
      </c>
      <c r="L10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52" s="6">
        <v>171.1</v>
      </c>
      <c r="N10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52" s="7">
        <v>45861</v>
      </c>
      <c r="P1052">
        <v>34</v>
      </c>
      <c r="Q1052" s="16" t="str">
        <f>IF(Table1[[#This Row],[stock_quantity]]=0,"NO STOCK",
IF(Table1[[#This Row],[stock_quantity]]&lt;=10,"LOW STOCK",
"IN STOCK"))</f>
        <v>IN STOCK</v>
      </c>
      <c r="R1052" s="1">
        <f t="shared" si="66"/>
        <v>0</v>
      </c>
      <c r="T1052" t="b">
        <v>0</v>
      </c>
      <c r="U1052" t="str">
        <f t="shared" si="67"/>
        <v>No Return</v>
      </c>
    </row>
    <row r="1053" spans="1:22" hidden="1" x14ac:dyDescent="0.3">
      <c r="A1053" t="s">
        <v>1106</v>
      </c>
      <c r="B1053" t="s">
        <v>42</v>
      </c>
      <c r="C1053" t="s">
        <v>75</v>
      </c>
      <c r="D1053" t="s">
        <v>23</v>
      </c>
      <c r="E1053" t="str">
        <f t="shared" si="64"/>
        <v>M</v>
      </c>
      <c r="F1053" t="s">
        <v>55</v>
      </c>
      <c r="G1053" t="s">
        <v>35</v>
      </c>
      <c r="H1053" s="8">
        <v>155.57</v>
      </c>
      <c r="I1053" s="3">
        <f t="shared" si="65"/>
        <v>0</v>
      </c>
      <c r="J1053" s="4">
        <v>0</v>
      </c>
      <c r="K1053" s="11">
        <f>Table1[[#This Row],[original_price]]* (Table1[[#This Row],[Markdown percentage updated]])</f>
        <v>0</v>
      </c>
      <c r="L10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53" s="6">
        <v>155.57</v>
      </c>
      <c r="N10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53" s="7">
        <v>45875</v>
      </c>
      <c r="P1053">
        <v>48</v>
      </c>
      <c r="Q1053" s="16" t="str">
        <f>IF(Table1[[#This Row],[stock_quantity]]=0,"NO STOCK",
IF(Table1[[#This Row],[stock_quantity]]&lt;=10,"LOW STOCK",
"IN STOCK"))</f>
        <v>IN STOCK</v>
      </c>
      <c r="R1053" s="1">
        <f t="shared" si="66"/>
        <v>3.8</v>
      </c>
      <c r="S1053">
        <v>3.8</v>
      </c>
      <c r="T1053" t="b">
        <v>0</v>
      </c>
      <c r="U1053" t="str">
        <f t="shared" si="67"/>
        <v>No Return</v>
      </c>
    </row>
    <row r="1054" spans="1:22" hidden="1" x14ac:dyDescent="0.3">
      <c r="A1054" t="s">
        <v>1107</v>
      </c>
      <c r="B1054" t="s">
        <v>15</v>
      </c>
      <c r="C1054" t="s">
        <v>43</v>
      </c>
      <c r="D1054" t="s">
        <v>34</v>
      </c>
      <c r="E1054" t="str">
        <f t="shared" si="64"/>
        <v>XXL</v>
      </c>
      <c r="F1054" t="s">
        <v>24</v>
      </c>
      <c r="G1054" t="s">
        <v>46</v>
      </c>
      <c r="H1054" s="8">
        <v>198.44</v>
      </c>
      <c r="I1054" s="3">
        <f t="shared" si="65"/>
        <v>0</v>
      </c>
      <c r="J1054" s="4">
        <v>0</v>
      </c>
      <c r="K1054" s="11">
        <f>Table1[[#This Row],[original_price]]* (Table1[[#This Row],[Markdown percentage updated]])</f>
        <v>0</v>
      </c>
      <c r="L10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54" s="6">
        <v>198.44</v>
      </c>
      <c r="N10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54" s="7">
        <v>45875</v>
      </c>
      <c r="P1054">
        <v>40</v>
      </c>
      <c r="Q1054" s="16" t="str">
        <f>IF(Table1[[#This Row],[stock_quantity]]=0,"NO STOCK",
IF(Table1[[#This Row],[stock_quantity]]&lt;=10,"LOW STOCK",
"IN STOCK"))</f>
        <v>IN STOCK</v>
      </c>
      <c r="R1054" s="1">
        <f t="shared" si="66"/>
        <v>2.2000000000000002</v>
      </c>
      <c r="S1054">
        <v>2.2000000000000002</v>
      </c>
      <c r="T1054" t="b">
        <v>0</v>
      </c>
      <c r="U1054" t="str">
        <f t="shared" si="67"/>
        <v>No Return</v>
      </c>
    </row>
    <row r="1055" spans="1:22" hidden="1" x14ac:dyDescent="0.3">
      <c r="A1055" t="s">
        <v>1108</v>
      </c>
      <c r="B1055" t="s">
        <v>30</v>
      </c>
      <c r="C1055" t="s">
        <v>53</v>
      </c>
      <c r="D1055" t="s">
        <v>17</v>
      </c>
      <c r="E1055" t="str">
        <f t="shared" si="64"/>
        <v>XXL</v>
      </c>
      <c r="F1055" t="s">
        <v>58</v>
      </c>
      <c r="G1055" t="s">
        <v>28</v>
      </c>
      <c r="H1055" s="8">
        <v>175.85</v>
      </c>
      <c r="I1055" s="3">
        <f t="shared" si="65"/>
        <v>0.18100000000000002</v>
      </c>
      <c r="J1055" s="4">
        <v>18.100000000000001</v>
      </c>
      <c r="K1055" s="11">
        <f>Table1[[#This Row],[original_price]]* (Table1[[#This Row],[Markdown percentage updated]])</f>
        <v>31.828850000000003</v>
      </c>
      <c r="L10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55" s="6">
        <v>144.02000000000001</v>
      </c>
      <c r="N10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55" s="7">
        <v>45686</v>
      </c>
      <c r="P1055">
        <v>4</v>
      </c>
      <c r="Q1055" s="17" t="str">
        <f>IF(Table1[[#This Row],[stock_quantity]]=0,"NO STOCK",
IF(Table1[[#This Row],[stock_quantity]]&lt;=10,"LOW STOCK",
"IN STOCK"))</f>
        <v>LOW STOCK</v>
      </c>
      <c r="R1055" s="1">
        <f t="shared" si="66"/>
        <v>4</v>
      </c>
      <c r="S1055">
        <v>4</v>
      </c>
      <c r="T1055" t="b">
        <v>0</v>
      </c>
      <c r="U1055" t="str">
        <f t="shared" si="67"/>
        <v>No Return</v>
      </c>
    </row>
    <row r="1056" spans="1:22" hidden="1" x14ac:dyDescent="0.3">
      <c r="A1056" t="s">
        <v>1109</v>
      </c>
      <c r="B1056" t="s">
        <v>15</v>
      </c>
      <c r="C1056" t="s">
        <v>75</v>
      </c>
      <c r="D1056" t="s">
        <v>62</v>
      </c>
      <c r="E1056" t="str">
        <f t="shared" si="64"/>
        <v>OS</v>
      </c>
      <c r="F1056" t="s">
        <v>58</v>
      </c>
      <c r="G1056" t="s">
        <v>25</v>
      </c>
      <c r="H1056" s="8">
        <v>100.23</v>
      </c>
      <c r="I1056" s="3">
        <f t="shared" si="65"/>
        <v>0</v>
      </c>
      <c r="J1056" s="4">
        <v>0</v>
      </c>
      <c r="K1056" s="11">
        <f>Table1[[#This Row],[original_price]]* (Table1[[#This Row],[Markdown percentage updated]])</f>
        <v>0</v>
      </c>
      <c r="L10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56" s="6">
        <v>100.23</v>
      </c>
      <c r="N10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56" s="7">
        <v>45875</v>
      </c>
      <c r="P1056">
        <v>12</v>
      </c>
      <c r="Q1056" s="16" t="str">
        <f>IF(Table1[[#This Row],[stock_quantity]]=0,"NO STOCK",
IF(Table1[[#This Row],[stock_quantity]]&lt;=10,"LOW STOCK",
"IN STOCK"))</f>
        <v>IN STOCK</v>
      </c>
      <c r="R1056" s="1">
        <f t="shared" si="66"/>
        <v>3.5</v>
      </c>
      <c r="S1056">
        <v>3.5</v>
      </c>
      <c r="T1056" t="b">
        <v>0</v>
      </c>
      <c r="U1056" t="str">
        <f t="shared" si="67"/>
        <v>No Return</v>
      </c>
    </row>
    <row r="1057" spans="1:22" hidden="1" x14ac:dyDescent="0.3">
      <c r="A1057" t="s">
        <v>1110</v>
      </c>
      <c r="B1057" t="s">
        <v>15</v>
      </c>
      <c r="C1057" t="s">
        <v>16</v>
      </c>
      <c r="D1057" t="s">
        <v>23</v>
      </c>
      <c r="E1057" t="str">
        <f t="shared" si="64"/>
        <v>OS</v>
      </c>
      <c r="F1057" t="s">
        <v>49</v>
      </c>
      <c r="G1057" t="s">
        <v>56</v>
      </c>
      <c r="H1057" s="8">
        <v>88.94</v>
      </c>
      <c r="I1057" s="3">
        <f t="shared" si="65"/>
        <v>0</v>
      </c>
      <c r="J1057" s="4">
        <v>0</v>
      </c>
      <c r="K1057" s="11">
        <f>Table1[[#This Row],[original_price]]* (Table1[[#This Row],[Markdown percentage updated]])</f>
        <v>0</v>
      </c>
      <c r="L10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57" s="6">
        <v>88.94</v>
      </c>
      <c r="N10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57" s="7">
        <v>45875</v>
      </c>
      <c r="P1057">
        <v>36</v>
      </c>
      <c r="Q1057" s="16" t="str">
        <f>IF(Table1[[#This Row],[stock_quantity]]=0,"NO STOCK",
IF(Table1[[#This Row],[stock_quantity]]&lt;=10,"LOW STOCK",
"IN STOCK"))</f>
        <v>IN STOCK</v>
      </c>
      <c r="R1057" s="1">
        <f t="shared" si="66"/>
        <v>0</v>
      </c>
      <c r="T1057" t="b">
        <v>0</v>
      </c>
      <c r="U1057" t="str">
        <f t="shared" si="67"/>
        <v>No Return</v>
      </c>
    </row>
    <row r="1058" spans="1:22" hidden="1" x14ac:dyDescent="0.3">
      <c r="A1058" t="s">
        <v>1111</v>
      </c>
      <c r="B1058" t="s">
        <v>15</v>
      </c>
      <c r="C1058" t="s">
        <v>48</v>
      </c>
      <c r="D1058" t="s">
        <v>34</v>
      </c>
      <c r="E1058" t="str">
        <f t="shared" si="64"/>
        <v>L</v>
      </c>
      <c r="F1058" t="s">
        <v>49</v>
      </c>
      <c r="G1058" t="s">
        <v>64</v>
      </c>
      <c r="H1058" s="8">
        <v>205.91</v>
      </c>
      <c r="I1058" s="3">
        <f t="shared" si="65"/>
        <v>0</v>
      </c>
      <c r="J1058" s="4">
        <v>0</v>
      </c>
      <c r="K1058" s="11">
        <f>Table1[[#This Row],[original_price]]* (Table1[[#This Row],[Markdown percentage updated]])</f>
        <v>0</v>
      </c>
      <c r="L10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58" s="6">
        <v>205.91</v>
      </c>
      <c r="N10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58" s="7">
        <v>45875</v>
      </c>
      <c r="P1058">
        <v>3</v>
      </c>
      <c r="Q1058" s="17" t="str">
        <f>IF(Table1[[#This Row],[stock_quantity]]=0,"NO STOCK",
IF(Table1[[#This Row],[stock_quantity]]&lt;=10,"LOW STOCK",
"IN STOCK"))</f>
        <v>LOW STOCK</v>
      </c>
      <c r="R1058" s="1">
        <f t="shared" si="66"/>
        <v>4.8</v>
      </c>
      <c r="S1058">
        <v>4.8</v>
      </c>
      <c r="T1058" t="b">
        <v>0</v>
      </c>
      <c r="U1058" t="str">
        <f t="shared" si="67"/>
        <v>No Return</v>
      </c>
    </row>
    <row r="1059" spans="1:22" hidden="1" x14ac:dyDescent="0.3">
      <c r="A1059" t="s">
        <v>1112</v>
      </c>
      <c r="B1059" t="s">
        <v>27</v>
      </c>
      <c r="C1059" t="s">
        <v>22</v>
      </c>
      <c r="D1059" t="s">
        <v>34</v>
      </c>
      <c r="E1059" t="str">
        <f t="shared" si="64"/>
        <v>XS</v>
      </c>
      <c r="G1059" t="s">
        <v>25</v>
      </c>
      <c r="H1059" s="8">
        <v>29.06</v>
      </c>
      <c r="I1059" s="3">
        <f t="shared" si="65"/>
        <v>1.1000000000000001E-2</v>
      </c>
      <c r="J1059" s="4">
        <v>1.1000000000000001</v>
      </c>
      <c r="K1059" s="11">
        <f>Table1[[#This Row],[original_price]]* (Table1[[#This Row],[Markdown percentage updated]])</f>
        <v>0.31966</v>
      </c>
      <c r="L10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59" s="6">
        <v>28.74</v>
      </c>
      <c r="N10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59" s="7">
        <v>45875</v>
      </c>
      <c r="P1059">
        <v>12</v>
      </c>
      <c r="Q1059" s="16" t="str">
        <f>IF(Table1[[#This Row],[stock_quantity]]=0,"NO STOCK",
IF(Table1[[#This Row],[stock_quantity]]&lt;=10,"LOW STOCK",
"IN STOCK"))</f>
        <v>IN STOCK</v>
      </c>
      <c r="R1059" s="1">
        <f t="shared" si="66"/>
        <v>1.1000000000000001</v>
      </c>
      <c r="S1059">
        <v>1.1000000000000001</v>
      </c>
      <c r="T1059" t="b">
        <v>1</v>
      </c>
      <c r="U1059" s="13" t="str">
        <f t="shared" si="67"/>
        <v>Color Mismatch</v>
      </c>
      <c r="V1059" t="s">
        <v>36</v>
      </c>
    </row>
    <row r="1060" spans="1:22" hidden="1" x14ac:dyDescent="0.3">
      <c r="A1060" t="s">
        <v>1113</v>
      </c>
      <c r="B1060" t="s">
        <v>27</v>
      </c>
      <c r="C1060" t="s">
        <v>61</v>
      </c>
      <c r="D1060" t="s">
        <v>62</v>
      </c>
      <c r="E1060" t="str">
        <f t="shared" si="64"/>
        <v>S</v>
      </c>
      <c r="G1060" t="s">
        <v>70</v>
      </c>
      <c r="H1060" s="8">
        <v>68.56</v>
      </c>
      <c r="I1060" s="3">
        <f t="shared" si="65"/>
        <v>0</v>
      </c>
      <c r="J1060" s="4">
        <v>0</v>
      </c>
      <c r="K1060" s="11">
        <f>Table1[[#This Row],[original_price]]* (Table1[[#This Row],[Markdown percentage updated]])</f>
        <v>0</v>
      </c>
      <c r="L10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60" s="6">
        <v>68.56</v>
      </c>
      <c r="N10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60" s="7">
        <v>45875</v>
      </c>
      <c r="P1060">
        <v>2</v>
      </c>
      <c r="Q1060" s="17" t="str">
        <f>IF(Table1[[#This Row],[stock_quantity]]=0,"NO STOCK",
IF(Table1[[#This Row],[stock_quantity]]&lt;=10,"LOW STOCK",
"IN STOCK"))</f>
        <v>LOW STOCK</v>
      </c>
      <c r="R1060" s="1">
        <f t="shared" si="66"/>
        <v>2.4</v>
      </c>
      <c r="S1060">
        <v>2.4</v>
      </c>
      <c r="T1060" t="b">
        <v>0</v>
      </c>
      <c r="U1060" t="str">
        <f t="shared" si="67"/>
        <v>No Return</v>
      </c>
    </row>
    <row r="1061" spans="1:22" hidden="1" x14ac:dyDescent="0.3">
      <c r="A1061" t="s">
        <v>1114</v>
      </c>
      <c r="B1061" t="s">
        <v>21</v>
      </c>
      <c r="C1061" t="s">
        <v>75</v>
      </c>
      <c r="D1061" t="s">
        <v>62</v>
      </c>
      <c r="E1061" t="str">
        <f t="shared" si="64"/>
        <v>XS</v>
      </c>
      <c r="F1061" t="s">
        <v>24</v>
      </c>
      <c r="G1061" t="s">
        <v>66</v>
      </c>
      <c r="H1061" s="8">
        <v>91.6</v>
      </c>
      <c r="I1061" s="3">
        <f t="shared" si="65"/>
        <v>0.59499999999999997</v>
      </c>
      <c r="J1061" s="4">
        <v>59.5</v>
      </c>
      <c r="K1061" s="11">
        <f>Table1[[#This Row],[original_price]]* (Table1[[#This Row],[Markdown percentage updated]])</f>
        <v>54.501999999999995</v>
      </c>
      <c r="L10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61" s="6">
        <v>37.1</v>
      </c>
      <c r="N10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61" s="7">
        <v>45875</v>
      </c>
      <c r="P1061">
        <v>2</v>
      </c>
      <c r="Q1061" s="17" t="str">
        <f>IF(Table1[[#This Row],[stock_quantity]]=0,"NO STOCK",
IF(Table1[[#This Row],[stock_quantity]]&lt;=10,"LOW STOCK",
"IN STOCK"))</f>
        <v>LOW STOCK</v>
      </c>
      <c r="R1061" s="1">
        <f t="shared" si="66"/>
        <v>4.3</v>
      </c>
      <c r="S1061">
        <v>4.3</v>
      </c>
      <c r="T1061" t="b">
        <v>0</v>
      </c>
      <c r="U1061" t="str">
        <f t="shared" si="67"/>
        <v>No Return</v>
      </c>
    </row>
    <row r="1062" spans="1:22" hidden="1" x14ac:dyDescent="0.3">
      <c r="A1062" t="s">
        <v>1115</v>
      </c>
      <c r="B1062" t="s">
        <v>42</v>
      </c>
      <c r="C1062" t="s">
        <v>48</v>
      </c>
      <c r="D1062" t="s">
        <v>62</v>
      </c>
      <c r="E1062" t="str">
        <f t="shared" si="64"/>
        <v>XL</v>
      </c>
      <c r="F1062" t="s">
        <v>55</v>
      </c>
      <c r="G1062" t="s">
        <v>28</v>
      </c>
      <c r="H1062" s="8">
        <v>96.57</v>
      </c>
      <c r="I1062" s="3">
        <f t="shared" si="65"/>
        <v>0</v>
      </c>
      <c r="J1062" s="4">
        <v>0</v>
      </c>
      <c r="K1062" s="11">
        <f>Table1[[#This Row],[original_price]]* (Table1[[#This Row],[Markdown percentage updated]])</f>
        <v>0</v>
      </c>
      <c r="L10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62" s="6">
        <v>96.57</v>
      </c>
      <c r="N10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62" s="7">
        <v>45875</v>
      </c>
      <c r="P1062">
        <v>6</v>
      </c>
      <c r="Q1062" s="17" t="str">
        <f>IF(Table1[[#This Row],[stock_quantity]]=0,"NO STOCK",
IF(Table1[[#This Row],[stock_quantity]]&lt;=10,"LOW STOCK",
"IN STOCK"))</f>
        <v>LOW STOCK</v>
      </c>
      <c r="R1062" s="1">
        <f t="shared" si="66"/>
        <v>1.9</v>
      </c>
      <c r="S1062">
        <v>1.9</v>
      </c>
      <c r="T1062" t="b">
        <v>0</v>
      </c>
      <c r="U1062" t="str">
        <f t="shared" si="67"/>
        <v>No Return</v>
      </c>
    </row>
    <row r="1063" spans="1:22" hidden="1" x14ac:dyDescent="0.3">
      <c r="A1063" t="s">
        <v>1116</v>
      </c>
      <c r="B1063" t="s">
        <v>38</v>
      </c>
      <c r="C1063" t="s">
        <v>48</v>
      </c>
      <c r="D1063" t="s">
        <v>23</v>
      </c>
      <c r="E1063" t="str">
        <f t="shared" si="64"/>
        <v>M</v>
      </c>
      <c r="F1063" t="s">
        <v>39</v>
      </c>
      <c r="G1063" t="s">
        <v>25</v>
      </c>
      <c r="H1063" s="8">
        <v>35.630000000000003</v>
      </c>
      <c r="I1063" s="3">
        <f t="shared" si="65"/>
        <v>0.57899999999999996</v>
      </c>
      <c r="J1063" s="4">
        <v>57.9</v>
      </c>
      <c r="K1063" s="11">
        <f>Table1[[#This Row],[original_price]]* (Table1[[#This Row],[Markdown percentage updated]])</f>
        <v>20.629770000000001</v>
      </c>
      <c r="L10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63" s="6">
        <v>15</v>
      </c>
      <c r="N10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63" s="7">
        <v>45875</v>
      </c>
      <c r="P1063">
        <v>11</v>
      </c>
      <c r="Q1063" s="16" t="str">
        <f>IF(Table1[[#This Row],[stock_quantity]]=0,"NO STOCK",
IF(Table1[[#This Row],[stock_quantity]]&lt;=10,"LOW STOCK",
"IN STOCK"))</f>
        <v>IN STOCK</v>
      </c>
      <c r="R1063" s="1">
        <f t="shared" si="66"/>
        <v>1.8</v>
      </c>
      <c r="S1063">
        <v>1.8</v>
      </c>
      <c r="T1063" t="b">
        <v>0</v>
      </c>
      <c r="U1063" t="str">
        <f t="shared" si="67"/>
        <v>No Return</v>
      </c>
    </row>
    <row r="1064" spans="1:22" hidden="1" x14ac:dyDescent="0.3">
      <c r="A1064" t="s">
        <v>1117</v>
      </c>
      <c r="B1064" t="s">
        <v>30</v>
      </c>
      <c r="C1064" t="s">
        <v>22</v>
      </c>
      <c r="D1064" t="s">
        <v>23</v>
      </c>
      <c r="E1064" t="str">
        <f t="shared" si="64"/>
        <v>L</v>
      </c>
      <c r="F1064" t="s">
        <v>55</v>
      </c>
      <c r="G1064" t="s">
        <v>46</v>
      </c>
      <c r="H1064" s="8">
        <v>118.98</v>
      </c>
      <c r="I1064" s="3">
        <f t="shared" si="65"/>
        <v>0.38100000000000001</v>
      </c>
      <c r="J1064" s="4">
        <v>38.1</v>
      </c>
      <c r="K1064" s="11">
        <f>Table1[[#This Row],[original_price]]* (Table1[[#This Row],[Markdown percentage updated]])</f>
        <v>45.331380000000003</v>
      </c>
      <c r="L10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64" s="6">
        <v>73.650000000000006</v>
      </c>
      <c r="N10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64" s="7">
        <v>45875</v>
      </c>
      <c r="P1064">
        <v>36</v>
      </c>
      <c r="Q1064" s="16" t="str">
        <f>IF(Table1[[#This Row],[stock_quantity]]=0,"NO STOCK",
IF(Table1[[#This Row],[stock_quantity]]&lt;=10,"LOW STOCK",
"IN STOCK"))</f>
        <v>IN STOCK</v>
      </c>
      <c r="R1064" s="1">
        <f t="shared" si="66"/>
        <v>1.1000000000000001</v>
      </c>
      <c r="S1064">
        <v>1.1000000000000001</v>
      </c>
      <c r="T1064" t="b">
        <v>1</v>
      </c>
      <c r="U1064" s="13" t="str">
        <f t="shared" si="67"/>
        <v>Color Mismatch</v>
      </c>
      <c r="V1064" t="s">
        <v>36</v>
      </c>
    </row>
    <row r="1065" spans="1:22" hidden="1" x14ac:dyDescent="0.3">
      <c r="A1065" t="s">
        <v>1118</v>
      </c>
      <c r="B1065" t="s">
        <v>30</v>
      </c>
      <c r="C1065" t="s">
        <v>48</v>
      </c>
      <c r="D1065" t="s">
        <v>17</v>
      </c>
      <c r="E1065" t="str">
        <f t="shared" si="64"/>
        <v>S</v>
      </c>
      <c r="F1065" t="s">
        <v>18</v>
      </c>
      <c r="G1065" t="s">
        <v>19</v>
      </c>
      <c r="H1065" s="8">
        <v>62.62</v>
      </c>
      <c r="I1065" s="3">
        <f t="shared" si="65"/>
        <v>0.10099999999999999</v>
      </c>
      <c r="J1065" s="4">
        <v>10.1</v>
      </c>
      <c r="K1065" s="11">
        <f>Table1[[#This Row],[original_price]]* (Table1[[#This Row],[Markdown percentage updated]])</f>
        <v>6.3246199999999995</v>
      </c>
      <c r="L10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65" s="6">
        <v>56.3</v>
      </c>
      <c r="N10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65" s="7">
        <v>45762</v>
      </c>
      <c r="P1065">
        <v>32</v>
      </c>
      <c r="Q1065" s="16" t="str">
        <f>IF(Table1[[#This Row],[stock_quantity]]=0,"NO STOCK",
IF(Table1[[#This Row],[stock_quantity]]&lt;=10,"LOW STOCK",
"IN STOCK"))</f>
        <v>IN STOCK</v>
      </c>
      <c r="R1065" s="1">
        <f t="shared" si="66"/>
        <v>2.9</v>
      </c>
      <c r="S1065">
        <v>2.9</v>
      </c>
      <c r="T1065" t="b">
        <v>0</v>
      </c>
      <c r="U1065" t="str">
        <f t="shared" si="67"/>
        <v>No Return</v>
      </c>
    </row>
    <row r="1066" spans="1:22" hidden="1" x14ac:dyDescent="0.3">
      <c r="A1066" t="s">
        <v>1119</v>
      </c>
      <c r="B1066" t="s">
        <v>30</v>
      </c>
      <c r="C1066" t="s">
        <v>75</v>
      </c>
      <c r="D1066" t="s">
        <v>62</v>
      </c>
      <c r="E1066" t="str">
        <f t="shared" si="64"/>
        <v>XL</v>
      </c>
      <c r="F1066" t="s">
        <v>58</v>
      </c>
      <c r="G1066" t="s">
        <v>70</v>
      </c>
      <c r="H1066" s="8">
        <v>153.34</v>
      </c>
      <c r="I1066" s="3">
        <f t="shared" si="65"/>
        <v>0.55500000000000005</v>
      </c>
      <c r="J1066" s="4">
        <v>55.5</v>
      </c>
      <c r="K1066" s="11">
        <f>Table1[[#This Row],[original_price]]* (Table1[[#This Row],[Markdown percentage updated]])</f>
        <v>85.103700000000003</v>
      </c>
      <c r="L10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66" s="6">
        <v>68.239999999999995</v>
      </c>
      <c r="N10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66" s="7">
        <v>45875</v>
      </c>
      <c r="P1066">
        <v>46</v>
      </c>
      <c r="Q1066" s="16" t="str">
        <f>IF(Table1[[#This Row],[stock_quantity]]=0,"NO STOCK",
IF(Table1[[#This Row],[stock_quantity]]&lt;=10,"LOW STOCK",
"IN STOCK"))</f>
        <v>IN STOCK</v>
      </c>
      <c r="R1066" s="1">
        <f t="shared" si="66"/>
        <v>4.2</v>
      </c>
      <c r="S1066">
        <v>4.2</v>
      </c>
      <c r="T1066" t="b">
        <v>1</v>
      </c>
      <c r="U1066" s="13" t="str">
        <f t="shared" si="67"/>
        <v>Wrong Item</v>
      </c>
      <c r="V1066" t="s">
        <v>125</v>
      </c>
    </row>
    <row r="1067" spans="1:22" hidden="1" x14ac:dyDescent="0.3">
      <c r="A1067" t="s">
        <v>1120</v>
      </c>
      <c r="B1067" t="s">
        <v>21</v>
      </c>
      <c r="C1067" t="s">
        <v>53</v>
      </c>
      <c r="D1067" t="s">
        <v>62</v>
      </c>
      <c r="E1067" t="str">
        <f t="shared" si="64"/>
        <v>M</v>
      </c>
      <c r="F1067" t="s">
        <v>24</v>
      </c>
      <c r="G1067" t="s">
        <v>46</v>
      </c>
      <c r="H1067" s="8">
        <v>71.66</v>
      </c>
      <c r="I1067" s="3">
        <f t="shared" si="65"/>
        <v>0.49700000000000005</v>
      </c>
      <c r="J1067" s="4">
        <v>49.7</v>
      </c>
      <c r="K1067" s="11">
        <f>Table1[[#This Row],[original_price]]* (Table1[[#This Row],[Markdown percentage updated]])</f>
        <v>35.615020000000001</v>
      </c>
      <c r="L10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67" s="6">
        <v>36.04</v>
      </c>
      <c r="N10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67" s="7">
        <v>45875</v>
      </c>
      <c r="P1067">
        <v>33</v>
      </c>
      <c r="Q1067" s="16" t="str">
        <f>IF(Table1[[#This Row],[stock_quantity]]=0,"NO STOCK",
IF(Table1[[#This Row],[stock_quantity]]&lt;=10,"LOW STOCK",
"IN STOCK"))</f>
        <v>IN STOCK</v>
      </c>
      <c r="R1067" s="1">
        <f t="shared" si="66"/>
        <v>0</v>
      </c>
      <c r="T1067" t="b">
        <v>1</v>
      </c>
      <c r="U1067" s="13" t="str">
        <f t="shared" si="67"/>
        <v>Color Mismatch</v>
      </c>
      <c r="V1067" t="s">
        <v>36</v>
      </c>
    </row>
    <row r="1068" spans="1:22" hidden="1" x14ac:dyDescent="0.3">
      <c r="A1068" t="s">
        <v>1121</v>
      </c>
      <c r="B1068" t="s">
        <v>42</v>
      </c>
      <c r="C1068" t="s">
        <v>53</v>
      </c>
      <c r="D1068" t="s">
        <v>17</v>
      </c>
      <c r="E1068" t="str">
        <f t="shared" si="64"/>
        <v>M</v>
      </c>
      <c r="F1068" t="s">
        <v>39</v>
      </c>
      <c r="G1068" t="s">
        <v>28</v>
      </c>
      <c r="H1068" s="8">
        <v>107.58</v>
      </c>
      <c r="I1068" s="3">
        <f t="shared" si="65"/>
        <v>0.55899999999999994</v>
      </c>
      <c r="J1068" s="4">
        <v>55.9</v>
      </c>
      <c r="K1068" s="11">
        <f>Table1[[#This Row],[original_price]]* (Table1[[#This Row],[Markdown percentage updated]])</f>
        <v>60.137219999999992</v>
      </c>
      <c r="L10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68" s="6">
        <v>47.44</v>
      </c>
      <c r="N10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68" s="7">
        <v>45703</v>
      </c>
      <c r="P1068">
        <v>19</v>
      </c>
      <c r="Q1068" s="16" t="str">
        <f>IF(Table1[[#This Row],[stock_quantity]]=0,"NO STOCK",
IF(Table1[[#This Row],[stock_quantity]]&lt;=10,"LOW STOCK",
"IN STOCK"))</f>
        <v>IN STOCK</v>
      </c>
      <c r="R1068" s="1">
        <f t="shared" si="66"/>
        <v>4.4000000000000004</v>
      </c>
      <c r="S1068">
        <v>4.4000000000000004</v>
      </c>
      <c r="T1068" t="b">
        <v>0</v>
      </c>
      <c r="U1068" t="str">
        <f t="shared" si="67"/>
        <v>No Return</v>
      </c>
    </row>
    <row r="1069" spans="1:22" hidden="1" x14ac:dyDescent="0.3">
      <c r="A1069" t="s">
        <v>1122</v>
      </c>
      <c r="B1069" t="s">
        <v>30</v>
      </c>
      <c r="C1069" t="s">
        <v>16</v>
      </c>
      <c r="D1069" t="s">
        <v>17</v>
      </c>
      <c r="E1069" t="str">
        <f t="shared" si="64"/>
        <v>OS</v>
      </c>
      <c r="F1069" t="s">
        <v>18</v>
      </c>
      <c r="G1069" t="s">
        <v>44</v>
      </c>
      <c r="H1069" s="8">
        <v>137.16</v>
      </c>
      <c r="I1069" s="3">
        <f t="shared" si="65"/>
        <v>0</v>
      </c>
      <c r="J1069" s="4">
        <v>0</v>
      </c>
      <c r="K1069" s="11">
        <f>Table1[[#This Row],[original_price]]* (Table1[[#This Row],[Markdown percentage updated]])</f>
        <v>0</v>
      </c>
      <c r="L10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69" s="6">
        <v>137.16</v>
      </c>
      <c r="N10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69" s="7">
        <v>45749</v>
      </c>
      <c r="P1069">
        <v>34</v>
      </c>
      <c r="Q1069" s="16" t="str">
        <f>IF(Table1[[#This Row],[stock_quantity]]=0,"NO STOCK",
IF(Table1[[#This Row],[stock_quantity]]&lt;=10,"LOW STOCK",
"IN STOCK"))</f>
        <v>IN STOCK</v>
      </c>
      <c r="R1069" s="1">
        <f t="shared" si="66"/>
        <v>4</v>
      </c>
      <c r="S1069">
        <v>4</v>
      </c>
      <c r="T1069" t="b">
        <v>0</v>
      </c>
      <c r="U1069" t="str">
        <f t="shared" si="67"/>
        <v>No Return</v>
      </c>
    </row>
    <row r="1070" spans="1:22" hidden="1" x14ac:dyDescent="0.3">
      <c r="A1070" t="s">
        <v>1123</v>
      </c>
      <c r="B1070" t="s">
        <v>21</v>
      </c>
      <c r="C1070" t="s">
        <v>32</v>
      </c>
      <c r="D1070" t="s">
        <v>23</v>
      </c>
      <c r="E1070" t="str">
        <f t="shared" si="64"/>
        <v>XXL</v>
      </c>
      <c r="F1070" t="s">
        <v>58</v>
      </c>
      <c r="G1070" t="s">
        <v>35</v>
      </c>
      <c r="H1070" s="8">
        <v>119.29</v>
      </c>
      <c r="I1070" s="3">
        <f t="shared" si="65"/>
        <v>0</v>
      </c>
      <c r="J1070" s="4">
        <v>0</v>
      </c>
      <c r="K1070" s="11">
        <f>Table1[[#This Row],[original_price]]* (Table1[[#This Row],[Markdown percentage updated]])</f>
        <v>0</v>
      </c>
      <c r="L10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70" s="6">
        <v>119.29</v>
      </c>
      <c r="N10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70" s="7">
        <v>45875</v>
      </c>
      <c r="P1070">
        <v>3</v>
      </c>
      <c r="Q1070" s="17" t="str">
        <f>IF(Table1[[#This Row],[stock_quantity]]=0,"NO STOCK",
IF(Table1[[#This Row],[stock_quantity]]&lt;=10,"LOW STOCK",
"IN STOCK"))</f>
        <v>LOW STOCK</v>
      </c>
      <c r="R1070" s="1">
        <f t="shared" si="66"/>
        <v>0</v>
      </c>
      <c r="T1070" t="b">
        <v>0</v>
      </c>
      <c r="U1070" t="str">
        <f t="shared" si="67"/>
        <v>No Return</v>
      </c>
    </row>
    <row r="1071" spans="1:22" hidden="1" x14ac:dyDescent="0.3">
      <c r="A1071" t="s">
        <v>1124</v>
      </c>
      <c r="B1071" t="s">
        <v>21</v>
      </c>
      <c r="C1071" t="s">
        <v>43</v>
      </c>
      <c r="D1071" t="s">
        <v>17</v>
      </c>
      <c r="E1071" t="str">
        <f t="shared" si="64"/>
        <v>XL</v>
      </c>
      <c r="F1071" t="s">
        <v>58</v>
      </c>
      <c r="G1071" t="s">
        <v>64</v>
      </c>
      <c r="H1071" s="8">
        <v>104.09</v>
      </c>
      <c r="I1071" s="3">
        <f t="shared" si="65"/>
        <v>0</v>
      </c>
      <c r="J1071" s="4">
        <v>0</v>
      </c>
      <c r="K1071" s="11">
        <f>Table1[[#This Row],[original_price]]* (Table1[[#This Row],[Markdown percentage updated]])</f>
        <v>0</v>
      </c>
      <c r="L10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71" s="6">
        <v>104.09</v>
      </c>
      <c r="N10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71" s="7">
        <v>45647</v>
      </c>
      <c r="P1071">
        <v>29</v>
      </c>
      <c r="Q1071" s="16" t="str">
        <f>IF(Table1[[#This Row],[stock_quantity]]=0,"NO STOCK",
IF(Table1[[#This Row],[stock_quantity]]&lt;=10,"LOW STOCK",
"IN STOCK"))</f>
        <v>IN STOCK</v>
      </c>
      <c r="R1071" s="1">
        <f t="shared" si="66"/>
        <v>0</v>
      </c>
      <c r="T1071" t="b">
        <v>0</v>
      </c>
      <c r="U1071" t="str">
        <f t="shared" si="67"/>
        <v>No Return</v>
      </c>
    </row>
    <row r="1072" spans="1:22" hidden="1" x14ac:dyDescent="0.3">
      <c r="A1072" t="s">
        <v>1125</v>
      </c>
      <c r="B1072" t="s">
        <v>42</v>
      </c>
      <c r="C1072" t="s">
        <v>32</v>
      </c>
      <c r="D1072" t="s">
        <v>34</v>
      </c>
      <c r="E1072" t="str">
        <f t="shared" si="64"/>
        <v>XS</v>
      </c>
      <c r="G1072" t="s">
        <v>25</v>
      </c>
      <c r="H1072" s="8">
        <v>73.069999999999993</v>
      </c>
      <c r="I1072" s="3">
        <f t="shared" si="65"/>
        <v>0</v>
      </c>
      <c r="J1072" s="4">
        <v>0</v>
      </c>
      <c r="K1072" s="11">
        <f>Table1[[#This Row],[original_price]]* (Table1[[#This Row],[Markdown percentage updated]])</f>
        <v>0</v>
      </c>
      <c r="L10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72" s="6">
        <v>73.069999999999993</v>
      </c>
      <c r="N10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72" s="7">
        <v>45875</v>
      </c>
      <c r="P1072">
        <v>5</v>
      </c>
      <c r="Q1072" s="17" t="str">
        <f>IF(Table1[[#This Row],[stock_quantity]]=0,"NO STOCK",
IF(Table1[[#This Row],[stock_quantity]]&lt;=10,"LOW STOCK",
"IN STOCK"))</f>
        <v>LOW STOCK</v>
      </c>
      <c r="R1072" s="1">
        <f t="shared" si="66"/>
        <v>4.2</v>
      </c>
      <c r="S1072">
        <v>4.2</v>
      </c>
      <c r="T1072" t="b">
        <v>0</v>
      </c>
      <c r="U1072" t="str">
        <f t="shared" si="67"/>
        <v>No Return</v>
      </c>
    </row>
    <row r="1073" spans="1:22" hidden="1" x14ac:dyDescent="0.3">
      <c r="A1073" t="s">
        <v>1126</v>
      </c>
      <c r="B1073" t="s">
        <v>38</v>
      </c>
      <c r="C1073" t="s">
        <v>16</v>
      </c>
      <c r="D1073" t="s">
        <v>34</v>
      </c>
      <c r="E1073" t="str">
        <f t="shared" si="64"/>
        <v>XL</v>
      </c>
      <c r="F1073" t="s">
        <v>49</v>
      </c>
      <c r="G1073" t="s">
        <v>46</v>
      </c>
      <c r="H1073" s="8">
        <v>76.94</v>
      </c>
      <c r="I1073" s="3">
        <f t="shared" si="65"/>
        <v>7.5999999999999998E-2</v>
      </c>
      <c r="J1073" s="4">
        <v>7.6</v>
      </c>
      <c r="K1073" s="11">
        <f>Table1[[#This Row],[original_price]]* (Table1[[#This Row],[Markdown percentage updated]])</f>
        <v>5.8474399999999997</v>
      </c>
      <c r="L10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73" s="6">
        <v>71.09</v>
      </c>
      <c r="N10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73" s="7">
        <v>45875</v>
      </c>
      <c r="P1073">
        <v>20</v>
      </c>
      <c r="Q1073" s="16" t="str">
        <f>IF(Table1[[#This Row],[stock_quantity]]=0,"NO STOCK",
IF(Table1[[#This Row],[stock_quantity]]&lt;=10,"LOW STOCK",
"IN STOCK"))</f>
        <v>IN STOCK</v>
      </c>
      <c r="R1073" s="1">
        <f t="shared" si="66"/>
        <v>3.7</v>
      </c>
      <c r="S1073">
        <v>3.7</v>
      </c>
      <c r="T1073" t="b">
        <v>0</v>
      </c>
      <c r="U1073" t="str">
        <f t="shared" si="67"/>
        <v>No Return</v>
      </c>
    </row>
    <row r="1074" spans="1:22" hidden="1" x14ac:dyDescent="0.3">
      <c r="A1074" t="s">
        <v>1127</v>
      </c>
      <c r="B1074" t="s">
        <v>38</v>
      </c>
      <c r="C1074" t="s">
        <v>75</v>
      </c>
      <c r="D1074" t="s">
        <v>23</v>
      </c>
      <c r="E1074" t="str">
        <f t="shared" si="64"/>
        <v>OS</v>
      </c>
      <c r="F1074" t="s">
        <v>18</v>
      </c>
      <c r="G1074" t="s">
        <v>56</v>
      </c>
      <c r="H1074" s="8">
        <v>119.92</v>
      </c>
      <c r="I1074" s="3">
        <f t="shared" si="65"/>
        <v>0</v>
      </c>
      <c r="J1074" s="4">
        <v>0</v>
      </c>
      <c r="K1074" s="11">
        <f>Table1[[#This Row],[original_price]]* (Table1[[#This Row],[Markdown percentage updated]])</f>
        <v>0</v>
      </c>
      <c r="L10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74" s="6">
        <v>119.92</v>
      </c>
      <c r="N10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74" s="7">
        <v>45875</v>
      </c>
      <c r="P1074">
        <v>37</v>
      </c>
      <c r="Q1074" s="16" t="str">
        <f>IF(Table1[[#This Row],[stock_quantity]]=0,"NO STOCK",
IF(Table1[[#This Row],[stock_quantity]]&lt;=10,"LOW STOCK",
"IN STOCK"))</f>
        <v>IN STOCK</v>
      </c>
      <c r="R1074" s="1">
        <f t="shared" si="66"/>
        <v>5</v>
      </c>
      <c r="S1074">
        <v>5</v>
      </c>
      <c r="T1074" t="b">
        <v>0</v>
      </c>
      <c r="U1074" t="str">
        <f t="shared" si="67"/>
        <v>No Return</v>
      </c>
    </row>
    <row r="1075" spans="1:22" hidden="1" x14ac:dyDescent="0.3">
      <c r="A1075" t="s">
        <v>1128</v>
      </c>
      <c r="B1075" t="s">
        <v>15</v>
      </c>
      <c r="C1075" t="s">
        <v>53</v>
      </c>
      <c r="D1075" t="s">
        <v>23</v>
      </c>
      <c r="E1075" t="str">
        <f t="shared" si="64"/>
        <v>L</v>
      </c>
      <c r="F1075" t="s">
        <v>55</v>
      </c>
      <c r="G1075" t="s">
        <v>35</v>
      </c>
      <c r="H1075" s="8">
        <v>116.49</v>
      </c>
      <c r="I1075" s="3">
        <f t="shared" si="65"/>
        <v>0</v>
      </c>
      <c r="J1075" s="4">
        <v>0</v>
      </c>
      <c r="K1075" s="11">
        <f>Table1[[#This Row],[original_price]]* (Table1[[#This Row],[Markdown percentage updated]])</f>
        <v>0</v>
      </c>
      <c r="L10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75" s="6">
        <v>116.49</v>
      </c>
      <c r="N10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75" s="7">
        <v>45875</v>
      </c>
      <c r="P1075">
        <v>17</v>
      </c>
      <c r="Q1075" s="16" t="str">
        <f>IF(Table1[[#This Row],[stock_quantity]]=0,"NO STOCK",
IF(Table1[[#This Row],[stock_quantity]]&lt;=10,"LOW STOCK",
"IN STOCK"))</f>
        <v>IN STOCK</v>
      </c>
      <c r="R1075" s="1">
        <f t="shared" si="66"/>
        <v>3.3</v>
      </c>
      <c r="S1075">
        <v>3.3</v>
      </c>
      <c r="T1075" t="b">
        <v>1</v>
      </c>
      <c r="U1075" s="13" t="str">
        <f t="shared" si="67"/>
        <v>Damaged</v>
      </c>
      <c r="V1075" t="s">
        <v>78</v>
      </c>
    </row>
    <row r="1076" spans="1:22" hidden="1" x14ac:dyDescent="0.3">
      <c r="A1076" t="s">
        <v>1129</v>
      </c>
      <c r="B1076" t="s">
        <v>30</v>
      </c>
      <c r="C1076" t="s">
        <v>61</v>
      </c>
      <c r="D1076" t="s">
        <v>34</v>
      </c>
      <c r="E1076" t="str">
        <f t="shared" si="64"/>
        <v>XL</v>
      </c>
      <c r="F1076" t="s">
        <v>18</v>
      </c>
      <c r="G1076" t="s">
        <v>25</v>
      </c>
      <c r="H1076" s="8">
        <v>179.59</v>
      </c>
      <c r="I1076" s="3">
        <f t="shared" si="65"/>
        <v>0.14699999999999999</v>
      </c>
      <c r="J1076" s="4">
        <v>14.7</v>
      </c>
      <c r="K1076" s="11">
        <f>Table1[[#This Row],[original_price]]* (Table1[[#This Row],[Markdown percentage updated]])</f>
        <v>26.399729999999998</v>
      </c>
      <c r="L10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76" s="6">
        <v>153.19</v>
      </c>
      <c r="N10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76" s="7">
        <v>45875</v>
      </c>
      <c r="P1076">
        <v>47</v>
      </c>
      <c r="Q1076" s="16" t="str">
        <f>IF(Table1[[#This Row],[stock_quantity]]=0,"NO STOCK",
IF(Table1[[#This Row],[stock_quantity]]&lt;=10,"LOW STOCK",
"IN STOCK"))</f>
        <v>IN STOCK</v>
      </c>
      <c r="R1076" s="1">
        <f t="shared" si="66"/>
        <v>2.9</v>
      </c>
      <c r="S1076">
        <v>2.9</v>
      </c>
      <c r="T1076" t="b">
        <v>0</v>
      </c>
      <c r="U1076" t="str">
        <f t="shared" si="67"/>
        <v>No Return</v>
      </c>
    </row>
    <row r="1077" spans="1:22" hidden="1" x14ac:dyDescent="0.3">
      <c r="A1077" t="s">
        <v>1130</v>
      </c>
      <c r="B1077" t="s">
        <v>27</v>
      </c>
      <c r="C1077" t="s">
        <v>22</v>
      </c>
      <c r="D1077" t="s">
        <v>23</v>
      </c>
      <c r="E1077" t="str">
        <f t="shared" si="64"/>
        <v>L</v>
      </c>
      <c r="G1077" t="s">
        <v>28</v>
      </c>
      <c r="H1077" s="8">
        <v>33.799999999999997</v>
      </c>
      <c r="I1077" s="3">
        <f t="shared" si="65"/>
        <v>0</v>
      </c>
      <c r="J1077" s="4">
        <v>0</v>
      </c>
      <c r="K1077" s="11">
        <f>Table1[[#This Row],[original_price]]* (Table1[[#This Row],[Markdown percentage updated]])</f>
        <v>0</v>
      </c>
      <c r="L10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77" s="6">
        <v>33.799999999999997</v>
      </c>
      <c r="N10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77" s="7">
        <v>45875</v>
      </c>
      <c r="P1077">
        <v>34</v>
      </c>
      <c r="Q1077" s="16" t="str">
        <f>IF(Table1[[#This Row],[stock_quantity]]=0,"NO STOCK",
IF(Table1[[#This Row],[stock_quantity]]&lt;=10,"LOW STOCK",
"IN STOCK"))</f>
        <v>IN STOCK</v>
      </c>
      <c r="R1077" s="1">
        <f t="shared" si="66"/>
        <v>4.8</v>
      </c>
      <c r="S1077">
        <v>4.8</v>
      </c>
      <c r="T1077" t="b">
        <v>0</v>
      </c>
      <c r="U1077" t="str">
        <f t="shared" si="67"/>
        <v>No Return</v>
      </c>
    </row>
    <row r="1078" spans="1:22" hidden="1" x14ac:dyDescent="0.3">
      <c r="A1078" t="s">
        <v>1131</v>
      </c>
      <c r="B1078" t="s">
        <v>21</v>
      </c>
      <c r="C1078" t="s">
        <v>22</v>
      </c>
      <c r="D1078" t="s">
        <v>34</v>
      </c>
      <c r="E1078" t="str">
        <f t="shared" si="64"/>
        <v>XXL</v>
      </c>
      <c r="F1078" t="s">
        <v>24</v>
      </c>
      <c r="G1078" t="s">
        <v>56</v>
      </c>
      <c r="H1078" s="8">
        <v>41.57</v>
      </c>
      <c r="I1078" s="3">
        <f t="shared" si="65"/>
        <v>3.3000000000000002E-2</v>
      </c>
      <c r="J1078" s="4">
        <v>3.3</v>
      </c>
      <c r="K1078" s="11">
        <f>Table1[[#This Row],[original_price]]* (Table1[[#This Row],[Markdown percentage updated]])</f>
        <v>1.37181</v>
      </c>
      <c r="L10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78" s="6">
        <v>40.200000000000003</v>
      </c>
      <c r="N10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78" s="7">
        <v>45875</v>
      </c>
      <c r="P1078">
        <v>5</v>
      </c>
      <c r="Q1078" s="17" t="str">
        <f>IF(Table1[[#This Row],[stock_quantity]]=0,"NO STOCK",
IF(Table1[[#This Row],[stock_quantity]]&lt;=10,"LOW STOCK",
"IN STOCK"))</f>
        <v>LOW STOCK</v>
      </c>
      <c r="R1078" s="1">
        <f t="shared" si="66"/>
        <v>2.9</v>
      </c>
      <c r="S1078">
        <v>2.9</v>
      </c>
      <c r="T1078" t="b">
        <v>0</v>
      </c>
      <c r="U1078" t="str">
        <f t="shared" si="67"/>
        <v>No Return</v>
      </c>
    </row>
    <row r="1079" spans="1:22" hidden="1" x14ac:dyDescent="0.3">
      <c r="A1079" t="s">
        <v>1132</v>
      </c>
      <c r="B1079" t="s">
        <v>30</v>
      </c>
      <c r="C1079" t="s">
        <v>75</v>
      </c>
      <c r="D1079" t="s">
        <v>17</v>
      </c>
      <c r="E1079" t="str">
        <f t="shared" si="64"/>
        <v>XS</v>
      </c>
      <c r="F1079" t="s">
        <v>18</v>
      </c>
      <c r="G1079" t="s">
        <v>66</v>
      </c>
      <c r="H1079" s="8">
        <v>139.1</v>
      </c>
      <c r="I1079" s="3">
        <f t="shared" si="65"/>
        <v>0.47</v>
      </c>
      <c r="J1079" s="4">
        <v>47</v>
      </c>
      <c r="K1079" s="11">
        <f>Table1[[#This Row],[original_price]]* (Table1[[#This Row],[Markdown percentage updated]])</f>
        <v>65.376999999999995</v>
      </c>
      <c r="L10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79" s="6">
        <v>73.72</v>
      </c>
      <c r="N10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79" s="7">
        <v>45661</v>
      </c>
      <c r="P1079">
        <v>6</v>
      </c>
      <c r="Q1079" s="17" t="str">
        <f>IF(Table1[[#This Row],[stock_quantity]]=0,"NO STOCK",
IF(Table1[[#This Row],[stock_quantity]]&lt;=10,"LOW STOCK",
"IN STOCK"))</f>
        <v>LOW STOCK</v>
      </c>
      <c r="R1079" s="1">
        <f t="shared" si="66"/>
        <v>3.4</v>
      </c>
      <c r="S1079">
        <v>3.4</v>
      </c>
      <c r="T1079" t="b">
        <v>0</v>
      </c>
      <c r="U1079" t="str">
        <f t="shared" si="67"/>
        <v>No Return</v>
      </c>
    </row>
    <row r="1080" spans="1:22" hidden="1" x14ac:dyDescent="0.3">
      <c r="A1080" t="s">
        <v>1133</v>
      </c>
      <c r="B1080" t="s">
        <v>42</v>
      </c>
      <c r="C1080" t="s">
        <v>43</v>
      </c>
      <c r="D1080" t="s">
        <v>34</v>
      </c>
      <c r="E1080" t="str">
        <f t="shared" si="64"/>
        <v>L</v>
      </c>
      <c r="F1080" t="s">
        <v>24</v>
      </c>
      <c r="G1080" t="s">
        <v>25</v>
      </c>
      <c r="H1080" s="8">
        <v>102.04</v>
      </c>
      <c r="I1080" s="3">
        <f t="shared" si="65"/>
        <v>0</v>
      </c>
      <c r="J1080" s="4">
        <v>0</v>
      </c>
      <c r="K1080" s="11">
        <f>Table1[[#This Row],[original_price]]* (Table1[[#This Row],[Markdown percentage updated]])</f>
        <v>0</v>
      </c>
      <c r="L10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80" s="6">
        <v>102.04</v>
      </c>
      <c r="N10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80" s="7">
        <v>45875</v>
      </c>
      <c r="P1080">
        <v>34</v>
      </c>
      <c r="Q1080" s="16" t="str">
        <f>IF(Table1[[#This Row],[stock_quantity]]=0,"NO STOCK",
IF(Table1[[#This Row],[stock_quantity]]&lt;=10,"LOW STOCK",
"IN STOCK"))</f>
        <v>IN STOCK</v>
      </c>
      <c r="R1080" s="1">
        <f t="shared" si="66"/>
        <v>3.4</v>
      </c>
      <c r="S1080">
        <v>3.4</v>
      </c>
      <c r="T1080" t="b">
        <v>0</v>
      </c>
      <c r="U1080" t="str">
        <f t="shared" si="67"/>
        <v>No Return</v>
      </c>
    </row>
    <row r="1081" spans="1:22" hidden="1" x14ac:dyDescent="0.3">
      <c r="A1081" t="s">
        <v>1134</v>
      </c>
      <c r="B1081" t="s">
        <v>38</v>
      </c>
      <c r="C1081" t="s">
        <v>61</v>
      </c>
      <c r="D1081" t="s">
        <v>34</v>
      </c>
      <c r="E1081" t="str">
        <f t="shared" si="64"/>
        <v>M</v>
      </c>
      <c r="F1081" t="s">
        <v>49</v>
      </c>
      <c r="G1081" t="s">
        <v>64</v>
      </c>
      <c r="H1081" s="8">
        <v>47.25</v>
      </c>
      <c r="I1081" s="3">
        <f t="shared" si="65"/>
        <v>0.54200000000000004</v>
      </c>
      <c r="J1081" s="4">
        <v>54.2</v>
      </c>
      <c r="K1081" s="11">
        <f>Table1[[#This Row],[original_price]]* (Table1[[#This Row],[Markdown percentage updated]])</f>
        <v>25.609500000000001</v>
      </c>
      <c r="L10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81" s="6">
        <v>21.64</v>
      </c>
      <c r="N10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81" s="7">
        <v>45875</v>
      </c>
      <c r="P1081">
        <v>4</v>
      </c>
      <c r="Q1081" s="17" t="str">
        <f>IF(Table1[[#This Row],[stock_quantity]]=0,"NO STOCK",
IF(Table1[[#This Row],[stock_quantity]]&lt;=10,"LOW STOCK",
"IN STOCK"))</f>
        <v>LOW STOCK</v>
      </c>
      <c r="R1081" s="1">
        <f t="shared" si="66"/>
        <v>4.9000000000000004</v>
      </c>
      <c r="S1081">
        <v>4.9000000000000004</v>
      </c>
      <c r="T1081" t="b">
        <v>0</v>
      </c>
      <c r="U1081" t="str">
        <f t="shared" si="67"/>
        <v>No Return</v>
      </c>
    </row>
    <row r="1082" spans="1:22" hidden="1" x14ac:dyDescent="0.3">
      <c r="A1082" t="s">
        <v>1135</v>
      </c>
      <c r="B1082" t="s">
        <v>42</v>
      </c>
      <c r="C1082" t="s">
        <v>22</v>
      </c>
      <c r="D1082" t="s">
        <v>62</v>
      </c>
      <c r="E1082" t="str">
        <f t="shared" si="64"/>
        <v>M</v>
      </c>
      <c r="F1082" t="s">
        <v>55</v>
      </c>
      <c r="G1082" t="s">
        <v>35</v>
      </c>
      <c r="H1082" s="8">
        <v>55.08</v>
      </c>
      <c r="I1082" s="3">
        <f t="shared" si="65"/>
        <v>0</v>
      </c>
      <c r="J1082" s="4">
        <v>0</v>
      </c>
      <c r="K1082" s="11">
        <f>Table1[[#This Row],[original_price]]* (Table1[[#This Row],[Markdown percentage updated]])</f>
        <v>0</v>
      </c>
      <c r="L10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82" s="6">
        <v>55.08</v>
      </c>
      <c r="N10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82" s="7">
        <v>45875</v>
      </c>
      <c r="P1082">
        <v>48</v>
      </c>
      <c r="Q1082" s="16" t="str">
        <f>IF(Table1[[#This Row],[stock_quantity]]=0,"NO STOCK",
IF(Table1[[#This Row],[stock_quantity]]&lt;=10,"LOW STOCK",
"IN STOCK"))</f>
        <v>IN STOCK</v>
      </c>
      <c r="R1082" s="1">
        <f t="shared" si="66"/>
        <v>4.0999999999999996</v>
      </c>
      <c r="S1082">
        <v>4.0999999999999996</v>
      </c>
      <c r="T1082" t="b">
        <v>0</v>
      </c>
      <c r="U1082" t="str">
        <f t="shared" si="67"/>
        <v>No Return</v>
      </c>
    </row>
    <row r="1083" spans="1:22" hidden="1" x14ac:dyDescent="0.3">
      <c r="A1083" t="s">
        <v>1136</v>
      </c>
      <c r="B1083" t="s">
        <v>15</v>
      </c>
      <c r="C1083" t="s">
        <v>75</v>
      </c>
      <c r="D1083" t="s">
        <v>23</v>
      </c>
      <c r="E1083" t="str">
        <f t="shared" si="64"/>
        <v>S</v>
      </c>
      <c r="F1083" t="s">
        <v>24</v>
      </c>
      <c r="G1083" t="s">
        <v>46</v>
      </c>
      <c r="H1083" s="8">
        <v>88.32</v>
      </c>
      <c r="I1083" s="3">
        <f t="shared" si="65"/>
        <v>0.54799999999999993</v>
      </c>
      <c r="J1083" s="4">
        <v>54.8</v>
      </c>
      <c r="K1083" s="11">
        <f>Table1[[#This Row],[original_price]]* (Table1[[#This Row],[Markdown percentage updated]])</f>
        <v>48.399359999999987</v>
      </c>
      <c r="L10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83" s="6">
        <v>39.92</v>
      </c>
      <c r="N10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83" s="7">
        <v>45875</v>
      </c>
      <c r="P1083">
        <v>36</v>
      </c>
      <c r="Q1083" s="16" t="str">
        <f>IF(Table1[[#This Row],[stock_quantity]]=0,"NO STOCK",
IF(Table1[[#This Row],[stock_quantity]]&lt;=10,"LOW STOCK",
"IN STOCK"))</f>
        <v>IN STOCK</v>
      </c>
      <c r="R1083" s="1">
        <f t="shared" si="66"/>
        <v>3.1</v>
      </c>
      <c r="S1083">
        <v>3.1</v>
      </c>
      <c r="T1083" t="b">
        <v>0</v>
      </c>
      <c r="U1083" t="str">
        <f t="shared" si="67"/>
        <v>No Return</v>
      </c>
    </row>
    <row r="1084" spans="1:22" hidden="1" x14ac:dyDescent="0.3">
      <c r="A1084" t="s">
        <v>1137</v>
      </c>
      <c r="B1084" t="s">
        <v>38</v>
      </c>
      <c r="C1084" t="s">
        <v>43</v>
      </c>
      <c r="D1084" t="s">
        <v>34</v>
      </c>
      <c r="E1084" t="str">
        <f t="shared" si="64"/>
        <v>OS</v>
      </c>
      <c r="F1084" t="s">
        <v>58</v>
      </c>
      <c r="G1084" t="s">
        <v>19</v>
      </c>
      <c r="H1084" s="8">
        <v>74.900000000000006</v>
      </c>
      <c r="I1084" s="3">
        <f t="shared" si="65"/>
        <v>0.16800000000000001</v>
      </c>
      <c r="J1084" s="4">
        <v>16.8</v>
      </c>
      <c r="K1084" s="11">
        <f>Table1[[#This Row],[original_price]]* (Table1[[#This Row],[Markdown percentage updated]])</f>
        <v>12.583200000000001</v>
      </c>
      <c r="L10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84" s="6">
        <v>62.32</v>
      </c>
      <c r="N10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084" s="7">
        <v>45875</v>
      </c>
      <c r="P1084">
        <v>13</v>
      </c>
      <c r="Q1084" s="16" t="str">
        <f>IF(Table1[[#This Row],[stock_quantity]]=0,"NO STOCK",
IF(Table1[[#This Row],[stock_quantity]]&lt;=10,"LOW STOCK",
"IN STOCK"))</f>
        <v>IN STOCK</v>
      </c>
      <c r="R1084" s="1">
        <f t="shared" si="66"/>
        <v>0</v>
      </c>
      <c r="T1084" t="b">
        <v>1</v>
      </c>
      <c r="U1084" s="13" t="str">
        <f t="shared" si="67"/>
        <v>Color Mismatch</v>
      </c>
      <c r="V1084" t="s">
        <v>36</v>
      </c>
    </row>
    <row r="1085" spans="1:22" hidden="1" x14ac:dyDescent="0.3">
      <c r="A1085" t="s">
        <v>1138</v>
      </c>
      <c r="B1085" t="s">
        <v>38</v>
      </c>
      <c r="C1085" t="s">
        <v>43</v>
      </c>
      <c r="D1085" t="s">
        <v>23</v>
      </c>
      <c r="E1085" t="str">
        <f t="shared" si="64"/>
        <v>M</v>
      </c>
      <c r="F1085" t="s">
        <v>58</v>
      </c>
      <c r="G1085" t="s">
        <v>35</v>
      </c>
      <c r="H1085" s="8">
        <v>69.88</v>
      </c>
      <c r="I1085" s="3">
        <f t="shared" si="65"/>
        <v>0.57399999999999995</v>
      </c>
      <c r="J1085" s="4">
        <v>57.4</v>
      </c>
      <c r="K1085" s="11">
        <f>Table1[[#This Row],[original_price]]* (Table1[[#This Row],[Markdown percentage updated]])</f>
        <v>40.111119999999993</v>
      </c>
      <c r="L10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85" s="6">
        <v>29.77</v>
      </c>
      <c r="N10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85" s="7">
        <v>45875</v>
      </c>
      <c r="P1085">
        <v>30</v>
      </c>
      <c r="Q1085" s="16" t="str">
        <f>IF(Table1[[#This Row],[stock_quantity]]=0,"NO STOCK",
IF(Table1[[#This Row],[stock_quantity]]&lt;=10,"LOW STOCK",
"IN STOCK"))</f>
        <v>IN STOCK</v>
      </c>
      <c r="R1085" s="1">
        <f t="shared" si="66"/>
        <v>4.2</v>
      </c>
      <c r="S1085">
        <v>4.2</v>
      </c>
      <c r="T1085" t="b">
        <v>0</v>
      </c>
      <c r="U1085" t="str">
        <f t="shared" si="67"/>
        <v>No Return</v>
      </c>
    </row>
    <row r="1086" spans="1:22" hidden="1" x14ac:dyDescent="0.3">
      <c r="A1086" t="s">
        <v>1139</v>
      </c>
      <c r="B1086" t="s">
        <v>30</v>
      </c>
      <c r="C1086" t="s">
        <v>22</v>
      </c>
      <c r="D1086" t="s">
        <v>34</v>
      </c>
      <c r="E1086" t="str">
        <f t="shared" si="64"/>
        <v>XS</v>
      </c>
      <c r="F1086" t="s">
        <v>39</v>
      </c>
      <c r="G1086" t="s">
        <v>40</v>
      </c>
      <c r="H1086" s="8">
        <v>142.83000000000001</v>
      </c>
      <c r="I1086" s="3">
        <f t="shared" si="65"/>
        <v>0</v>
      </c>
      <c r="J1086" s="4">
        <v>0</v>
      </c>
      <c r="K1086" s="11">
        <f>Table1[[#This Row],[original_price]]* (Table1[[#This Row],[Markdown percentage updated]])</f>
        <v>0</v>
      </c>
      <c r="L10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86" s="6">
        <v>142.83000000000001</v>
      </c>
      <c r="N10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86" s="7">
        <v>45875</v>
      </c>
      <c r="P1086">
        <v>25</v>
      </c>
      <c r="Q1086" s="16" t="str">
        <f>IF(Table1[[#This Row],[stock_quantity]]=0,"NO STOCK",
IF(Table1[[#This Row],[stock_quantity]]&lt;=10,"LOW STOCK",
"IN STOCK"))</f>
        <v>IN STOCK</v>
      </c>
      <c r="R1086" s="1">
        <f t="shared" si="66"/>
        <v>3.5</v>
      </c>
      <c r="S1086">
        <v>3.5</v>
      </c>
      <c r="T1086" t="b">
        <v>0</v>
      </c>
      <c r="U1086" t="str">
        <f t="shared" si="67"/>
        <v>No Return</v>
      </c>
    </row>
    <row r="1087" spans="1:22" hidden="1" x14ac:dyDescent="0.3">
      <c r="A1087" t="s">
        <v>1140</v>
      </c>
      <c r="B1087" t="s">
        <v>30</v>
      </c>
      <c r="C1087" t="s">
        <v>16</v>
      </c>
      <c r="D1087" t="s">
        <v>34</v>
      </c>
      <c r="E1087" t="str">
        <f t="shared" si="64"/>
        <v>XXL</v>
      </c>
      <c r="G1087" t="s">
        <v>66</v>
      </c>
      <c r="H1087" s="8">
        <v>140.16999999999999</v>
      </c>
      <c r="I1087" s="3">
        <f t="shared" si="65"/>
        <v>0</v>
      </c>
      <c r="J1087" s="4">
        <v>0</v>
      </c>
      <c r="K1087" s="11">
        <f>Table1[[#This Row],[original_price]]* (Table1[[#This Row],[Markdown percentage updated]])</f>
        <v>0</v>
      </c>
      <c r="L10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87" s="6">
        <v>140.16999999999999</v>
      </c>
      <c r="N10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87" s="7">
        <v>45875</v>
      </c>
      <c r="P1087">
        <v>43</v>
      </c>
      <c r="Q1087" s="16" t="str">
        <f>IF(Table1[[#This Row],[stock_quantity]]=0,"NO STOCK",
IF(Table1[[#This Row],[stock_quantity]]&lt;=10,"LOW STOCK",
"IN STOCK"))</f>
        <v>IN STOCK</v>
      </c>
      <c r="R1087" s="1">
        <f t="shared" si="66"/>
        <v>3.1</v>
      </c>
      <c r="S1087">
        <v>3.1</v>
      </c>
      <c r="T1087" t="b">
        <v>0</v>
      </c>
      <c r="U1087" t="str">
        <f t="shared" si="67"/>
        <v>No Return</v>
      </c>
    </row>
    <row r="1088" spans="1:22" hidden="1" x14ac:dyDescent="0.3">
      <c r="A1088" t="s">
        <v>1141</v>
      </c>
      <c r="B1088" t="s">
        <v>21</v>
      </c>
      <c r="C1088" t="s">
        <v>61</v>
      </c>
      <c r="D1088" t="s">
        <v>23</v>
      </c>
      <c r="E1088" t="str">
        <f t="shared" si="64"/>
        <v>OS</v>
      </c>
      <c r="F1088" t="s">
        <v>58</v>
      </c>
      <c r="G1088" t="s">
        <v>70</v>
      </c>
      <c r="H1088" s="8">
        <v>106.11</v>
      </c>
      <c r="I1088" s="3">
        <f t="shared" si="65"/>
        <v>0.33799999999999997</v>
      </c>
      <c r="J1088" s="4">
        <v>33.799999999999997</v>
      </c>
      <c r="K1088" s="11">
        <f>Table1[[#This Row],[original_price]]* (Table1[[#This Row],[Markdown percentage updated]])</f>
        <v>35.865179999999995</v>
      </c>
      <c r="L10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88" s="6">
        <v>70.239999999999995</v>
      </c>
      <c r="N10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88" s="7">
        <v>45875</v>
      </c>
      <c r="P1088">
        <v>15</v>
      </c>
      <c r="Q1088" s="16" t="str">
        <f>IF(Table1[[#This Row],[stock_quantity]]=0,"NO STOCK",
IF(Table1[[#This Row],[stock_quantity]]&lt;=10,"LOW STOCK",
"IN STOCK"))</f>
        <v>IN STOCK</v>
      </c>
      <c r="R1088" s="1">
        <f t="shared" si="66"/>
        <v>4.5</v>
      </c>
      <c r="S1088">
        <v>4.5</v>
      </c>
      <c r="T1088" t="b">
        <v>0</v>
      </c>
      <c r="U1088" t="str">
        <f t="shared" si="67"/>
        <v>No Return</v>
      </c>
    </row>
    <row r="1089" spans="1:22" hidden="1" x14ac:dyDescent="0.3">
      <c r="A1089" t="s">
        <v>1142</v>
      </c>
      <c r="B1089" t="s">
        <v>42</v>
      </c>
      <c r="C1089" t="s">
        <v>48</v>
      </c>
      <c r="D1089" t="s">
        <v>62</v>
      </c>
      <c r="E1089" t="str">
        <f t="shared" si="64"/>
        <v>OS</v>
      </c>
      <c r="F1089" t="s">
        <v>55</v>
      </c>
      <c r="G1089" t="s">
        <v>25</v>
      </c>
      <c r="H1089" s="8">
        <v>53.23</v>
      </c>
      <c r="I1089" s="3">
        <f t="shared" si="65"/>
        <v>0</v>
      </c>
      <c r="J1089" s="4">
        <v>0</v>
      </c>
      <c r="K1089" s="11">
        <f>Table1[[#This Row],[original_price]]* (Table1[[#This Row],[Markdown percentage updated]])</f>
        <v>0</v>
      </c>
      <c r="L10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89" s="6">
        <v>53.23</v>
      </c>
      <c r="N10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89" s="7">
        <v>45875</v>
      </c>
      <c r="P1089">
        <v>41</v>
      </c>
      <c r="Q1089" s="16" t="str">
        <f>IF(Table1[[#This Row],[stock_quantity]]=0,"NO STOCK",
IF(Table1[[#This Row],[stock_quantity]]&lt;=10,"LOW STOCK",
"IN STOCK"))</f>
        <v>IN STOCK</v>
      </c>
      <c r="R1089" s="1">
        <f t="shared" si="66"/>
        <v>2.8</v>
      </c>
      <c r="S1089">
        <v>2.8</v>
      </c>
      <c r="T1089" t="b">
        <v>1</v>
      </c>
      <c r="U1089" s="13" t="str">
        <f t="shared" si="67"/>
        <v>Color Mismatch</v>
      </c>
      <c r="V1089" t="s">
        <v>36</v>
      </c>
    </row>
    <row r="1090" spans="1:22" hidden="1" x14ac:dyDescent="0.3">
      <c r="A1090" t="s">
        <v>1143</v>
      </c>
      <c r="B1090" t="s">
        <v>15</v>
      </c>
      <c r="C1090" t="s">
        <v>32</v>
      </c>
      <c r="D1090" t="s">
        <v>17</v>
      </c>
      <c r="E1090" t="str">
        <f t="shared" ref="E1090:E1153" si="68">IF(ISBLANK(F1093),"OS",F1093)</f>
        <v>S</v>
      </c>
      <c r="F1090" t="s">
        <v>49</v>
      </c>
      <c r="G1090" t="s">
        <v>28</v>
      </c>
      <c r="H1090" s="8">
        <v>92.25</v>
      </c>
      <c r="I1090" s="3">
        <f t="shared" ref="I1090:I1153" si="69">J1090/100</f>
        <v>0</v>
      </c>
      <c r="J1090" s="4">
        <v>0</v>
      </c>
      <c r="K1090" s="11">
        <f>Table1[[#This Row],[original_price]]* (Table1[[#This Row],[Markdown percentage updated]])</f>
        <v>0</v>
      </c>
      <c r="L10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90" s="6">
        <v>92.25</v>
      </c>
      <c r="N10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90" s="7">
        <v>45805</v>
      </c>
      <c r="P1090">
        <v>22</v>
      </c>
      <c r="Q1090" s="16" t="str">
        <f>IF(Table1[[#This Row],[stock_quantity]]=0,"NO STOCK",
IF(Table1[[#This Row],[stock_quantity]]&lt;=10,"LOW STOCK",
"IN STOCK"))</f>
        <v>IN STOCK</v>
      </c>
      <c r="R1090" s="1">
        <f t="shared" si="66"/>
        <v>3.3</v>
      </c>
      <c r="S1090">
        <v>3.3</v>
      </c>
      <c r="T1090" t="b">
        <v>1</v>
      </c>
      <c r="U1090" s="13" t="str">
        <f t="shared" si="67"/>
        <v>Wrong Item</v>
      </c>
      <c r="V1090" t="s">
        <v>125</v>
      </c>
    </row>
    <row r="1091" spans="1:22" hidden="1" x14ac:dyDescent="0.3">
      <c r="A1091" t="s">
        <v>1144</v>
      </c>
      <c r="B1091" t="s">
        <v>27</v>
      </c>
      <c r="C1091" t="s">
        <v>53</v>
      </c>
      <c r="D1091" t="s">
        <v>62</v>
      </c>
      <c r="E1091" t="str">
        <f t="shared" si="68"/>
        <v>XL</v>
      </c>
      <c r="G1091" t="s">
        <v>70</v>
      </c>
      <c r="H1091" s="8">
        <v>39.17</v>
      </c>
      <c r="I1091" s="3">
        <f t="shared" si="69"/>
        <v>0</v>
      </c>
      <c r="J1091" s="4">
        <v>0</v>
      </c>
      <c r="K1091" s="11">
        <f>Table1[[#This Row],[original_price]]* (Table1[[#This Row],[Markdown percentage updated]])</f>
        <v>0</v>
      </c>
      <c r="L10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91" s="6">
        <v>39.17</v>
      </c>
      <c r="N10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91" s="7">
        <v>45875</v>
      </c>
      <c r="P1091">
        <v>4</v>
      </c>
      <c r="Q1091" s="17" t="str">
        <f>IF(Table1[[#This Row],[stock_quantity]]=0,"NO STOCK",
IF(Table1[[#This Row],[stock_quantity]]&lt;=10,"LOW STOCK",
"IN STOCK"))</f>
        <v>LOW STOCK</v>
      </c>
      <c r="R1091" s="1">
        <f t="shared" ref="R1091:R1154" si="70">IF(ISBLANK(S1091), 0, S1091)</f>
        <v>3.5</v>
      </c>
      <c r="S1091">
        <v>3.5</v>
      </c>
      <c r="T1091" t="b">
        <v>1</v>
      </c>
      <c r="U1091" s="13" t="str">
        <f t="shared" ref="U1091:U1154" si="71">IF(V1091="","No Return",V1091)</f>
        <v>Color Mismatch</v>
      </c>
      <c r="V1091" t="s">
        <v>36</v>
      </c>
    </row>
    <row r="1092" spans="1:22" hidden="1" x14ac:dyDescent="0.3">
      <c r="A1092" t="s">
        <v>1145</v>
      </c>
      <c r="B1092" t="s">
        <v>27</v>
      </c>
      <c r="C1092" t="s">
        <v>61</v>
      </c>
      <c r="D1092" t="s">
        <v>17</v>
      </c>
      <c r="E1092" t="str">
        <f t="shared" si="68"/>
        <v>XL</v>
      </c>
      <c r="G1092" t="s">
        <v>35</v>
      </c>
      <c r="H1092" s="8">
        <v>72.83</v>
      </c>
      <c r="I1092" s="3">
        <f t="shared" si="69"/>
        <v>0</v>
      </c>
      <c r="J1092" s="4">
        <v>0</v>
      </c>
      <c r="K1092" s="11">
        <f>Table1[[#This Row],[original_price]]* (Table1[[#This Row],[Markdown percentage updated]])</f>
        <v>0</v>
      </c>
      <c r="L10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92" s="6">
        <v>72.83</v>
      </c>
      <c r="N10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92" s="7">
        <v>45622</v>
      </c>
      <c r="P1092">
        <v>6</v>
      </c>
      <c r="Q1092" s="17" t="str">
        <f>IF(Table1[[#This Row],[stock_quantity]]=0,"NO STOCK",
IF(Table1[[#This Row],[stock_quantity]]&lt;=10,"LOW STOCK",
"IN STOCK"))</f>
        <v>LOW STOCK</v>
      </c>
      <c r="R1092" s="1">
        <f t="shared" si="70"/>
        <v>2</v>
      </c>
      <c r="S1092">
        <v>2</v>
      </c>
      <c r="T1092" t="b">
        <v>0</v>
      </c>
      <c r="U1092" t="str">
        <f t="shared" si="71"/>
        <v>No Return</v>
      </c>
    </row>
    <row r="1093" spans="1:22" hidden="1" x14ac:dyDescent="0.3">
      <c r="A1093" t="s">
        <v>1146</v>
      </c>
      <c r="B1093" t="s">
        <v>38</v>
      </c>
      <c r="C1093" t="s">
        <v>75</v>
      </c>
      <c r="D1093" t="s">
        <v>23</v>
      </c>
      <c r="E1093" t="str">
        <f t="shared" si="68"/>
        <v>XL</v>
      </c>
      <c r="F1093" t="s">
        <v>39</v>
      </c>
      <c r="G1093" t="s">
        <v>70</v>
      </c>
      <c r="H1093" s="8">
        <v>29.73</v>
      </c>
      <c r="I1093" s="3">
        <f t="shared" si="69"/>
        <v>0.28699999999999998</v>
      </c>
      <c r="J1093" s="4">
        <v>28.7</v>
      </c>
      <c r="K1093" s="11">
        <f>Table1[[#This Row],[original_price]]* (Table1[[#This Row],[Markdown percentage updated]])</f>
        <v>8.5325100000000003</v>
      </c>
      <c r="L10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093" s="6">
        <v>21.2</v>
      </c>
      <c r="N10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093" s="7">
        <v>45875</v>
      </c>
      <c r="P1093">
        <v>37</v>
      </c>
      <c r="Q1093" s="16" t="str">
        <f>IF(Table1[[#This Row],[stock_quantity]]=0,"NO STOCK",
IF(Table1[[#This Row],[stock_quantity]]&lt;=10,"LOW STOCK",
"IN STOCK"))</f>
        <v>IN STOCK</v>
      </c>
      <c r="R1093" s="1">
        <f t="shared" si="70"/>
        <v>2.5</v>
      </c>
      <c r="S1093">
        <v>2.5</v>
      </c>
      <c r="T1093" t="b">
        <v>0</v>
      </c>
      <c r="U1093" t="str">
        <f t="shared" si="71"/>
        <v>No Return</v>
      </c>
    </row>
    <row r="1094" spans="1:22" hidden="1" x14ac:dyDescent="0.3">
      <c r="A1094" t="s">
        <v>1147</v>
      </c>
      <c r="B1094" t="s">
        <v>42</v>
      </c>
      <c r="C1094" t="s">
        <v>43</v>
      </c>
      <c r="D1094" t="s">
        <v>23</v>
      </c>
      <c r="E1094" t="str">
        <f t="shared" si="68"/>
        <v>M</v>
      </c>
      <c r="F1094" t="s">
        <v>18</v>
      </c>
      <c r="G1094" t="s">
        <v>28</v>
      </c>
      <c r="H1094" s="8">
        <v>144.1</v>
      </c>
      <c r="I1094" s="3">
        <f t="shared" si="69"/>
        <v>0</v>
      </c>
      <c r="J1094" s="4">
        <v>0</v>
      </c>
      <c r="K1094" s="11">
        <f>Table1[[#This Row],[original_price]]* (Table1[[#This Row],[Markdown percentage updated]])</f>
        <v>0</v>
      </c>
      <c r="L10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094" s="6">
        <v>144.1</v>
      </c>
      <c r="N10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094" s="7">
        <v>45875</v>
      </c>
      <c r="P1094">
        <v>36</v>
      </c>
      <c r="Q1094" s="16" t="str">
        <f>IF(Table1[[#This Row],[stock_quantity]]=0,"NO STOCK",
IF(Table1[[#This Row],[stock_quantity]]&lt;=10,"LOW STOCK",
"IN STOCK"))</f>
        <v>IN STOCK</v>
      </c>
      <c r="R1094" s="1">
        <f t="shared" si="70"/>
        <v>2.5</v>
      </c>
      <c r="S1094">
        <v>2.5</v>
      </c>
      <c r="T1094" t="b">
        <v>0</v>
      </c>
      <c r="U1094" t="str">
        <f t="shared" si="71"/>
        <v>No Return</v>
      </c>
    </row>
    <row r="1095" spans="1:22" hidden="1" x14ac:dyDescent="0.3">
      <c r="A1095" t="s">
        <v>1148</v>
      </c>
      <c r="B1095" t="s">
        <v>42</v>
      </c>
      <c r="C1095" t="s">
        <v>48</v>
      </c>
      <c r="D1095" t="s">
        <v>62</v>
      </c>
      <c r="E1095" t="str">
        <f t="shared" si="68"/>
        <v>XS</v>
      </c>
      <c r="F1095" t="s">
        <v>18</v>
      </c>
      <c r="G1095" t="s">
        <v>70</v>
      </c>
      <c r="H1095" s="8">
        <v>109.23</v>
      </c>
      <c r="I1095" s="3">
        <f t="shared" si="69"/>
        <v>0.10800000000000001</v>
      </c>
      <c r="J1095" s="4">
        <v>10.8</v>
      </c>
      <c r="K1095" s="11">
        <f>Table1[[#This Row],[original_price]]* (Table1[[#This Row],[Markdown percentage updated]])</f>
        <v>11.796840000000001</v>
      </c>
      <c r="L10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95" s="6">
        <v>97.43</v>
      </c>
      <c r="N10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095" s="7">
        <v>45875</v>
      </c>
      <c r="P1095">
        <v>38</v>
      </c>
      <c r="Q1095" s="16" t="str">
        <f>IF(Table1[[#This Row],[stock_quantity]]=0,"NO STOCK",
IF(Table1[[#This Row],[stock_quantity]]&lt;=10,"LOW STOCK",
"IN STOCK"))</f>
        <v>IN STOCK</v>
      </c>
      <c r="R1095" s="1">
        <f t="shared" si="70"/>
        <v>3.3</v>
      </c>
      <c r="S1095">
        <v>3.3</v>
      </c>
      <c r="T1095" t="b">
        <v>0</v>
      </c>
      <c r="U1095" t="str">
        <f t="shared" si="71"/>
        <v>No Return</v>
      </c>
    </row>
    <row r="1096" spans="1:22" hidden="1" x14ac:dyDescent="0.3">
      <c r="A1096" t="s">
        <v>1149</v>
      </c>
      <c r="B1096" t="s">
        <v>15</v>
      </c>
      <c r="C1096" t="s">
        <v>43</v>
      </c>
      <c r="D1096" t="s">
        <v>23</v>
      </c>
      <c r="E1096" t="str">
        <f t="shared" si="68"/>
        <v>OS</v>
      </c>
      <c r="F1096" t="s">
        <v>18</v>
      </c>
      <c r="G1096" t="s">
        <v>25</v>
      </c>
      <c r="H1096" s="8">
        <v>180.65</v>
      </c>
      <c r="I1096" s="3">
        <f t="shared" si="69"/>
        <v>0.17499999999999999</v>
      </c>
      <c r="J1096" s="4">
        <v>17.5</v>
      </c>
      <c r="K1096" s="11">
        <f>Table1[[#This Row],[original_price]]* (Table1[[#This Row],[Markdown percentage updated]])</f>
        <v>31.61375</v>
      </c>
      <c r="L10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096" s="6">
        <v>149.04</v>
      </c>
      <c r="N10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96" s="7">
        <v>45875</v>
      </c>
      <c r="P1096">
        <v>41</v>
      </c>
      <c r="Q1096" s="16" t="str">
        <f>IF(Table1[[#This Row],[stock_quantity]]=0,"NO STOCK",
IF(Table1[[#This Row],[stock_quantity]]&lt;=10,"LOW STOCK",
"IN STOCK"))</f>
        <v>IN STOCK</v>
      </c>
      <c r="R1096" s="1">
        <f t="shared" si="70"/>
        <v>1.4</v>
      </c>
      <c r="S1096">
        <v>1.4</v>
      </c>
      <c r="T1096" t="b">
        <v>0</v>
      </c>
      <c r="U1096" t="str">
        <f t="shared" si="71"/>
        <v>No Return</v>
      </c>
    </row>
    <row r="1097" spans="1:22" hidden="1" x14ac:dyDescent="0.3">
      <c r="A1097" t="s">
        <v>1150</v>
      </c>
      <c r="B1097" t="s">
        <v>15</v>
      </c>
      <c r="C1097" t="s">
        <v>32</v>
      </c>
      <c r="D1097" t="s">
        <v>17</v>
      </c>
      <c r="E1097" t="str">
        <f t="shared" si="68"/>
        <v>XS</v>
      </c>
      <c r="F1097" t="s">
        <v>58</v>
      </c>
      <c r="G1097" t="s">
        <v>46</v>
      </c>
      <c r="H1097" s="8">
        <v>129.24</v>
      </c>
      <c r="I1097" s="3">
        <f t="shared" si="69"/>
        <v>0.46200000000000002</v>
      </c>
      <c r="J1097" s="4">
        <v>46.2</v>
      </c>
      <c r="K1097" s="11">
        <f>Table1[[#This Row],[original_price]]* (Table1[[#This Row],[Markdown percentage updated]])</f>
        <v>59.708880000000008</v>
      </c>
      <c r="L10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97" s="6">
        <v>69.53</v>
      </c>
      <c r="N10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97" s="7">
        <v>45743</v>
      </c>
      <c r="P1097">
        <v>28</v>
      </c>
      <c r="Q1097" s="16" t="str">
        <f>IF(Table1[[#This Row],[stock_quantity]]=0,"NO STOCK",
IF(Table1[[#This Row],[stock_quantity]]&lt;=10,"LOW STOCK",
"IN STOCK"))</f>
        <v>IN STOCK</v>
      </c>
      <c r="R1097" s="1">
        <f t="shared" si="70"/>
        <v>3.2</v>
      </c>
      <c r="S1097">
        <v>3.2</v>
      </c>
      <c r="T1097" t="b">
        <v>0</v>
      </c>
      <c r="U1097" t="str">
        <f t="shared" si="71"/>
        <v>No Return</v>
      </c>
    </row>
    <row r="1098" spans="1:22" hidden="1" x14ac:dyDescent="0.3">
      <c r="A1098" t="s">
        <v>1151</v>
      </c>
      <c r="B1098" t="s">
        <v>30</v>
      </c>
      <c r="C1098" t="s">
        <v>61</v>
      </c>
      <c r="D1098" t="s">
        <v>62</v>
      </c>
      <c r="E1098" t="str">
        <f t="shared" si="68"/>
        <v>XL</v>
      </c>
      <c r="F1098" t="s">
        <v>55</v>
      </c>
      <c r="G1098" t="s">
        <v>44</v>
      </c>
      <c r="H1098" s="8">
        <v>195.67</v>
      </c>
      <c r="I1098" s="3">
        <f t="shared" si="69"/>
        <v>0.47100000000000003</v>
      </c>
      <c r="J1098" s="4">
        <v>47.1</v>
      </c>
      <c r="K1098" s="11">
        <f>Table1[[#This Row],[original_price]]* (Table1[[#This Row],[Markdown percentage updated]])</f>
        <v>92.160570000000007</v>
      </c>
      <c r="L10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098" s="6">
        <v>103.51</v>
      </c>
      <c r="N10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098" s="7">
        <v>45875</v>
      </c>
      <c r="P1098">
        <v>36</v>
      </c>
      <c r="Q1098" s="16" t="str">
        <f>IF(Table1[[#This Row],[stock_quantity]]=0,"NO STOCK",
IF(Table1[[#This Row],[stock_quantity]]&lt;=10,"LOW STOCK",
"IN STOCK"))</f>
        <v>IN STOCK</v>
      </c>
      <c r="R1098" s="1">
        <f t="shared" si="70"/>
        <v>4</v>
      </c>
      <c r="S1098">
        <v>4</v>
      </c>
      <c r="T1098" t="b">
        <v>0</v>
      </c>
      <c r="U1098" t="str">
        <f t="shared" si="71"/>
        <v>No Return</v>
      </c>
    </row>
    <row r="1099" spans="1:22" hidden="1" x14ac:dyDescent="0.3">
      <c r="A1099" t="s">
        <v>1152</v>
      </c>
      <c r="B1099" t="s">
        <v>27</v>
      </c>
      <c r="C1099" t="s">
        <v>32</v>
      </c>
      <c r="D1099" t="s">
        <v>23</v>
      </c>
      <c r="E1099" t="str">
        <f t="shared" si="68"/>
        <v>S</v>
      </c>
      <c r="G1099" t="s">
        <v>64</v>
      </c>
      <c r="H1099" s="8">
        <v>65.64</v>
      </c>
      <c r="I1099" s="3">
        <f t="shared" si="69"/>
        <v>0.20699999999999999</v>
      </c>
      <c r="J1099" s="4">
        <v>20.7</v>
      </c>
      <c r="K1099" s="11">
        <f>Table1[[#This Row],[original_price]]* (Table1[[#This Row],[Markdown percentage updated]])</f>
        <v>13.587479999999999</v>
      </c>
      <c r="L10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099" s="6">
        <v>52.05</v>
      </c>
      <c r="N10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099" s="7">
        <v>45875</v>
      </c>
      <c r="P1099">
        <v>20</v>
      </c>
      <c r="Q1099" s="16" t="str">
        <f>IF(Table1[[#This Row],[stock_quantity]]=0,"NO STOCK",
IF(Table1[[#This Row],[stock_quantity]]&lt;=10,"LOW STOCK",
"IN STOCK"))</f>
        <v>IN STOCK</v>
      </c>
      <c r="R1099" s="1">
        <f t="shared" si="70"/>
        <v>2.6</v>
      </c>
      <c r="S1099">
        <v>2.6</v>
      </c>
      <c r="T1099" t="b">
        <v>0</v>
      </c>
      <c r="U1099" t="str">
        <f t="shared" si="71"/>
        <v>No Return</v>
      </c>
    </row>
    <row r="1100" spans="1:22" hidden="1" x14ac:dyDescent="0.3">
      <c r="A1100" t="s">
        <v>1153</v>
      </c>
      <c r="B1100" t="s">
        <v>38</v>
      </c>
      <c r="C1100" t="s">
        <v>48</v>
      </c>
      <c r="D1100" t="s">
        <v>17</v>
      </c>
      <c r="E1100" t="str">
        <f t="shared" si="68"/>
        <v>XL</v>
      </c>
      <c r="F1100" t="s">
        <v>55</v>
      </c>
      <c r="G1100" t="s">
        <v>66</v>
      </c>
      <c r="H1100" s="8">
        <v>113.18</v>
      </c>
      <c r="I1100" s="3">
        <f t="shared" si="69"/>
        <v>0</v>
      </c>
      <c r="J1100" s="4">
        <v>0</v>
      </c>
      <c r="K1100" s="11">
        <f>Table1[[#This Row],[original_price]]* (Table1[[#This Row],[Markdown percentage updated]])</f>
        <v>0</v>
      </c>
      <c r="L11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00" s="6">
        <v>113.18</v>
      </c>
      <c r="N11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00" s="7">
        <v>45749</v>
      </c>
      <c r="P1100">
        <v>3</v>
      </c>
      <c r="Q1100" s="17" t="str">
        <f>IF(Table1[[#This Row],[stock_quantity]]=0,"NO STOCK",
IF(Table1[[#This Row],[stock_quantity]]&lt;=10,"LOW STOCK",
"IN STOCK"))</f>
        <v>LOW STOCK</v>
      </c>
      <c r="R1100" s="1">
        <f t="shared" si="70"/>
        <v>4.9000000000000004</v>
      </c>
      <c r="S1100">
        <v>4.9000000000000004</v>
      </c>
      <c r="T1100" t="b">
        <v>0</v>
      </c>
      <c r="U1100" t="str">
        <f t="shared" si="71"/>
        <v>No Return</v>
      </c>
    </row>
    <row r="1101" spans="1:22" hidden="1" x14ac:dyDescent="0.3">
      <c r="A1101" t="s">
        <v>1154</v>
      </c>
      <c r="B1101" t="s">
        <v>30</v>
      </c>
      <c r="C1101" t="s">
        <v>53</v>
      </c>
      <c r="D1101" t="s">
        <v>34</v>
      </c>
      <c r="E1101" t="str">
        <f t="shared" si="68"/>
        <v>OS</v>
      </c>
      <c r="F1101" t="s">
        <v>18</v>
      </c>
      <c r="G1101" t="s">
        <v>56</v>
      </c>
      <c r="H1101" s="8">
        <v>173.69</v>
      </c>
      <c r="I1101" s="3">
        <f t="shared" si="69"/>
        <v>0</v>
      </c>
      <c r="J1101" s="4">
        <v>0</v>
      </c>
      <c r="K1101" s="11">
        <f>Table1[[#This Row],[original_price]]* (Table1[[#This Row],[Markdown percentage updated]])</f>
        <v>0</v>
      </c>
      <c r="L11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01" s="6">
        <v>173.69</v>
      </c>
      <c r="N11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01" s="7">
        <v>45875</v>
      </c>
      <c r="P1101">
        <v>25</v>
      </c>
      <c r="Q1101" s="16" t="str">
        <f>IF(Table1[[#This Row],[stock_quantity]]=0,"NO STOCK",
IF(Table1[[#This Row],[stock_quantity]]&lt;=10,"LOW STOCK",
"IN STOCK"))</f>
        <v>IN STOCK</v>
      </c>
      <c r="R1101" s="1">
        <f t="shared" si="70"/>
        <v>3.6</v>
      </c>
      <c r="S1101">
        <v>3.6</v>
      </c>
      <c r="T1101" t="b">
        <v>0</v>
      </c>
      <c r="U1101" t="str">
        <f t="shared" si="71"/>
        <v>No Return</v>
      </c>
    </row>
    <row r="1102" spans="1:22" hidden="1" x14ac:dyDescent="0.3">
      <c r="A1102" t="s">
        <v>1155</v>
      </c>
      <c r="B1102" t="s">
        <v>15</v>
      </c>
      <c r="C1102" t="s">
        <v>16</v>
      </c>
      <c r="D1102" t="s">
        <v>34</v>
      </c>
      <c r="E1102" t="str">
        <f t="shared" si="68"/>
        <v>OS</v>
      </c>
      <c r="F1102" t="s">
        <v>39</v>
      </c>
      <c r="G1102" t="s">
        <v>40</v>
      </c>
      <c r="H1102" s="8">
        <v>156.54</v>
      </c>
      <c r="I1102" s="3">
        <f t="shared" si="69"/>
        <v>0</v>
      </c>
      <c r="J1102" s="4">
        <v>0</v>
      </c>
      <c r="K1102" s="11">
        <f>Table1[[#This Row],[original_price]]* (Table1[[#This Row],[Markdown percentage updated]])</f>
        <v>0</v>
      </c>
      <c r="L11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02" s="6">
        <v>156.54</v>
      </c>
      <c r="N11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02" s="7">
        <v>45875</v>
      </c>
      <c r="P1102">
        <v>23</v>
      </c>
      <c r="Q1102" s="16" t="str">
        <f>IF(Table1[[#This Row],[stock_quantity]]=0,"NO STOCK",
IF(Table1[[#This Row],[stock_quantity]]&lt;=10,"LOW STOCK",
"IN STOCK"))</f>
        <v>IN STOCK</v>
      </c>
      <c r="R1102" s="1">
        <f t="shared" si="70"/>
        <v>1.8</v>
      </c>
      <c r="S1102">
        <v>1.8</v>
      </c>
      <c r="T1102" t="b">
        <v>0</v>
      </c>
      <c r="U1102" t="str">
        <f t="shared" si="71"/>
        <v>No Return</v>
      </c>
    </row>
    <row r="1103" spans="1:22" hidden="1" x14ac:dyDescent="0.3">
      <c r="A1103" t="s">
        <v>1156</v>
      </c>
      <c r="B1103" t="s">
        <v>42</v>
      </c>
      <c r="C1103" t="s">
        <v>48</v>
      </c>
      <c r="D1103" t="s">
        <v>17</v>
      </c>
      <c r="E1103" t="str">
        <f t="shared" si="68"/>
        <v>XXL</v>
      </c>
      <c r="F1103" t="s">
        <v>18</v>
      </c>
      <c r="G1103" t="s">
        <v>70</v>
      </c>
      <c r="H1103" s="8">
        <v>103.78</v>
      </c>
      <c r="I1103" s="3">
        <f t="shared" si="69"/>
        <v>0.39</v>
      </c>
      <c r="J1103" s="4">
        <v>39</v>
      </c>
      <c r="K1103" s="11">
        <f>Table1[[#This Row],[original_price]]* (Table1[[#This Row],[Markdown percentage updated]])</f>
        <v>40.474200000000003</v>
      </c>
      <c r="L11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03" s="6">
        <v>63.31</v>
      </c>
      <c r="N11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03" s="7">
        <v>45577</v>
      </c>
      <c r="P1103">
        <v>5</v>
      </c>
      <c r="Q1103" s="17" t="str">
        <f>IF(Table1[[#This Row],[stock_quantity]]=0,"NO STOCK",
IF(Table1[[#This Row],[stock_quantity]]&lt;=10,"LOW STOCK",
"IN STOCK"))</f>
        <v>LOW STOCK</v>
      </c>
      <c r="R1103" s="1">
        <f t="shared" si="70"/>
        <v>0</v>
      </c>
      <c r="T1103" t="b">
        <v>0</v>
      </c>
      <c r="U1103" t="str">
        <f t="shared" si="71"/>
        <v>No Return</v>
      </c>
    </row>
    <row r="1104" spans="1:22" hidden="1" x14ac:dyDescent="0.3">
      <c r="A1104" t="s">
        <v>1157</v>
      </c>
      <c r="B1104" t="s">
        <v>27</v>
      </c>
      <c r="C1104" t="s">
        <v>61</v>
      </c>
      <c r="D1104" t="s">
        <v>34</v>
      </c>
      <c r="E1104" t="str">
        <f t="shared" si="68"/>
        <v>OS</v>
      </c>
      <c r="G1104" t="s">
        <v>28</v>
      </c>
      <c r="H1104" s="8">
        <v>79.599999999999994</v>
      </c>
      <c r="I1104" s="3">
        <f t="shared" si="69"/>
        <v>0</v>
      </c>
      <c r="J1104" s="4">
        <v>0</v>
      </c>
      <c r="K1104" s="11">
        <f>Table1[[#This Row],[original_price]]* (Table1[[#This Row],[Markdown percentage updated]])</f>
        <v>0</v>
      </c>
      <c r="L11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04" s="6">
        <v>79.599999999999994</v>
      </c>
      <c r="N11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04" s="7">
        <v>45875</v>
      </c>
      <c r="P1104">
        <v>22</v>
      </c>
      <c r="Q1104" s="16" t="str">
        <f>IF(Table1[[#This Row],[stock_quantity]]=0,"NO STOCK",
IF(Table1[[#This Row],[stock_quantity]]&lt;=10,"LOW STOCK",
"IN STOCK"))</f>
        <v>IN STOCK</v>
      </c>
      <c r="R1104" s="1">
        <f t="shared" si="70"/>
        <v>0</v>
      </c>
      <c r="T1104" t="b">
        <v>0</v>
      </c>
      <c r="U1104" t="str">
        <f t="shared" si="71"/>
        <v>No Return</v>
      </c>
    </row>
    <row r="1105" spans="1:22" hidden="1" x14ac:dyDescent="0.3">
      <c r="A1105" t="s">
        <v>1158</v>
      </c>
      <c r="B1105" t="s">
        <v>27</v>
      </c>
      <c r="C1105" t="s">
        <v>53</v>
      </c>
      <c r="D1105" t="s">
        <v>34</v>
      </c>
      <c r="E1105" t="str">
        <f t="shared" si="68"/>
        <v>XXL</v>
      </c>
      <c r="G1105" t="s">
        <v>56</v>
      </c>
      <c r="H1105" s="8">
        <v>34.18</v>
      </c>
      <c r="I1105" s="3">
        <f t="shared" si="69"/>
        <v>0.18899999999999997</v>
      </c>
      <c r="J1105" s="4">
        <v>18.899999999999999</v>
      </c>
      <c r="K1105" s="11">
        <f>Table1[[#This Row],[original_price]]* (Table1[[#This Row],[Markdown percentage updated]])</f>
        <v>6.4600199999999992</v>
      </c>
      <c r="L11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05" s="6">
        <v>27.72</v>
      </c>
      <c r="N11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05" s="7">
        <v>45875</v>
      </c>
      <c r="P1105">
        <v>50</v>
      </c>
      <c r="Q1105" s="16" t="str">
        <f>IF(Table1[[#This Row],[stock_quantity]]=0,"NO STOCK",
IF(Table1[[#This Row],[stock_quantity]]&lt;=10,"LOW STOCK",
"IN STOCK"))</f>
        <v>IN STOCK</v>
      </c>
      <c r="R1105" s="1">
        <f t="shared" si="70"/>
        <v>3.6</v>
      </c>
      <c r="S1105">
        <v>3.6</v>
      </c>
      <c r="T1105" t="b">
        <v>0</v>
      </c>
      <c r="U1105" t="str">
        <f t="shared" si="71"/>
        <v>No Return</v>
      </c>
    </row>
    <row r="1106" spans="1:22" hidden="1" x14ac:dyDescent="0.3">
      <c r="A1106" t="s">
        <v>1159</v>
      </c>
      <c r="B1106" t="s">
        <v>38</v>
      </c>
      <c r="C1106" t="s">
        <v>61</v>
      </c>
      <c r="D1106" t="s">
        <v>23</v>
      </c>
      <c r="E1106" t="str">
        <f t="shared" si="68"/>
        <v>XL</v>
      </c>
      <c r="F1106" t="s">
        <v>49</v>
      </c>
      <c r="G1106" t="s">
        <v>44</v>
      </c>
      <c r="H1106" s="8">
        <v>58.44</v>
      </c>
      <c r="I1106" s="3">
        <f t="shared" si="69"/>
        <v>0</v>
      </c>
      <c r="J1106" s="4">
        <v>0</v>
      </c>
      <c r="K1106" s="11">
        <f>Table1[[#This Row],[original_price]]* (Table1[[#This Row],[Markdown percentage updated]])</f>
        <v>0</v>
      </c>
      <c r="L11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06" s="6">
        <v>58.44</v>
      </c>
      <c r="N11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06" s="7">
        <v>45875</v>
      </c>
      <c r="P1106">
        <v>3</v>
      </c>
      <c r="Q1106" s="17" t="str">
        <f>IF(Table1[[#This Row],[stock_quantity]]=0,"NO STOCK",
IF(Table1[[#This Row],[stock_quantity]]&lt;=10,"LOW STOCK",
"IN STOCK"))</f>
        <v>LOW STOCK</v>
      </c>
      <c r="R1106" s="1">
        <f t="shared" si="70"/>
        <v>2.6</v>
      </c>
      <c r="S1106">
        <v>2.6</v>
      </c>
      <c r="T1106" t="b">
        <v>1</v>
      </c>
      <c r="U1106" s="13" t="str">
        <f t="shared" si="71"/>
        <v>Wrong Item</v>
      </c>
      <c r="V1106" t="s">
        <v>125</v>
      </c>
    </row>
    <row r="1107" spans="1:22" hidden="1" x14ac:dyDescent="0.3">
      <c r="A1107" t="s">
        <v>1160</v>
      </c>
      <c r="B1107" t="s">
        <v>27</v>
      </c>
      <c r="C1107" t="s">
        <v>16</v>
      </c>
      <c r="D1107" t="s">
        <v>62</v>
      </c>
      <c r="E1107" t="str">
        <f t="shared" si="68"/>
        <v>M</v>
      </c>
      <c r="G1107" t="s">
        <v>64</v>
      </c>
      <c r="H1107" s="8">
        <v>30.62</v>
      </c>
      <c r="I1107" s="3">
        <f t="shared" si="69"/>
        <v>0</v>
      </c>
      <c r="J1107" s="4">
        <v>0</v>
      </c>
      <c r="K1107" s="11">
        <f>Table1[[#This Row],[original_price]]* (Table1[[#This Row],[Markdown percentage updated]])</f>
        <v>0</v>
      </c>
      <c r="L11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07" s="6">
        <v>30.62</v>
      </c>
      <c r="N11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07" s="7">
        <v>45875</v>
      </c>
      <c r="P1107">
        <v>31</v>
      </c>
      <c r="Q1107" s="16" t="str">
        <f>IF(Table1[[#This Row],[stock_quantity]]=0,"NO STOCK",
IF(Table1[[#This Row],[stock_quantity]]&lt;=10,"LOW STOCK",
"IN STOCK"))</f>
        <v>IN STOCK</v>
      </c>
      <c r="R1107" s="1">
        <f t="shared" si="70"/>
        <v>3</v>
      </c>
      <c r="S1107">
        <v>3</v>
      </c>
      <c r="T1107" t="b">
        <v>1</v>
      </c>
      <c r="U1107" s="13" t="str">
        <f t="shared" si="71"/>
        <v>Damaged</v>
      </c>
      <c r="V1107" t="s">
        <v>78</v>
      </c>
    </row>
    <row r="1108" spans="1:22" hidden="1" x14ac:dyDescent="0.3">
      <c r="A1108" t="s">
        <v>1161</v>
      </c>
      <c r="B1108" t="s">
        <v>15</v>
      </c>
      <c r="C1108" t="s">
        <v>22</v>
      </c>
      <c r="D1108" t="s">
        <v>34</v>
      </c>
      <c r="E1108" t="str">
        <f t="shared" si="68"/>
        <v>OS</v>
      </c>
      <c r="F1108" t="s">
        <v>49</v>
      </c>
      <c r="G1108" t="s">
        <v>66</v>
      </c>
      <c r="H1108" s="8">
        <v>213.94</v>
      </c>
      <c r="I1108" s="3">
        <f t="shared" si="69"/>
        <v>0</v>
      </c>
      <c r="J1108" s="4">
        <v>0</v>
      </c>
      <c r="K1108" s="11">
        <f>Table1[[#This Row],[original_price]]* (Table1[[#This Row],[Markdown percentage updated]])</f>
        <v>0</v>
      </c>
      <c r="L11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08" s="6">
        <v>213.94</v>
      </c>
      <c r="N11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08" s="7">
        <v>45875</v>
      </c>
      <c r="P1108">
        <v>16</v>
      </c>
      <c r="Q1108" s="16" t="str">
        <f>IF(Table1[[#This Row],[stock_quantity]]=0,"NO STOCK",
IF(Table1[[#This Row],[stock_quantity]]&lt;=10,"LOW STOCK",
"IN STOCK"))</f>
        <v>IN STOCK</v>
      </c>
      <c r="R1108" s="1">
        <f t="shared" si="70"/>
        <v>4.7</v>
      </c>
      <c r="S1108">
        <v>4.7</v>
      </c>
      <c r="T1108" t="b">
        <v>0</v>
      </c>
      <c r="U1108" t="str">
        <f t="shared" si="71"/>
        <v>No Return</v>
      </c>
    </row>
    <row r="1109" spans="1:22" x14ac:dyDescent="0.3">
      <c r="A1109" t="s">
        <v>1162</v>
      </c>
      <c r="B1109" t="s">
        <v>38</v>
      </c>
      <c r="C1109" t="s">
        <v>75</v>
      </c>
      <c r="D1109" t="s">
        <v>34</v>
      </c>
      <c r="E1109" t="str">
        <f t="shared" si="68"/>
        <v>XXL</v>
      </c>
      <c r="F1109" t="s">
        <v>18</v>
      </c>
      <c r="G1109" t="s">
        <v>25</v>
      </c>
      <c r="H1109" s="8">
        <v>29.31</v>
      </c>
      <c r="I1109" s="3">
        <f t="shared" si="69"/>
        <v>0</v>
      </c>
      <c r="J1109" s="4">
        <v>0</v>
      </c>
      <c r="K1109" s="11">
        <f>Table1[[#This Row],[original_price]]* (Table1[[#This Row],[Markdown percentage updated]])</f>
        <v>0</v>
      </c>
      <c r="L11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09" s="6">
        <v>29.31</v>
      </c>
      <c r="N11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09" s="7">
        <v>45875</v>
      </c>
      <c r="P1109">
        <v>25</v>
      </c>
      <c r="Q1109" s="16" t="str">
        <f>IF(Table1[[#This Row],[stock_quantity]]=0,"NO STOCK",
IF(Table1[[#This Row],[stock_quantity]]&lt;=10,"LOW STOCK",
"IN STOCK"))</f>
        <v>IN STOCK</v>
      </c>
      <c r="R1109" s="1">
        <f t="shared" si="70"/>
        <v>4.5999999999999996</v>
      </c>
      <c r="S1109">
        <v>4.5999999999999996</v>
      </c>
      <c r="T1109" t="b">
        <v>1</v>
      </c>
      <c r="U1109" s="13" t="str">
        <f t="shared" si="71"/>
        <v>Changed Mind</v>
      </c>
      <c r="V1109" t="s">
        <v>115</v>
      </c>
    </row>
    <row r="1110" spans="1:22" hidden="1" x14ac:dyDescent="0.3">
      <c r="A1110" t="s">
        <v>1163</v>
      </c>
      <c r="B1110" t="s">
        <v>21</v>
      </c>
      <c r="C1110" t="s">
        <v>75</v>
      </c>
      <c r="D1110" t="s">
        <v>17</v>
      </c>
      <c r="E1110" t="str">
        <f t="shared" si="68"/>
        <v>OS</v>
      </c>
      <c r="F1110" t="s">
        <v>58</v>
      </c>
      <c r="G1110" t="s">
        <v>19</v>
      </c>
      <c r="H1110" s="8">
        <v>49.12</v>
      </c>
      <c r="I1110" s="3">
        <f t="shared" si="69"/>
        <v>0</v>
      </c>
      <c r="J1110" s="4">
        <v>0</v>
      </c>
      <c r="K1110" s="11">
        <f>Table1[[#This Row],[original_price]]* (Table1[[#This Row],[Markdown percentage updated]])</f>
        <v>0</v>
      </c>
      <c r="L11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10" s="6">
        <v>49.12</v>
      </c>
      <c r="N11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10" s="7">
        <v>45836</v>
      </c>
      <c r="P1110">
        <v>47</v>
      </c>
      <c r="Q1110" s="16" t="str">
        <f>IF(Table1[[#This Row],[stock_quantity]]=0,"NO STOCK",
IF(Table1[[#This Row],[stock_quantity]]&lt;=10,"LOW STOCK",
"IN STOCK"))</f>
        <v>IN STOCK</v>
      </c>
      <c r="R1110" s="1">
        <f t="shared" si="70"/>
        <v>0</v>
      </c>
      <c r="T1110" t="b">
        <v>0</v>
      </c>
      <c r="U1110" t="str">
        <f t="shared" si="71"/>
        <v>No Return</v>
      </c>
    </row>
    <row r="1111" spans="1:22" hidden="1" x14ac:dyDescent="0.3">
      <c r="A1111" t="s">
        <v>1164</v>
      </c>
      <c r="B1111" t="s">
        <v>38</v>
      </c>
      <c r="C1111" t="s">
        <v>32</v>
      </c>
      <c r="D1111" t="s">
        <v>34</v>
      </c>
      <c r="E1111" t="str">
        <f t="shared" si="68"/>
        <v>L</v>
      </c>
      <c r="G1111" t="s">
        <v>66</v>
      </c>
      <c r="H1111" s="8">
        <v>113.23</v>
      </c>
      <c r="I1111" s="3">
        <f t="shared" si="69"/>
        <v>0</v>
      </c>
      <c r="J1111" s="4">
        <v>0</v>
      </c>
      <c r="K1111" s="11">
        <f>Table1[[#This Row],[original_price]]* (Table1[[#This Row],[Markdown percentage updated]])</f>
        <v>0</v>
      </c>
      <c r="L11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11" s="6">
        <v>113.23</v>
      </c>
      <c r="N11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11" s="7">
        <v>45875</v>
      </c>
      <c r="P1111">
        <v>13</v>
      </c>
      <c r="Q1111" s="16" t="str">
        <f>IF(Table1[[#This Row],[stock_quantity]]=0,"NO STOCK",
IF(Table1[[#This Row],[stock_quantity]]&lt;=10,"LOW STOCK",
"IN STOCK"))</f>
        <v>IN STOCK</v>
      </c>
      <c r="R1111" s="1">
        <f t="shared" si="70"/>
        <v>3.7</v>
      </c>
      <c r="S1111">
        <v>3.7</v>
      </c>
      <c r="T1111" t="b">
        <v>0</v>
      </c>
      <c r="U1111" t="str">
        <f t="shared" si="71"/>
        <v>No Return</v>
      </c>
    </row>
    <row r="1112" spans="1:22" hidden="1" x14ac:dyDescent="0.3">
      <c r="A1112" t="s">
        <v>1165</v>
      </c>
      <c r="B1112" t="s">
        <v>15</v>
      </c>
      <c r="C1112" t="s">
        <v>32</v>
      </c>
      <c r="D1112" t="s">
        <v>17</v>
      </c>
      <c r="E1112" t="str">
        <f t="shared" si="68"/>
        <v>L</v>
      </c>
      <c r="F1112" t="s">
        <v>49</v>
      </c>
      <c r="G1112" t="s">
        <v>70</v>
      </c>
      <c r="H1112" s="8">
        <v>103.65</v>
      </c>
      <c r="I1112" s="3">
        <f t="shared" si="69"/>
        <v>0</v>
      </c>
      <c r="J1112" s="4">
        <v>0</v>
      </c>
      <c r="K1112" s="11">
        <f>Table1[[#This Row],[original_price]]* (Table1[[#This Row],[Markdown percentage updated]])</f>
        <v>0</v>
      </c>
      <c r="L11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12" s="6">
        <v>103.65</v>
      </c>
      <c r="N11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12" s="7">
        <v>45612</v>
      </c>
      <c r="P1112">
        <v>4</v>
      </c>
      <c r="Q1112" s="17" t="str">
        <f>IF(Table1[[#This Row],[stock_quantity]]=0,"NO STOCK",
IF(Table1[[#This Row],[stock_quantity]]&lt;=10,"LOW STOCK",
"IN STOCK"))</f>
        <v>LOW STOCK</v>
      </c>
      <c r="R1112" s="1">
        <f t="shared" si="70"/>
        <v>1</v>
      </c>
      <c r="S1112">
        <v>1</v>
      </c>
      <c r="T1112" t="b">
        <v>0</v>
      </c>
      <c r="U1112" t="str">
        <f t="shared" si="71"/>
        <v>No Return</v>
      </c>
    </row>
    <row r="1113" spans="1:22" hidden="1" x14ac:dyDescent="0.3">
      <c r="A1113" t="s">
        <v>1166</v>
      </c>
      <c r="B1113" t="s">
        <v>42</v>
      </c>
      <c r="C1113" t="s">
        <v>53</v>
      </c>
      <c r="D1113" t="s">
        <v>34</v>
      </c>
      <c r="E1113" t="str">
        <f t="shared" si="68"/>
        <v>S</v>
      </c>
      <c r="G1113" t="s">
        <v>40</v>
      </c>
      <c r="H1113" s="8">
        <v>71.84</v>
      </c>
      <c r="I1113" s="3">
        <f t="shared" si="69"/>
        <v>0.49399999999999999</v>
      </c>
      <c r="J1113" s="4">
        <v>49.4</v>
      </c>
      <c r="K1113" s="11">
        <f>Table1[[#This Row],[original_price]]* (Table1[[#This Row],[Markdown percentage updated]])</f>
        <v>35.488959999999999</v>
      </c>
      <c r="L11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13" s="6">
        <v>36.35</v>
      </c>
      <c r="N11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13" s="7">
        <v>45875</v>
      </c>
      <c r="P1113">
        <v>25</v>
      </c>
      <c r="Q1113" s="16" t="str">
        <f>IF(Table1[[#This Row],[stock_quantity]]=0,"NO STOCK",
IF(Table1[[#This Row],[stock_quantity]]&lt;=10,"LOW STOCK",
"IN STOCK"))</f>
        <v>IN STOCK</v>
      </c>
      <c r="R1113" s="1">
        <f t="shared" si="70"/>
        <v>0</v>
      </c>
      <c r="T1113" t="b">
        <v>0</v>
      </c>
      <c r="U1113" t="str">
        <f t="shared" si="71"/>
        <v>No Return</v>
      </c>
    </row>
    <row r="1114" spans="1:22" x14ac:dyDescent="0.3">
      <c r="A1114" t="s">
        <v>1167</v>
      </c>
      <c r="B1114" t="s">
        <v>30</v>
      </c>
      <c r="C1114" t="s">
        <v>16</v>
      </c>
      <c r="D1114" t="s">
        <v>23</v>
      </c>
      <c r="E1114" t="str">
        <f t="shared" si="68"/>
        <v>XXL</v>
      </c>
      <c r="F1114" t="s">
        <v>24</v>
      </c>
      <c r="G1114" t="s">
        <v>40</v>
      </c>
      <c r="H1114" s="8">
        <v>128.31</v>
      </c>
      <c r="I1114" s="3">
        <f t="shared" si="69"/>
        <v>0</v>
      </c>
      <c r="J1114" s="4">
        <v>0</v>
      </c>
      <c r="K1114" s="11">
        <f>Table1[[#This Row],[original_price]]* (Table1[[#This Row],[Markdown percentage updated]])</f>
        <v>0</v>
      </c>
      <c r="L11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14" s="6">
        <v>128.31</v>
      </c>
      <c r="N11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14" s="7">
        <v>45875</v>
      </c>
      <c r="P1114">
        <v>36</v>
      </c>
      <c r="Q1114" s="16" t="str">
        <f>IF(Table1[[#This Row],[stock_quantity]]=0,"NO STOCK",
IF(Table1[[#This Row],[stock_quantity]]&lt;=10,"LOW STOCK",
"IN STOCK"))</f>
        <v>IN STOCK</v>
      </c>
      <c r="R1114" s="1">
        <f t="shared" si="70"/>
        <v>4</v>
      </c>
      <c r="S1114">
        <v>4</v>
      </c>
      <c r="T1114" t="b">
        <v>1</v>
      </c>
      <c r="U1114" s="13" t="str">
        <f t="shared" si="71"/>
        <v>Changed Mind</v>
      </c>
      <c r="V1114" t="s">
        <v>115</v>
      </c>
    </row>
    <row r="1115" spans="1:22" hidden="1" x14ac:dyDescent="0.3">
      <c r="A1115" t="s">
        <v>1168</v>
      </c>
      <c r="B1115" t="s">
        <v>30</v>
      </c>
      <c r="C1115" t="s">
        <v>75</v>
      </c>
      <c r="D1115" t="s">
        <v>23</v>
      </c>
      <c r="E1115" t="str">
        <f t="shared" si="68"/>
        <v>XL</v>
      </c>
      <c r="F1115" t="s">
        <v>24</v>
      </c>
      <c r="G1115" t="s">
        <v>44</v>
      </c>
      <c r="H1115" s="8">
        <v>118.97</v>
      </c>
      <c r="I1115" s="3">
        <f t="shared" si="69"/>
        <v>0</v>
      </c>
      <c r="J1115" s="4">
        <v>0</v>
      </c>
      <c r="K1115" s="11">
        <f>Table1[[#This Row],[original_price]]* (Table1[[#This Row],[Markdown percentage updated]])</f>
        <v>0</v>
      </c>
      <c r="L11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15" s="6">
        <v>118.97</v>
      </c>
      <c r="N11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15" s="7">
        <v>45875</v>
      </c>
      <c r="P1115">
        <v>45</v>
      </c>
      <c r="Q1115" s="16" t="str">
        <f>IF(Table1[[#This Row],[stock_quantity]]=0,"NO STOCK",
IF(Table1[[#This Row],[stock_quantity]]&lt;=10,"LOW STOCK",
"IN STOCK"))</f>
        <v>IN STOCK</v>
      </c>
      <c r="R1115" s="1">
        <f t="shared" si="70"/>
        <v>3.8</v>
      </c>
      <c r="S1115">
        <v>3.8</v>
      </c>
      <c r="T1115" t="b">
        <v>0</v>
      </c>
      <c r="U1115" t="str">
        <f t="shared" si="71"/>
        <v>No Return</v>
      </c>
    </row>
    <row r="1116" spans="1:22" hidden="1" x14ac:dyDescent="0.3">
      <c r="A1116" t="s">
        <v>1169</v>
      </c>
      <c r="B1116" t="s">
        <v>38</v>
      </c>
      <c r="C1116" t="s">
        <v>16</v>
      </c>
      <c r="D1116" t="s">
        <v>23</v>
      </c>
      <c r="E1116" t="str">
        <f t="shared" si="68"/>
        <v>XS</v>
      </c>
      <c r="F1116" t="s">
        <v>39</v>
      </c>
      <c r="G1116" t="s">
        <v>19</v>
      </c>
      <c r="H1116" s="8">
        <v>31.98</v>
      </c>
      <c r="I1116" s="3">
        <f t="shared" si="69"/>
        <v>0.16500000000000001</v>
      </c>
      <c r="J1116" s="4">
        <v>16.5</v>
      </c>
      <c r="K1116" s="11">
        <f>Table1[[#This Row],[original_price]]* (Table1[[#This Row],[Markdown percentage updated]])</f>
        <v>5.2766999999999999</v>
      </c>
      <c r="L11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16" s="6">
        <v>26.7</v>
      </c>
      <c r="N11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16" s="7">
        <v>45875</v>
      </c>
      <c r="P1116">
        <v>48</v>
      </c>
      <c r="Q1116" s="16" t="str">
        <f>IF(Table1[[#This Row],[stock_quantity]]=0,"NO STOCK",
IF(Table1[[#This Row],[stock_quantity]]&lt;=10,"LOW STOCK",
"IN STOCK"))</f>
        <v>IN STOCK</v>
      </c>
      <c r="R1116" s="1">
        <f t="shared" si="70"/>
        <v>1.8</v>
      </c>
      <c r="S1116">
        <v>1.8</v>
      </c>
      <c r="T1116" t="b">
        <v>0</v>
      </c>
      <c r="U1116" t="str">
        <f t="shared" si="71"/>
        <v>No Return</v>
      </c>
    </row>
    <row r="1117" spans="1:22" hidden="1" x14ac:dyDescent="0.3">
      <c r="A1117" t="s">
        <v>1170</v>
      </c>
      <c r="B1117" t="s">
        <v>21</v>
      </c>
      <c r="C1117" t="s">
        <v>32</v>
      </c>
      <c r="D1117" t="s">
        <v>23</v>
      </c>
      <c r="E1117" t="str">
        <f t="shared" si="68"/>
        <v>XL</v>
      </c>
      <c r="F1117" t="s">
        <v>49</v>
      </c>
      <c r="G1117" t="s">
        <v>66</v>
      </c>
      <c r="H1117" s="8">
        <v>115.89</v>
      </c>
      <c r="I1117" s="3">
        <f t="shared" si="69"/>
        <v>0.26800000000000002</v>
      </c>
      <c r="J1117" s="4">
        <v>26.8</v>
      </c>
      <c r="K1117" s="11">
        <f>Table1[[#This Row],[original_price]]* (Table1[[#This Row],[Markdown percentage updated]])</f>
        <v>31.058520000000001</v>
      </c>
      <c r="L11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117" s="6">
        <v>84.83</v>
      </c>
      <c r="N11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17" s="7">
        <v>45875</v>
      </c>
      <c r="P1117">
        <v>26</v>
      </c>
      <c r="Q1117" s="16" t="str">
        <f>IF(Table1[[#This Row],[stock_quantity]]=0,"NO STOCK",
IF(Table1[[#This Row],[stock_quantity]]&lt;=10,"LOW STOCK",
"IN STOCK"))</f>
        <v>IN STOCK</v>
      </c>
      <c r="R1117" s="1">
        <f t="shared" si="70"/>
        <v>4.5999999999999996</v>
      </c>
      <c r="S1117">
        <v>4.5999999999999996</v>
      </c>
      <c r="T1117" t="b">
        <v>0</v>
      </c>
      <c r="U1117" t="str">
        <f t="shared" si="71"/>
        <v>No Return</v>
      </c>
    </row>
    <row r="1118" spans="1:22" hidden="1" x14ac:dyDescent="0.3">
      <c r="A1118" t="s">
        <v>1171</v>
      </c>
      <c r="B1118" t="s">
        <v>42</v>
      </c>
      <c r="C1118" t="s">
        <v>53</v>
      </c>
      <c r="D1118" t="s">
        <v>34</v>
      </c>
      <c r="E1118" t="str">
        <f t="shared" si="68"/>
        <v>XL</v>
      </c>
      <c r="F1118" t="s">
        <v>18</v>
      </c>
      <c r="G1118" t="s">
        <v>25</v>
      </c>
      <c r="H1118" s="8">
        <v>140.06</v>
      </c>
      <c r="I1118" s="3">
        <f t="shared" si="69"/>
        <v>0</v>
      </c>
      <c r="J1118" s="4">
        <v>0</v>
      </c>
      <c r="K1118" s="11">
        <f>Table1[[#This Row],[original_price]]* (Table1[[#This Row],[Markdown percentage updated]])</f>
        <v>0</v>
      </c>
      <c r="L11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18" s="6">
        <v>140.06</v>
      </c>
      <c r="N11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18" s="7">
        <v>45875</v>
      </c>
      <c r="P1118">
        <v>37</v>
      </c>
      <c r="Q1118" s="16" t="str">
        <f>IF(Table1[[#This Row],[stock_quantity]]=0,"NO STOCK",
IF(Table1[[#This Row],[stock_quantity]]&lt;=10,"LOW STOCK",
"IN STOCK"))</f>
        <v>IN STOCK</v>
      </c>
      <c r="R1118" s="1">
        <f t="shared" si="70"/>
        <v>2.2999999999999998</v>
      </c>
      <c r="S1118">
        <v>2.2999999999999998</v>
      </c>
      <c r="T1118" t="b">
        <v>0</v>
      </c>
      <c r="U1118" t="str">
        <f t="shared" si="71"/>
        <v>No Return</v>
      </c>
    </row>
    <row r="1119" spans="1:22" hidden="1" x14ac:dyDescent="0.3">
      <c r="A1119" t="s">
        <v>1172</v>
      </c>
      <c r="B1119" t="s">
        <v>30</v>
      </c>
      <c r="C1119" t="s">
        <v>43</v>
      </c>
      <c r="D1119" t="s">
        <v>34</v>
      </c>
      <c r="E1119" t="str">
        <f t="shared" si="68"/>
        <v>XL</v>
      </c>
      <c r="F1119" t="s">
        <v>55</v>
      </c>
      <c r="G1119" t="s">
        <v>25</v>
      </c>
      <c r="H1119" s="8">
        <v>154.82</v>
      </c>
      <c r="I1119" s="3">
        <f t="shared" si="69"/>
        <v>0</v>
      </c>
      <c r="J1119" s="4">
        <v>0</v>
      </c>
      <c r="K1119" s="11">
        <f>Table1[[#This Row],[original_price]]* (Table1[[#This Row],[Markdown percentage updated]])</f>
        <v>0</v>
      </c>
      <c r="L11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19" s="6">
        <v>154.82</v>
      </c>
      <c r="N11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19" s="7">
        <v>45875</v>
      </c>
      <c r="P1119">
        <v>10</v>
      </c>
      <c r="Q1119" s="17" t="str">
        <f>IF(Table1[[#This Row],[stock_quantity]]=0,"NO STOCK",
IF(Table1[[#This Row],[stock_quantity]]&lt;=10,"LOW STOCK",
"IN STOCK"))</f>
        <v>LOW STOCK</v>
      </c>
      <c r="R1119" s="1">
        <f t="shared" si="70"/>
        <v>4.0999999999999996</v>
      </c>
      <c r="S1119">
        <v>4.0999999999999996</v>
      </c>
      <c r="T1119" t="b">
        <v>0</v>
      </c>
      <c r="U1119" t="str">
        <f t="shared" si="71"/>
        <v>No Return</v>
      </c>
    </row>
    <row r="1120" spans="1:22" hidden="1" x14ac:dyDescent="0.3">
      <c r="A1120" t="s">
        <v>1173</v>
      </c>
      <c r="B1120" t="s">
        <v>42</v>
      </c>
      <c r="C1120" t="s">
        <v>22</v>
      </c>
      <c r="D1120" t="s">
        <v>23</v>
      </c>
      <c r="E1120" t="str">
        <f t="shared" si="68"/>
        <v>S</v>
      </c>
      <c r="F1120" t="s">
        <v>18</v>
      </c>
      <c r="G1120" t="s">
        <v>44</v>
      </c>
      <c r="H1120" s="8">
        <v>114.21</v>
      </c>
      <c r="I1120" s="3">
        <f t="shared" si="69"/>
        <v>0.20199999999999999</v>
      </c>
      <c r="J1120" s="4">
        <v>20.2</v>
      </c>
      <c r="K1120" s="11">
        <f>Table1[[#This Row],[original_price]]* (Table1[[#This Row],[Markdown percentage updated]])</f>
        <v>23.070419999999999</v>
      </c>
      <c r="L11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120" s="6">
        <v>91.14</v>
      </c>
      <c r="N11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20" s="7">
        <v>45875</v>
      </c>
      <c r="P1120">
        <v>5</v>
      </c>
      <c r="Q1120" s="17" t="str">
        <f>IF(Table1[[#This Row],[stock_quantity]]=0,"NO STOCK",
IF(Table1[[#This Row],[stock_quantity]]&lt;=10,"LOW STOCK",
"IN STOCK"))</f>
        <v>LOW STOCK</v>
      </c>
      <c r="R1120" s="1">
        <f t="shared" si="70"/>
        <v>2</v>
      </c>
      <c r="S1120">
        <v>2</v>
      </c>
      <c r="T1120" t="b">
        <v>1</v>
      </c>
      <c r="U1120" s="13" t="str">
        <f t="shared" si="71"/>
        <v>Wrong Item</v>
      </c>
      <c r="V1120" t="s">
        <v>125</v>
      </c>
    </row>
    <row r="1121" spans="1:22" hidden="1" x14ac:dyDescent="0.3">
      <c r="A1121" t="s">
        <v>1174</v>
      </c>
      <c r="B1121" t="s">
        <v>30</v>
      </c>
      <c r="C1121" t="s">
        <v>16</v>
      </c>
      <c r="D1121" t="s">
        <v>23</v>
      </c>
      <c r="E1121" t="str">
        <f t="shared" si="68"/>
        <v>XS</v>
      </c>
      <c r="F1121" t="s">
        <v>18</v>
      </c>
      <c r="G1121" t="s">
        <v>44</v>
      </c>
      <c r="H1121" s="8">
        <v>114.84</v>
      </c>
      <c r="I1121" s="3">
        <f t="shared" si="69"/>
        <v>0</v>
      </c>
      <c r="J1121" s="4">
        <v>0</v>
      </c>
      <c r="K1121" s="11">
        <f>Table1[[#This Row],[original_price]]* (Table1[[#This Row],[Markdown percentage updated]])</f>
        <v>0</v>
      </c>
      <c r="L11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21" s="6">
        <v>114.84</v>
      </c>
      <c r="N11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21" s="7">
        <v>45875</v>
      </c>
      <c r="P1121">
        <v>38</v>
      </c>
      <c r="Q1121" s="16" t="str">
        <f>IF(Table1[[#This Row],[stock_quantity]]=0,"NO STOCK",
IF(Table1[[#This Row],[stock_quantity]]&lt;=10,"LOW STOCK",
"IN STOCK"))</f>
        <v>IN STOCK</v>
      </c>
      <c r="R1121" s="1">
        <f t="shared" si="70"/>
        <v>2.6</v>
      </c>
      <c r="S1121">
        <v>2.6</v>
      </c>
      <c r="T1121" t="b">
        <v>1</v>
      </c>
      <c r="U1121" s="13" t="str">
        <f t="shared" si="71"/>
        <v>Color Mismatch</v>
      </c>
      <c r="V1121" t="s">
        <v>36</v>
      </c>
    </row>
    <row r="1122" spans="1:22" hidden="1" x14ac:dyDescent="0.3">
      <c r="A1122" t="s">
        <v>1175</v>
      </c>
      <c r="B1122" t="s">
        <v>42</v>
      </c>
      <c r="C1122" t="s">
        <v>43</v>
      </c>
      <c r="D1122" t="s">
        <v>23</v>
      </c>
      <c r="E1122" t="str">
        <f t="shared" si="68"/>
        <v>M</v>
      </c>
      <c r="F1122" t="s">
        <v>18</v>
      </c>
      <c r="G1122" t="s">
        <v>64</v>
      </c>
      <c r="H1122" s="8">
        <v>131.32</v>
      </c>
      <c r="I1122" s="3">
        <f t="shared" si="69"/>
        <v>6.8000000000000005E-2</v>
      </c>
      <c r="J1122" s="4">
        <v>6.8</v>
      </c>
      <c r="K1122" s="11">
        <f>Table1[[#This Row],[original_price]]* (Table1[[#This Row],[Markdown percentage updated]])</f>
        <v>8.9297599999999999</v>
      </c>
      <c r="L11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22" s="6">
        <v>122.39</v>
      </c>
      <c r="N11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22" s="7">
        <v>45875</v>
      </c>
      <c r="P1122">
        <v>18</v>
      </c>
      <c r="Q1122" s="16" t="str">
        <f>IF(Table1[[#This Row],[stock_quantity]]=0,"NO STOCK",
IF(Table1[[#This Row],[stock_quantity]]&lt;=10,"LOW STOCK",
"IN STOCK"))</f>
        <v>IN STOCK</v>
      </c>
      <c r="R1122" s="1">
        <f t="shared" si="70"/>
        <v>2</v>
      </c>
      <c r="S1122">
        <v>2</v>
      </c>
      <c r="T1122" t="b">
        <v>0</v>
      </c>
      <c r="U1122" t="str">
        <f t="shared" si="71"/>
        <v>No Return</v>
      </c>
    </row>
    <row r="1123" spans="1:22" hidden="1" x14ac:dyDescent="0.3">
      <c r="A1123" t="s">
        <v>1176</v>
      </c>
      <c r="B1123" t="s">
        <v>21</v>
      </c>
      <c r="C1123" t="s">
        <v>43</v>
      </c>
      <c r="D1123" t="s">
        <v>34</v>
      </c>
      <c r="E1123" t="str">
        <f t="shared" si="68"/>
        <v>L</v>
      </c>
      <c r="F1123" t="s">
        <v>39</v>
      </c>
      <c r="G1123" t="s">
        <v>25</v>
      </c>
      <c r="H1123" s="8">
        <v>91.41</v>
      </c>
      <c r="I1123" s="3">
        <f t="shared" si="69"/>
        <v>0.32100000000000001</v>
      </c>
      <c r="J1123" s="4">
        <v>32.1</v>
      </c>
      <c r="K1123" s="11">
        <f>Table1[[#This Row],[original_price]]* (Table1[[#This Row],[Markdown percentage updated]])</f>
        <v>29.342610000000001</v>
      </c>
      <c r="L11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23" s="6">
        <v>62.07</v>
      </c>
      <c r="N11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23" s="7">
        <v>45875</v>
      </c>
      <c r="P1123">
        <v>49</v>
      </c>
      <c r="Q1123" s="16" t="str">
        <f>IF(Table1[[#This Row],[stock_quantity]]=0,"NO STOCK",
IF(Table1[[#This Row],[stock_quantity]]&lt;=10,"LOW STOCK",
"IN STOCK"))</f>
        <v>IN STOCK</v>
      </c>
      <c r="R1123" s="1">
        <f t="shared" si="70"/>
        <v>2.2999999999999998</v>
      </c>
      <c r="S1123">
        <v>2.2999999999999998</v>
      </c>
      <c r="T1123" t="b">
        <v>0</v>
      </c>
      <c r="U1123" t="str">
        <f t="shared" si="71"/>
        <v>No Return</v>
      </c>
    </row>
    <row r="1124" spans="1:22" hidden="1" x14ac:dyDescent="0.3">
      <c r="A1124" t="s">
        <v>1177</v>
      </c>
      <c r="B1124" t="s">
        <v>15</v>
      </c>
      <c r="C1124" t="s">
        <v>61</v>
      </c>
      <c r="D1124" t="s">
        <v>34</v>
      </c>
      <c r="E1124" t="str">
        <f t="shared" si="68"/>
        <v>XL</v>
      </c>
      <c r="F1124" t="s">
        <v>55</v>
      </c>
      <c r="G1124" t="s">
        <v>28</v>
      </c>
      <c r="H1124" s="8">
        <v>202.28</v>
      </c>
      <c r="I1124" s="3">
        <f t="shared" si="69"/>
        <v>0</v>
      </c>
      <c r="J1124" s="4">
        <v>0</v>
      </c>
      <c r="K1124" s="11">
        <f>Table1[[#This Row],[original_price]]* (Table1[[#This Row],[Markdown percentage updated]])</f>
        <v>0</v>
      </c>
      <c r="L11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24" s="6">
        <v>202.28</v>
      </c>
      <c r="N11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24" s="7">
        <v>45875</v>
      </c>
      <c r="P1124">
        <v>4</v>
      </c>
      <c r="Q1124" s="17" t="str">
        <f>IF(Table1[[#This Row],[stock_quantity]]=0,"NO STOCK",
IF(Table1[[#This Row],[stock_quantity]]&lt;=10,"LOW STOCK",
"IN STOCK"))</f>
        <v>LOW STOCK</v>
      </c>
      <c r="R1124" s="1">
        <f t="shared" si="70"/>
        <v>0</v>
      </c>
      <c r="T1124" t="b">
        <v>0</v>
      </c>
      <c r="U1124" t="str">
        <f t="shared" si="71"/>
        <v>No Return</v>
      </c>
    </row>
    <row r="1125" spans="1:22" hidden="1" x14ac:dyDescent="0.3">
      <c r="A1125" t="s">
        <v>1178</v>
      </c>
      <c r="B1125" t="s">
        <v>38</v>
      </c>
      <c r="C1125" t="s">
        <v>75</v>
      </c>
      <c r="D1125" t="s">
        <v>34</v>
      </c>
      <c r="E1125" t="str">
        <f t="shared" si="68"/>
        <v>L</v>
      </c>
      <c r="F1125" t="s">
        <v>58</v>
      </c>
      <c r="G1125" t="s">
        <v>19</v>
      </c>
      <c r="H1125" s="8">
        <v>119.63</v>
      </c>
      <c r="I1125" s="3">
        <f t="shared" si="69"/>
        <v>0</v>
      </c>
      <c r="J1125" s="4">
        <v>0</v>
      </c>
      <c r="K1125" s="11">
        <f>Table1[[#This Row],[original_price]]* (Table1[[#This Row],[Markdown percentage updated]])</f>
        <v>0</v>
      </c>
      <c r="L11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25" s="6">
        <v>119.63</v>
      </c>
      <c r="N11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25" s="7">
        <v>45875</v>
      </c>
      <c r="P1125">
        <v>14</v>
      </c>
      <c r="Q1125" s="16" t="str">
        <f>IF(Table1[[#This Row],[stock_quantity]]=0,"NO STOCK",
IF(Table1[[#This Row],[stock_quantity]]&lt;=10,"LOW STOCK",
"IN STOCK"))</f>
        <v>IN STOCK</v>
      </c>
      <c r="R1125" s="1">
        <f t="shared" si="70"/>
        <v>2.1</v>
      </c>
      <c r="S1125">
        <v>2.1</v>
      </c>
      <c r="T1125" t="b">
        <v>0</v>
      </c>
      <c r="U1125" t="str">
        <f t="shared" si="71"/>
        <v>No Return</v>
      </c>
    </row>
    <row r="1126" spans="1:22" hidden="1" x14ac:dyDescent="0.3">
      <c r="A1126" t="s">
        <v>1179</v>
      </c>
      <c r="B1126" t="s">
        <v>30</v>
      </c>
      <c r="C1126" t="s">
        <v>32</v>
      </c>
      <c r="D1126" t="s">
        <v>62</v>
      </c>
      <c r="E1126" t="str">
        <f t="shared" si="68"/>
        <v>XS</v>
      </c>
      <c r="F1126" t="s">
        <v>24</v>
      </c>
      <c r="G1126" t="s">
        <v>44</v>
      </c>
      <c r="H1126" s="8">
        <v>167.89</v>
      </c>
      <c r="I1126" s="3">
        <f t="shared" si="69"/>
        <v>0</v>
      </c>
      <c r="J1126" s="4">
        <v>0</v>
      </c>
      <c r="K1126" s="11">
        <f>Table1[[#This Row],[original_price]]* (Table1[[#This Row],[Markdown percentage updated]])</f>
        <v>0</v>
      </c>
      <c r="L11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26" s="6">
        <v>167.89</v>
      </c>
      <c r="N11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26" s="7">
        <v>45875</v>
      </c>
      <c r="P1126">
        <v>12</v>
      </c>
      <c r="Q1126" s="16" t="str">
        <f>IF(Table1[[#This Row],[stock_quantity]]=0,"NO STOCK",
IF(Table1[[#This Row],[stock_quantity]]&lt;=10,"LOW STOCK",
"IN STOCK"))</f>
        <v>IN STOCK</v>
      </c>
      <c r="R1126" s="1">
        <f t="shared" si="70"/>
        <v>1</v>
      </c>
      <c r="S1126">
        <v>1</v>
      </c>
      <c r="T1126" t="b">
        <v>0</v>
      </c>
      <c r="U1126" t="str">
        <f t="shared" si="71"/>
        <v>No Return</v>
      </c>
    </row>
    <row r="1127" spans="1:22" hidden="1" x14ac:dyDescent="0.3">
      <c r="A1127" t="s">
        <v>1180</v>
      </c>
      <c r="B1127" t="s">
        <v>30</v>
      </c>
      <c r="C1127" t="s">
        <v>22</v>
      </c>
      <c r="D1127" t="s">
        <v>17</v>
      </c>
      <c r="E1127" t="str">
        <f t="shared" si="68"/>
        <v>XXL</v>
      </c>
      <c r="F1127" t="s">
        <v>18</v>
      </c>
      <c r="G1127" t="s">
        <v>44</v>
      </c>
      <c r="H1127" s="8">
        <v>100.39</v>
      </c>
      <c r="I1127" s="3">
        <f t="shared" si="69"/>
        <v>0</v>
      </c>
      <c r="J1127" s="4">
        <v>0</v>
      </c>
      <c r="K1127" s="11">
        <f>Table1[[#This Row],[original_price]]* (Table1[[#This Row],[Markdown percentage updated]])</f>
        <v>0</v>
      </c>
      <c r="L11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27" s="6">
        <v>100.39</v>
      </c>
      <c r="N11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27" s="7">
        <v>45723</v>
      </c>
      <c r="P1127">
        <v>24</v>
      </c>
      <c r="Q1127" s="16" t="str">
        <f>IF(Table1[[#This Row],[stock_quantity]]=0,"NO STOCK",
IF(Table1[[#This Row],[stock_quantity]]&lt;=10,"LOW STOCK",
"IN STOCK"))</f>
        <v>IN STOCK</v>
      </c>
      <c r="R1127" s="1">
        <f t="shared" si="70"/>
        <v>3.2</v>
      </c>
      <c r="S1127">
        <v>3.2</v>
      </c>
      <c r="T1127" t="b">
        <v>1</v>
      </c>
      <c r="U1127" s="13" t="str">
        <f t="shared" si="71"/>
        <v>Quality Issue</v>
      </c>
      <c r="V1127" t="s">
        <v>83</v>
      </c>
    </row>
    <row r="1128" spans="1:22" hidden="1" x14ac:dyDescent="0.3">
      <c r="A1128" t="s">
        <v>1181</v>
      </c>
      <c r="B1128" t="s">
        <v>42</v>
      </c>
      <c r="C1128" t="s">
        <v>61</v>
      </c>
      <c r="D1128" t="s">
        <v>62</v>
      </c>
      <c r="E1128" t="str">
        <f t="shared" si="68"/>
        <v>M</v>
      </c>
      <c r="F1128" t="s">
        <v>24</v>
      </c>
      <c r="G1128" t="s">
        <v>40</v>
      </c>
      <c r="H1128" s="8">
        <v>162.41999999999999</v>
      </c>
      <c r="I1128" s="3">
        <f t="shared" si="69"/>
        <v>0.40899999999999997</v>
      </c>
      <c r="J1128" s="4">
        <v>40.9</v>
      </c>
      <c r="K1128" s="11">
        <f>Table1[[#This Row],[original_price]]* (Table1[[#This Row],[Markdown percentage updated]])</f>
        <v>66.429779999999994</v>
      </c>
      <c r="L11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28" s="6">
        <v>95.99</v>
      </c>
      <c r="N11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28" s="7">
        <v>45875</v>
      </c>
      <c r="P1128">
        <v>32</v>
      </c>
      <c r="Q1128" s="16" t="str">
        <f>IF(Table1[[#This Row],[stock_quantity]]=0,"NO STOCK",
IF(Table1[[#This Row],[stock_quantity]]&lt;=10,"LOW STOCK",
"IN STOCK"))</f>
        <v>IN STOCK</v>
      </c>
      <c r="R1128" s="1">
        <f t="shared" si="70"/>
        <v>1</v>
      </c>
      <c r="S1128">
        <v>1</v>
      </c>
      <c r="T1128" t="b">
        <v>0</v>
      </c>
      <c r="U1128" t="str">
        <f t="shared" si="71"/>
        <v>No Return</v>
      </c>
    </row>
    <row r="1129" spans="1:22" hidden="1" x14ac:dyDescent="0.3">
      <c r="A1129" t="s">
        <v>1182</v>
      </c>
      <c r="B1129" t="s">
        <v>30</v>
      </c>
      <c r="C1129" t="s">
        <v>61</v>
      </c>
      <c r="D1129" t="s">
        <v>17</v>
      </c>
      <c r="E1129" t="str">
        <f t="shared" si="68"/>
        <v>OS</v>
      </c>
      <c r="F1129" t="s">
        <v>55</v>
      </c>
      <c r="G1129" t="s">
        <v>40</v>
      </c>
      <c r="H1129" s="8">
        <v>65.069999999999993</v>
      </c>
      <c r="I1129" s="3">
        <f t="shared" si="69"/>
        <v>5.0999999999999997E-2</v>
      </c>
      <c r="J1129" s="4">
        <v>5.0999999999999996</v>
      </c>
      <c r="K1129" s="11">
        <f>Table1[[#This Row],[original_price]]* (Table1[[#This Row],[Markdown percentage updated]])</f>
        <v>3.3185699999999994</v>
      </c>
      <c r="L11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29" s="6">
        <v>61.75</v>
      </c>
      <c r="N11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29" s="7">
        <v>45674</v>
      </c>
      <c r="P1129">
        <v>16</v>
      </c>
      <c r="Q1129" s="16" t="str">
        <f>IF(Table1[[#This Row],[stock_quantity]]=0,"NO STOCK",
IF(Table1[[#This Row],[stock_quantity]]&lt;=10,"LOW STOCK",
"IN STOCK"))</f>
        <v>IN STOCK</v>
      </c>
      <c r="R1129" s="1">
        <f t="shared" si="70"/>
        <v>4.3</v>
      </c>
      <c r="S1129">
        <v>4.3</v>
      </c>
      <c r="T1129" t="b">
        <v>0</v>
      </c>
      <c r="U1129" t="str">
        <f t="shared" si="71"/>
        <v>No Return</v>
      </c>
    </row>
    <row r="1130" spans="1:22" hidden="1" x14ac:dyDescent="0.3">
      <c r="A1130" t="s">
        <v>1183</v>
      </c>
      <c r="B1130" t="s">
        <v>38</v>
      </c>
      <c r="C1130" t="s">
        <v>75</v>
      </c>
      <c r="D1130" t="s">
        <v>17</v>
      </c>
      <c r="E1130" t="str">
        <f t="shared" si="68"/>
        <v>S</v>
      </c>
      <c r="F1130" t="s">
        <v>49</v>
      </c>
      <c r="G1130" t="s">
        <v>19</v>
      </c>
      <c r="H1130" s="8">
        <v>78.099999999999994</v>
      </c>
      <c r="I1130" s="3">
        <f t="shared" si="69"/>
        <v>0.48700000000000004</v>
      </c>
      <c r="J1130" s="4">
        <v>48.7</v>
      </c>
      <c r="K1130" s="11">
        <f>Table1[[#This Row],[original_price]]* (Table1[[#This Row],[Markdown percentage updated]])</f>
        <v>38.034700000000001</v>
      </c>
      <c r="L11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30" s="6">
        <v>40.07</v>
      </c>
      <c r="N11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30" s="7">
        <v>45783</v>
      </c>
      <c r="P1130">
        <v>0</v>
      </c>
      <c r="Q1130" s="13" t="str">
        <f>IF(Table1[[#This Row],[stock_quantity]]=0,"NO STOCK",
IF(Table1[[#This Row],[stock_quantity]]&lt;=10,"LOW STOCK",
"IN STOCK"))</f>
        <v>NO STOCK</v>
      </c>
      <c r="R1130" s="1">
        <f t="shared" si="70"/>
        <v>0</v>
      </c>
      <c r="T1130" t="b">
        <v>0</v>
      </c>
      <c r="U1130" t="str">
        <f t="shared" si="71"/>
        <v>No Return</v>
      </c>
    </row>
    <row r="1131" spans="1:22" hidden="1" x14ac:dyDescent="0.3">
      <c r="A1131" t="s">
        <v>1184</v>
      </c>
      <c r="B1131" t="s">
        <v>15</v>
      </c>
      <c r="C1131" t="s">
        <v>16</v>
      </c>
      <c r="D1131" t="s">
        <v>17</v>
      </c>
      <c r="E1131" t="str">
        <f t="shared" si="68"/>
        <v>L</v>
      </c>
      <c r="F1131" t="s">
        <v>58</v>
      </c>
      <c r="G1131" t="s">
        <v>44</v>
      </c>
      <c r="H1131" s="8">
        <v>115.73</v>
      </c>
      <c r="I1131" s="3">
        <f t="shared" si="69"/>
        <v>0.59799999999999998</v>
      </c>
      <c r="J1131" s="4">
        <v>59.8</v>
      </c>
      <c r="K1131" s="11">
        <f>Table1[[#This Row],[original_price]]* (Table1[[#This Row],[Markdown percentage updated]])</f>
        <v>69.206540000000004</v>
      </c>
      <c r="L11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31" s="6">
        <v>46.52</v>
      </c>
      <c r="N11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31" s="7">
        <v>45563</v>
      </c>
      <c r="P1131">
        <v>10</v>
      </c>
      <c r="Q1131" s="17" t="str">
        <f>IF(Table1[[#This Row],[stock_quantity]]=0,"NO STOCK",
IF(Table1[[#This Row],[stock_quantity]]&lt;=10,"LOW STOCK",
"IN STOCK"))</f>
        <v>LOW STOCK</v>
      </c>
      <c r="R1131" s="1">
        <f t="shared" si="70"/>
        <v>4.2</v>
      </c>
      <c r="S1131">
        <v>4.2</v>
      </c>
      <c r="T1131" t="b">
        <v>0</v>
      </c>
      <c r="U1131" t="str">
        <f t="shared" si="71"/>
        <v>No Return</v>
      </c>
    </row>
    <row r="1132" spans="1:22" x14ac:dyDescent="0.3">
      <c r="A1132" t="s">
        <v>1185</v>
      </c>
      <c r="B1132" t="s">
        <v>27</v>
      </c>
      <c r="C1132" t="s">
        <v>53</v>
      </c>
      <c r="D1132" t="s">
        <v>34</v>
      </c>
      <c r="E1132" t="str">
        <f t="shared" si="68"/>
        <v>XL</v>
      </c>
      <c r="G1132" t="s">
        <v>64</v>
      </c>
      <c r="H1132" s="8">
        <v>21.57</v>
      </c>
      <c r="I1132" s="3">
        <f t="shared" si="69"/>
        <v>0.11900000000000001</v>
      </c>
      <c r="J1132" s="4">
        <v>11.9</v>
      </c>
      <c r="K1132" s="11">
        <f>Table1[[#This Row],[original_price]]* (Table1[[#This Row],[Markdown percentage updated]])</f>
        <v>2.5668300000000004</v>
      </c>
      <c r="L11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32" s="6">
        <v>19</v>
      </c>
      <c r="N11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32" s="7">
        <v>45875</v>
      </c>
      <c r="P1132">
        <v>37</v>
      </c>
      <c r="Q1132" s="16" t="str">
        <f>IF(Table1[[#This Row],[stock_quantity]]=0,"NO STOCK",
IF(Table1[[#This Row],[stock_quantity]]&lt;=10,"LOW STOCK",
"IN STOCK"))</f>
        <v>IN STOCK</v>
      </c>
      <c r="R1132" s="1">
        <f t="shared" si="70"/>
        <v>3</v>
      </c>
      <c r="S1132">
        <v>3</v>
      </c>
      <c r="T1132" t="b">
        <v>1</v>
      </c>
      <c r="U1132" s="13" t="str">
        <f t="shared" si="71"/>
        <v>Changed Mind</v>
      </c>
      <c r="V1132" t="s">
        <v>115</v>
      </c>
    </row>
    <row r="1133" spans="1:22" hidden="1" x14ac:dyDescent="0.3">
      <c r="A1133" t="s">
        <v>1186</v>
      </c>
      <c r="B1133" t="s">
        <v>42</v>
      </c>
      <c r="C1133" t="s">
        <v>32</v>
      </c>
      <c r="D1133" t="s">
        <v>34</v>
      </c>
      <c r="E1133" t="str">
        <f t="shared" si="68"/>
        <v>S</v>
      </c>
      <c r="F1133" t="s">
        <v>39</v>
      </c>
      <c r="G1133" t="s">
        <v>70</v>
      </c>
      <c r="H1133" s="8">
        <v>75.849999999999994</v>
      </c>
      <c r="I1133" s="3">
        <f t="shared" si="69"/>
        <v>0.503</v>
      </c>
      <c r="J1133" s="4">
        <v>50.3</v>
      </c>
      <c r="K1133" s="11">
        <f>Table1[[#This Row],[original_price]]* (Table1[[#This Row],[Markdown percentage updated]])</f>
        <v>38.152549999999998</v>
      </c>
      <c r="L11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33" s="6">
        <v>37.700000000000003</v>
      </c>
      <c r="N11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33" s="7">
        <v>45875</v>
      </c>
      <c r="P1133">
        <v>50</v>
      </c>
      <c r="Q1133" s="16" t="str">
        <f>IF(Table1[[#This Row],[stock_quantity]]=0,"NO STOCK",
IF(Table1[[#This Row],[stock_quantity]]&lt;=10,"LOW STOCK",
"IN STOCK"))</f>
        <v>IN STOCK</v>
      </c>
      <c r="R1133" s="1">
        <f t="shared" si="70"/>
        <v>4.7</v>
      </c>
      <c r="S1133">
        <v>4.7</v>
      </c>
      <c r="T1133" t="b">
        <v>1</v>
      </c>
      <c r="U1133" s="13" t="str">
        <f t="shared" si="71"/>
        <v>Quality Issue</v>
      </c>
      <c r="V1133" t="s">
        <v>83</v>
      </c>
    </row>
    <row r="1134" spans="1:22" hidden="1" x14ac:dyDescent="0.3">
      <c r="A1134" t="s">
        <v>1187</v>
      </c>
      <c r="B1134" t="s">
        <v>15</v>
      </c>
      <c r="C1134" t="s">
        <v>22</v>
      </c>
      <c r="D1134" t="s">
        <v>62</v>
      </c>
      <c r="E1134" t="str">
        <f t="shared" si="68"/>
        <v>XS</v>
      </c>
      <c r="F1134" t="s">
        <v>24</v>
      </c>
      <c r="G1134" t="s">
        <v>46</v>
      </c>
      <c r="H1134" s="8">
        <v>170.91</v>
      </c>
      <c r="I1134" s="3">
        <f t="shared" si="69"/>
        <v>0</v>
      </c>
      <c r="J1134" s="4">
        <v>0</v>
      </c>
      <c r="K1134" s="11">
        <f>Table1[[#This Row],[original_price]]* (Table1[[#This Row],[Markdown percentage updated]])</f>
        <v>0</v>
      </c>
      <c r="L11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34" s="6">
        <v>170.91</v>
      </c>
      <c r="N11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34" s="7">
        <v>45875</v>
      </c>
      <c r="P1134">
        <v>36</v>
      </c>
      <c r="Q1134" s="16" t="str">
        <f>IF(Table1[[#This Row],[stock_quantity]]=0,"NO STOCK",
IF(Table1[[#This Row],[stock_quantity]]&lt;=10,"LOW STOCK",
"IN STOCK"))</f>
        <v>IN STOCK</v>
      </c>
      <c r="R1134" s="1">
        <f t="shared" si="70"/>
        <v>1.6</v>
      </c>
      <c r="S1134">
        <v>1.6</v>
      </c>
      <c r="T1134" t="b">
        <v>1</v>
      </c>
      <c r="U1134" s="13" t="str">
        <f t="shared" si="71"/>
        <v>Quality Issue</v>
      </c>
      <c r="V1134" t="s">
        <v>83</v>
      </c>
    </row>
    <row r="1135" spans="1:22" hidden="1" x14ac:dyDescent="0.3">
      <c r="A1135" t="s">
        <v>1188</v>
      </c>
      <c r="B1135" t="s">
        <v>30</v>
      </c>
      <c r="C1135" t="s">
        <v>48</v>
      </c>
      <c r="D1135" t="s">
        <v>34</v>
      </c>
      <c r="E1135" t="str">
        <f t="shared" si="68"/>
        <v>S</v>
      </c>
      <c r="F1135" t="s">
        <v>18</v>
      </c>
      <c r="G1135" t="s">
        <v>35</v>
      </c>
      <c r="H1135" s="8">
        <v>94.06</v>
      </c>
      <c r="I1135" s="3">
        <f t="shared" si="69"/>
        <v>0.22399999999999998</v>
      </c>
      <c r="J1135" s="4">
        <v>22.4</v>
      </c>
      <c r="K1135" s="11">
        <f>Table1[[#This Row],[original_price]]* (Table1[[#This Row],[Markdown percentage updated]])</f>
        <v>21.069439999999997</v>
      </c>
      <c r="L11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135" s="6">
        <v>72.989999999999995</v>
      </c>
      <c r="N11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35" s="7">
        <v>45875</v>
      </c>
      <c r="P1135">
        <v>0</v>
      </c>
      <c r="Q1135" s="13" t="str">
        <f>IF(Table1[[#This Row],[stock_quantity]]=0,"NO STOCK",
IF(Table1[[#This Row],[stock_quantity]]&lt;=10,"LOW STOCK",
"IN STOCK"))</f>
        <v>NO STOCK</v>
      </c>
      <c r="R1135" s="1">
        <f t="shared" si="70"/>
        <v>0</v>
      </c>
      <c r="T1135" t="b">
        <v>0</v>
      </c>
      <c r="U1135" t="str">
        <f t="shared" si="71"/>
        <v>No Return</v>
      </c>
    </row>
    <row r="1136" spans="1:22" hidden="1" x14ac:dyDescent="0.3">
      <c r="A1136" t="s">
        <v>1189</v>
      </c>
      <c r="B1136" t="s">
        <v>38</v>
      </c>
      <c r="C1136" t="s">
        <v>48</v>
      </c>
      <c r="D1136" t="s">
        <v>62</v>
      </c>
      <c r="E1136" t="str">
        <f t="shared" si="68"/>
        <v>M</v>
      </c>
      <c r="F1136" t="s">
        <v>39</v>
      </c>
      <c r="G1136" t="s">
        <v>44</v>
      </c>
      <c r="H1136" s="8">
        <v>84.44</v>
      </c>
      <c r="I1136" s="3">
        <f t="shared" si="69"/>
        <v>0</v>
      </c>
      <c r="J1136" s="4">
        <v>0</v>
      </c>
      <c r="K1136" s="11">
        <f>Table1[[#This Row],[original_price]]* (Table1[[#This Row],[Markdown percentage updated]])</f>
        <v>0</v>
      </c>
      <c r="L11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36" s="6">
        <v>84.44</v>
      </c>
      <c r="N11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36" s="7">
        <v>45875</v>
      </c>
      <c r="P1136">
        <v>2</v>
      </c>
      <c r="Q1136" s="17" t="str">
        <f>IF(Table1[[#This Row],[stock_quantity]]=0,"NO STOCK",
IF(Table1[[#This Row],[stock_quantity]]&lt;=10,"LOW STOCK",
"IN STOCK"))</f>
        <v>LOW STOCK</v>
      </c>
      <c r="R1136" s="1">
        <f t="shared" si="70"/>
        <v>1.1000000000000001</v>
      </c>
      <c r="S1136">
        <v>1.1000000000000001</v>
      </c>
      <c r="T1136" t="b">
        <v>0</v>
      </c>
      <c r="U1136" t="str">
        <f t="shared" si="71"/>
        <v>No Return</v>
      </c>
    </row>
    <row r="1137" spans="1:22" hidden="1" x14ac:dyDescent="0.3">
      <c r="A1137" t="s">
        <v>1190</v>
      </c>
      <c r="B1137" t="s">
        <v>15</v>
      </c>
      <c r="C1137" t="s">
        <v>16</v>
      </c>
      <c r="D1137" t="s">
        <v>62</v>
      </c>
      <c r="E1137" t="str">
        <f t="shared" si="68"/>
        <v>OS</v>
      </c>
      <c r="F1137" t="s">
        <v>55</v>
      </c>
      <c r="G1137" t="s">
        <v>25</v>
      </c>
      <c r="H1137" s="8">
        <v>93.11</v>
      </c>
      <c r="I1137" s="3">
        <f t="shared" si="69"/>
        <v>0</v>
      </c>
      <c r="J1137" s="4">
        <v>0</v>
      </c>
      <c r="K1137" s="11">
        <f>Table1[[#This Row],[original_price]]* (Table1[[#This Row],[Markdown percentage updated]])</f>
        <v>0</v>
      </c>
      <c r="L11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37" s="6">
        <v>93.11</v>
      </c>
      <c r="N11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37" s="7">
        <v>45875</v>
      </c>
      <c r="P1137">
        <v>43</v>
      </c>
      <c r="Q1137" s="16" t="str">
        <f>IF(Table1[[#This Row],[stock_quantity]]=0,"NO STOCK",
IF(Table1[[#This Row],[stock_quantity]]&lt;=10,"LOW STOCK",
"IN STOCK"))</f>
        <v>IN STOCK</v>
      </c>
      <c r="R1137" s="1">
        <f t="shared" si="70"/>
        <v>2.8</v>
      </c>
      <c r="S1137">
        <v>2.8</v>
      </c>
      <c r="T1137" t="b">
        <v>0</v>
      </c>
      <c r="U1137" t="str">
        <f t="shared" si="71"/>
        <v>No Return</v>
      </c>
    </row>
    <row r="1138" spans="1:22" x14ac:dyDescent="0.3">
      <c r="A1138" t="s">
        <v>1191</v>
      </c>
      <c r="B1138" t="s">
        <v>21</v>
      </c>
      <c r="C1138" t="s">
        <v>16</v>
      </c>
      <c r="D1138" t="s">
        <v>23</v>
      </c>
      <c r="E1138" t="str">
        <f t="shared" si="68"/>
        <v>M</v>
      </c>
      <c r="F1138" t="s">
        <v>39</v>
      </c>
      <c r="G1138" t="s">
        <v>44</v>
      </c>
      <c r="H1138" s="8">
        <v>84.85</v>
      </c>
      <c r="I1138" s="3">
        <f t="shared" si="69"/>
        <v>8.8000000000000009E-2</v>
      </c>
      <c r="J1138" s="4">
        <v>8.8000000000000007</v>
      </c>
      <c r="K1138" s="11">
        <f>Table1[[#This Row],[original_price]]* (Table1[[#This Row],[Markdown percentage updated]])</f>
        <v>7.4668000000000001</v>
      </c>
      <c r="L11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38" s="6">
        <v>77.38</v>
      </c>
      <c r="N11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38" s="7">
        <v>45875</v>
      </c>
      <c r="P1138">
        <v>19</v>
      </c>
      <c r="Q1138" s="16" t="str">
        <f>IF(Table1[[#This Row],[stock_quantity]]=0,"NO STOCK",
IF(Table1[[#This Row],[stock_quantity]]&lt;=10,"LOW STOCK",
"IN STOCK"))</f>
        <v>IN STOCK</v>
      </c>
      <c r="R1138" s="1">
        <f t="shared" si="70"/>
        <v>4.0999999999999996</v>
      </c>
      <c r="S1138">
        <v>4.0999999999999996</v>
      </c>
      <c r="T1138" t="b">
        <v>1</v>
      </c>
      <c r="U1138" s="13" t="str">
        <f t="shared" si="71"/>
        <v>Changed Mind</v>
      </c>
      <c r="V1138" t="s">
        <v>115</v>
      </c>
    </row>
    <row r="1139" spans="1:22" hidden="1" x14ac:dyDescent="0.3">
      <c r="A1139" t="s">
        <v>1192</v>
      </c>
      <c r="B1139" t="s">
        <v>30</v>
      </c>
      <c r="C1139" t="s">
        <v>22</v>
      </c>
      <c r="D1139" t="s">
        <v>17</v>
      </c>
      <c r="E1139" t="str">
        <f t="shared" si="68"/>
        <v>L</v>
      </c>
      <c r="F1139" t="s">
        <v>58</v>
      </c>
      <c r="G1139" t="s">
        <v>46</v>
      </c>
      <c r="H1139" s="8">
        <v>138.41</v>
      </c>
      <c r="I1139" s="3">
        <f t="shared" si="69"/>
        <v>0</v>
      </c>
      <c r="J1139" s="4">
        <v>0</v>
      </c>
      <c r="K1139" s="11">
        <f>Table1[[#This Row],[original_price]]* (Table1[[#This Row],[Markdown percentage updated]])</f>
        <v>0</v>
      </c>
      <c r="L11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39" s="6">
        <v>138.41</v>
      </c>
      <c r="N11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39" s="7">
        <v>45613</v>
      </c>
      <c r="P1139">
        <v>40</v>
      </c>
      <c r="Q1139" s="16" t="str">
        <f>IF(Table1[[#This Row],[stock_quantity]]=0,"NO STOCK",
IF(Table1[[#This Row],[stock_quantity]]&lt;=10,"LOW STOCK",
"IN STOCK"))</f>
        <v>IN STOCK</v>
      </c>
      <c r="R1139" s="1">
        <f t="shared" si="70"/>
        <v>3.1</v>
      </c>
      <c r="S1139">
        <v>3.1</v>
      </c>
      <c r="T1139" t="b">
        <v>0</v>
      </c>
      <c r="U1139" t="str">
        <f t="shared" si="71"/>
        <v>No Return</v>
      </c>
    </row>
    <row r="1140" spans="1:22" x14ac:dyDescent="0.3">
      <c r="A1140" t="s">
        <v>1193</v>
      </c>
      <c r="B1140" t="s">
        <v>27</v>
      </c>
      <c r="C1140" t="s">
        <v>16</v>
      </c>
      <c r="D1140" t="s">
        <v>34</v>
      </c>
      <c r="E1140" t="str">
        <f t="shared" si="68"/>
        <v>OS</v>
      </c>
      <c r="G1140" t="s">
        <v>25</v>
      </c>
      <c r="H1140" s="8">
        <v>20.190000000000001</v>
      </c>
      <c r="I1140" s="3">
        <f t="shared" si="69"/>
        <v>0.21600000000000003</v>
      </c>
      <c r="J1140" s="4">
        <v>21.6</v>
      </c>
      <c r="K1140" s="11">
        <f>Table1[[#This Row],[original_price]]* (Table1[[#This Row],[Markdown percentage updated]])</f>
        <v>4.3610400000000009</v>
      </c>
      <c r="L11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140" s="6">
        <v>15.83</v>
      </c>
      <c r="N11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40" s="7">
        <v>45875</v>
      </c>
      <c r="P1140">
        <v>45</v>
      </c>
      <c r="Q1140" s="16" t="str">
        <f>IF(Table1[[#This Row],[stock_quantity]]=0,"NO STOCK",
IF(Table1[[#This Row],[stock_quantity]]&lt;=10,"LOW STOCK",
"IN STOCK"))</f>
        <v>IN STOCK</v>
      </c>
      <c r="R1140" s="1">
        <f t="shared" si="70"/>
        <v>4.4000000000000004</v>
      </c>
      <c r="S1140">
        <v>4.4000000000000004</v>
      </c>
      <c r="T1140" t="b">
        <v>1</v>
      </c>
      <c r="U1140" s="13" t="str">
        <f t="shared" si="71"/>
        <v>Changed Mind</v>
      </c>
      <c r="V1140" t="s">
        <v>115</v>
      </c>
    </row>
    <row r="1141" spans="1:22" hidden="1" x14ac:dyDescent="0.3">
      <c r="A1141" t="s">
        <v>1194</v>
      </c>
      <c r="B1141" t="s">
        <v>42</v>
      </c>
      <c r="C1141" t="s">
        <v>32</v>
      </c>
      <c r="D1141" t="s">
        <v>34</v>
      </c>
      <c r="E1141" t="str">
        <f t="shared" si="68"/>
        <v>XXL</v>
      </c>
      <c r="F1141" t="s">
        <v>58</v>
      </c>
      <c r="G1141" t="s">
        <v>40</v>
      </c>
      <c r="H1141" s="8">
        <v>124.17</v>
      </c>
      <c r="I1141" s="3">
        <f t="shared" si="69"/>
        <v>0.376</v>
      </c>
      <c r="J1141" s="4">
        <v>37.6</v>
      </c>
      <c r="K1141" s="11">
        <f>Table1[[#This Row],[original_price]]* (Table1[[#This Row],[Markdown percentage updated]])</f>
        <v>46.687919999999998</v>
      </c>
      <c r="L11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41" s="6">
        <v>77.48</v>
      </c>
      <c r="N11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41" s="7">
        <v>45875</v>
      </c>
      <c r="P1141">
        <v>24</v>
      </c>
      <c r="Q1141" s="16" t="str">
        <f>IF(Table1[[#This Row],[stock_quantity]]=0,"NO STOCK",
IF(Table1[[#This Row],[stock_quantity]]&lt;=10,"LOW STOCK",
"IN STOCK"))</f>
        <v>IN STOCK</v>
      </c>
      <c r="R1141" s="1">
        <f t="shared" si="70"/>
        <v>2.2999999999999998</v>
      </c>
      <c r="S1141">
        <v>2.2999999999999998</v>
      </c>
      <c r="T1141" t="b">
        <v>0</v>
      </c>
      <c r="U1141" t="str">
        <f t="shared" si="71"/>
        <v>No Return</v>
      </c>
    </row>
    <row r="1142" spans="1:22" hidden="1" x14ac:dyDescent="0.3">
      <c r="A1142" t="s">
        <v>1195</v>
      </c>
      <c r="B1142" t="s">
        <v>15</v>
      </c>
      <c r="C1142" t="s">
        <v>32</v>
      </c>
      <c r="D1142" t="s">
        <v>17</v>
      </c>
      <c r="E1142" t="str">
        <f t="shared" si="68"/>
        <v>L</v>
      </c>
      <c r="F1142" t="s">
        <v>24</v>
      </c>
      <c r="G1142" t="s">
        <v>19</v>
      </c>
      <c r="H1142" s="8">
        <v>133.91999999999999</v>
      </c>
      <c r="I1142" s="3">
        <f t="shared" si="69"/>
        <v>0</v>
      </c>
      <c r="J1142" s="4">
        <v>0</v>
      </c>
      <c r="K1142" s="11">
        <f>Table1[[#This Row],[original_price]]* (Table1[[#This Row],[Markdown percentage updated]])</f>
        <v>0</v>
      </c>
      <c r="L11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42" s="6">
        <v>133.91999999999999</v>
      </c>
      <c r="N11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42" s="7">
        <v>45760</v>
      </c>
      <c r="P1142">
        <v>41</v>
      </c>
      <c r="Q1142" s="16" t="str">
        <f>IF(Table1[[#This Row],[stock_quantity]]=0,"NO STOCK",
IF(Table1[[#This Row],[stock_quantity]]&lt;=10,"LOW STOCK",
"IN STOCK"))</f>
        <v>IN STOCK</v>
      </c>
      <c r="R1142" s="1">
        <f t="shared" si="70"/>
        <v>2.8</v>
      </c>
      <c r="S1142">
        <v>2.8</v>
      </c>
      <c r="T1142" t="b">
        <v>0</v>
      </c>
      <c r="U1142" t="str">
        <f t="shared" si="71"/>
        <v>No Return</v>
      </c>
    </row>
    <row r="1143" spans="1:22" hidden="1" x14ac:dyDescent="0.3">
      <c r="A1143" t="s">
        <v>1196</v>
      </c>
      <c r="B1143" t="s">
        <v>27</v>
      </c>
      <c r="C1143" t="s">
        <v>32</v>
      </c>
      <c r="D1143" t="s">
        <v>17</v>
      </c>
      <c r="E1143" t="str">
        <f t="shared" si="68"/>
        <v>OS</v>
      </c>
      <c r="G1143" t="s">
        <v>40</v>
      </c>
      <c r="H1143" s="8">
        <v>77.78</v>
      </c>
      <c r="I1143" s="3">
        <f t="shared" si="69"/>
        <v>0</v>
      </c>
      <c r="J1143" s="4">
        <v>0</v>
      </c>
      <c r="K1143" s="11">
        <f>Table1[[#This Row],[original_price]]* (Table1[[#This Row],[Markdown percentage updated]])</f>
        <v>0</v>
      </c>
      <c r="L11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43" s="6">
        <v>77.78</v>
      </c>
      <c r="N11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43" s="7">
        <v>45845</v>
      </c>
      <c r="P1143">
        <v>23</v>
      </c>
      <c r="Q1143" s="16" t="str">
        <f>IF(Table1[[#This Row],[stock_quantity]]=0,"NO STOCK",
IF(Table1[[#This Row],[stock_quantity]]&lt;=10,"LOW STOCK",
"IN STOCK"))</f>
        <v>IN STOCK</v>
      </c>
      <c r="R1143" s="1">
        <f t="shared" si="70"/>
        <v>2.5</v>
      </c>
      <c r="S1143">
        <v>2.5</v>
      </c>
      <c r="T1143" t="b">
        <v>1</v>
      </c>
      <c r="U1143" s="13" t="str">
        <f t="shared" si="71"/>
        <v>Size Issue</v>
      </c>
      <c r="V1143" t="s">
        <v>73</v>
      </c>
    </row>
    <row r="1144" spans="1:22" hidden="1" x14ac:dyDescent="0.3">
      <c r="A1144" t="s">
        <v>1197</v>
      </c>
      <c r="B1144" t="s">
        <v>42</v>
      </c>
      <c r="C1144" t="s">
        <v>43</v>
      </c>
      <c r="D1144" t="s">
        <v>23</v>
      </c>
      <c r="E1144" t="str">
        <f t="shared" si="68"/>
        <v>M</v>
      </c>
      <c r="F1144" t="s">
        <v>49</v>
      </c>
      <c r="G1144" t="s">
        <v>70</v>
      </c>
      <c r="H1144" s="8">
        <v>157.69</v>
      </c>
      <c r="I1144" s="3">
        <f t="shared" si="69"/>
        <v>0.35899999999999999</v>
      </c>
      <c r="J1144" s="4">
        <v>35.9</v>
      </c>
      <c r="K1144" s="11">
        <f>Table1[[#This Row],[original_price]]* (Table1[[#This Row],[Markdown percentage updated]])</f>
        <v>56.610709999999997</v>
      </c>
      <c r="L11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44" s="6">
        <v>101.08</v>
      </c>
      <c r="N11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44" s="7">
        <v>45875</v>
      </c>
      <c r="P1144">
        <v>6</v>
      </c>
      <c r="Q1144" s="17" t="str">
        <f>IF(Table1[[#This Row],[stock_quantity]]=0,"NO STOCK",
IF(Table1[[#This Row],[stock_quantity]]&lt;=10,"LOW STOCK",
"IN STOCK"))</f>
        <v>LOW STOCK</v>
      </c>
      <c r="R1144" s="1">
        <f t="shared" si="70"/>
        <v>1</v>
      </c>
      <c r="S1144">
        <v>1</v>
      </c>
      <c r="T1144" t="b">
        <v>0</v>
      </c>
      <c r="U1144" t="str">
        <f t="shared" si="71"/>
        <v>No Return</v>
      </c>
    </row>
    <row r="1145" spans="1:22" hidden="1" x14ac:dyDescent="0.3">
      <c r="A1145" t="s">
        <v>1198</v>
      </c>
      <c r="B1145" t="s">
        <v>21</v>
      </c>
      <c r="C1145" t="s">
        <v>16</v>
      </c>
      <c r="D1145" t="s">
        <v>23</v>
      </c>
      <c r="E1145" t="str">
        <f t="shared" si="68"/>
        <v>M</v>
      </c>
      <c r="F1145" t="s">
        <v>24</v>
      </c>
      <c r="G1145" t="s">
        <v>28</v>
      </c>
      <c r="H1145" s="8">
        <v>99.57</v>
      </c>
      <c r="I1145" s="3">
        <f t="shared" si="69"/>
        <v>0</v>
      </c>
      <c r="J1145" s="4">
        <v>0</v>
      </c>
      <c r="K1145" s="11">
        <f>Table1[[#This Row],[original_price]]* (Table1[[#This Row],[Markdown percentage updated]])</f>
        <v>0</v>
      </c>
      <c r="L11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45" s="6">
        <v>99.57</v>
      </c>
      <c r="N11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45" s="7">
        <v>45875</v>
      </c>
      <c r="P1145">
        <v>17</v>
      </c>
      <c r="Q1145" s="16" t="str">
        <f>IF(Table1[[#This Row],[stock_quantity]]=0,"NO STOCK",
IF(Table1[[#This Row],[stock_quantity]]&lt;=10,"LOW STOCK",
"IN STOCK"))</f>
        <v>IN STOCK</v>
      </c>
      <c r="R1145" s="1">
        <f t="shared" si="70"/>
        <v>1</v>
      </c>
      <c r="S1145">
        <v>1</v>
      </c>
      <c r="T1145" t="b">
        <v>0</v>
      </c>
      <c r="U1145" t="str">
        <f t="shared" si="71"/>
        <v>No Return</v>
      </c>
    </row>
    <row r="1146" spans="1:22" hidden="1" x14ac:dyDescent="0.3">
      <c r="A1146" t="s">
        <v>1199</v>
      </c>
      <c r="B1146" t="s">
        <v>27</v>
      </c>
      <c r="C1146" t="s">
        <v>16</v>
      </c>
      <c r="D1146" t="s">
        <v>62</v>
      </c>
      <c r="E1146" t="str">
        <f t="shared" si="68"/>
        <v>XL</v>
      </c>
      <c r="G1146" t="s">
        <v>70</v>
      </c>
      <c r="H1146" s="8">
        <v>43.61</v>
      </c>
      <c r="I1146" s="3">
        <f t="shared" si="69"/>
        <v>0.33299999999999996</v>
      </c>
      <c r="J1146" s="4">
        <v>33.299999999999997</v>
      </c>
      <c r="K1146" s="11">
        <f>Table1[[#This Row],[original_price]]* (Table1[[#This Row],[Markdown percentage updated]])</f>
        <v>14.522129999999999</v>
      </c>
      <c r="L11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46" s="6">
        <v>29.09</v>
      </c>
      <c r="N11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146" s="7">
        <v>45875</v>
      </c>
      <c r="P1146">
        <v>47</v>
      </c>
      <c r="Q1146" s="16" t="str">
        <f>IF(Table1[[#This Row],[stock_quantity]]=0,"NO STOCK",
IF(Table1[[#This Row],[stock_quantity]]&lt;=10,"LOW STOCK",
"IN STOCK"))</f>
        <v>IN STOCK</v>
      </c>
      <c r="R1146" s="1">
        <f t="shared" si="70"/>
        <v>2.5</v>
      </c>
      <c r="S1146">
        <v>2.5</v>
      </c>
      <c r="T1146" t="b">
        <v>0</v>
      </c>
      <c r="U1146" t="str">
        <f t="shared" si="71"/>
        <v>No Return</v>
      </c>
    </row>
    <row r="1147" spans="1:22" hidden="1" x14ac:dyDescent="0.3">
      <c r="A1147" t="s">
        <v>1200</v>
      </c>
      <c r="B1147" t="s">
        <v>15</v>
      </c>
      <c r="C1147" t="s">
        <v>61</v>
      </c>
      <c r="D1147" t="s">
        <v>23</v>
      </c>
      <c r="E1147" t="str">
        <f t="shared" si="68"/>
        <v>L</v>
      </c>
      <c r="F1147" t="s">
        <v>58</v>
      </c>
      <c r="G1147" t="s">
        <v>70</v>
      </c>
      <c r="H1147" s="8">
        <v>88.87</v>
      </c>
      <c r="I1147" s="3">
        <f t="shared" si="69"/>
        <v>0</v>
      </c>
      <c r="J1147" s="4">
        <v>0</v>
      </c>
      <c r="K1147" s="11">
        <f>Table1[[#This Row],[original_price]]* (Table1[[#This Row],[Markdown percentage updated]])</f>
        <v>0</v>
      </c>
      <c r="L11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47" s="6">
        <v>88.87</v>
      </c>
      <c r="N11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47" s="7">
        <v>45875</v>
      </c>
      <c r="P1147">
        <v>27</v>
      </c>
      <c r="Q1147" s="16" t="str">
        <f>IF(Table1[[#This Row],[stock_quantity]]=0,"NO STOCK",
IF(Table1[[#This Row],[stock_quantity]]&lt;=10,"LOW STOCK",
"IN STOCK"))</f>
        <v>IN STOCK</v>
      </c>
      <c r="R1147" s="1">
        <f t="shared" si="70"/>
        <v>2.4</v>
      </c>
      <c r="S1147">
        <v>2.4</v>
      </c>
      <c r="T1147" t="b">
        <v>0</v>
      </c>
      <c r="U1147" t="str">
        <f t="shared" si="71"/>
        <v>No Return</v>
      </c>
    </row>
    <row r="1148" spans="1:22" hidden="1" x14ac:dyDescent="0.3">
      <c r="A1148" t="s">
        <v>1201</v>
      </c>
      <c r="B1148" t="s">
        <v>38</v>
      </c>
      <c r="C1148" t="s">
        <v>75</v>
      </c>
      <c r="D1148" t="s">
        <v>34</v>
      </c>
      <c r="E1148" t="str">
        <f t="shared" si="68"/>
        <v>XL</v>
      </c>
      <c r="F1148" t="s">
        <v>58</v>
      </c>
      <c r="G1148" t="s">
        <v>35</v>
      </c>
      <c r="H1148" s="8">
        <v>112.6</v>
      </c>
      <c r="I1148" s="3">
        <f t="shared" si="69"/>
        <v>0.19800000000000001</v>
      </c>
      <c r="J1148" s="4">
        <v>19.8</v>
      </c>
      <c r="K1148" s="11">
        <f>Table1[[#This Row],[original_price]]* (Table1[[#This Row],[Markdown percentage updated]])</f>
        <v>22.294799999999999</v>
      </c>
      <c r="L11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48" s="6">
        <v>90.31</v>
      </c>
      <c r="N11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48" s="7">
        <v>45875</v>
      </c>
      <c r="P1148">
        <v>2</v>
      </c>
      <c r="Q1148" s="17" t="str">
        <f>IF(Table1[[#This Row],[stock_quantity]]=0,"NO STOCK",
IF(Table1[[#This Row],[stock_quantity]]&lt;=10,"LOW STOCK",
"IN STOCK"))</f>
        <v>LOW STOCK</v>
      </c>
      <c r="R1148" s="1">
        <f t="shared" si="70"/>
        <v>1</v>
      </c>
      <c r="S1148">
        <v>1</v>
      </c>
      <c r="T1148" t="b">
        <v>0</v>
      </c>
      <c r="U1148" t="str">
        <f t="shared" si="71"/>
        <v>No Return</v>
      </c>
    </row>
    <row r="1149" spans="1:22" hidden="1" x14ac:dyDescent="0.3">
      <c r="A1149" t="s">
        <v>1202</v>
      </c>
      <c r="B1149" t="s">
        <v>21</v>
      </c>
      <c r="C1149" t="s">
        <v>22</v>
      </c>
      <c r="D1149" t="s">
        <v>34</v>
      </c>
      <c r="E1149" t="str">
        <f t="shared" si="68"/>
        <v>S</v>
      </c>
      <c r="F1149" t="s">
        <v>18</v>
      </c>
      <c r="G1149" t="s">
        <v>46</v>
      </c>
      <c r="H1149" s="8">
        <v>33.35</v>
      </c>
      <c r="I1149" s="3">
        <f t="shared" si="69"/>
        <v>0</v>
      </c>
      <c r="J1149" s="4">
        <v>0</v>
      </c>
      <c r="K1149" s="11">
        <f>Table1[[#This Row],[original_price]]* (Table1[[#This Row],[Markdown percentage updated]])</f>
        <v>0</v>
      </c>
      <c r="L11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49" s="6">
        <v>33.35</v>
      </c>
      <c r="N11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49" s="7">
        <v>45875</v>
      </c>
      <c r="P1149">
        <v>29</v>
      </c>
      <c r="Q1149" s="16" t="str">
        <f>IF(Table1[[#This Row],[stock_quantity]]=0,"NO STOCK",
IF(Table1[[#This Row],[stock_quantity]]&lt;=10,"LOW STOCK",
"IN STOCK"))</f>
        <v>IN STOCK</v>
      </c>
      <c r="R1149" s="1">
        <f t="shared" si="70"/>
        <v>1.2</v>
      </c>
      <c r="S1149">
        <v>1.2</v>
      </c>
      <c r="T1149" t="b">
        <v>0</v>
      </c>
      <c r="U1149" t="str">
        <f t="shared" si="71"/>
        <v>No Return</v>
      </c>
    </row>
    <row r="1150" spans="1:22" hidden="1" x14ac:dyDescent="0.3">
      <c r="A1150" t="s">
        <v>1203</v>
      </c>
      <c r="B1150" t="s">
        <v>38</v>
      </c>
      <c r="C1150" t="s">
        <v>75</v>
      </c>
      <c r="D1150" t="s">
        <v>34</v>
      </c>
      <c r="E1150" t="str">
        <f t="shared" si="68"/>
        <v>XS</v>
      </c>
      <c r="F1150" t="s">
        <v>24</v>
      </c>
      <c r="G1150" t="s">
        <v>64</v>
      </c>
      <c r="H1150" s="8">
        <v>115.82</v>
      </c>
      <c r="I1150" s="3">
        <f t="shared" si="69"/>
        <v>2.8999999999999998E-2</v>
      </c>
      <c r="J1150" s="4">
        <v>2.9</v>
      </c>
      <c r="K1150" s="11">
        <f>Table1[[#This Row],[original_price]]* (Table1[[#This Row],[Markdown percentage updated]])</f>
        <v>3.3587799999999994</v>
      </c>
      <c r="L11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50" s="6">
        <v>112.46</v>
      </c>
      <c r="N11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50" s="7">
        <v>45875</v>
      </c>
      <c r="P1150">
        <v>46</v>
      </c>
      <c r="Q1150" s="16" t="str">
        <f>IF(Table1[[#This Row],[stock_quantity]]=0,"NO STOCK",
IF(Table1[[#This Row],[stock_quantity]]&lt;=10,"LOW STOCK",
"IN STOCK"))</f>
        <v>IN STOCK</v>
      </c>
      <c r="R1150" s="1">
        <f t="shared" si="70"/>
        <v>0</v>
      </c>
      <c r="T1150" t="b">
        <v>0</v>
      </c>
      <c r="U1150" t="str">
        <f t="shared" si="71"/>
        <v>No Return</v>
      </c>
    </row>
    <row r="1151" spans="1:22" hidden="1" x14ac:dyDescent="0.3">
      <c r="A1151" t="s">
        <v>1204</v>
      </c>
      <c r="B1151" t="s">
        <v>21</v>
      </c>
      <c r="C1151" t="s">
        <v>32</v>
      </c>
      <c r="D1151" t="s">
        <v>34</v>
      </c>
      <c r="E1151" t="str">
        <f t="shared" si="68"/>
        <v>S</v>
      </c>
      <c r="F1151" t="s">
        <v>18</v>
      </c>
      <c r="G1151" t="s">
        <v>35</v>
      </c>
      <c r="H1151" s="8">
        <v>107.79</v>
      </c>
      <c r="I1151" s="3">
        <f t="shared" si="69"/>
        <v>3.1E-2</v>
      </c>
      <c r="J1151" s="4">
        <v>3.1</v>
      </c>
      <c r="K1151" s="11">
        <f>Table1[[#This Row],[original_price]]* (Table1[[#This Row],[Markdown percentage updated]])</f>
        <v>3.3414900000000003</v>
      </c>
      <c r="L11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51" s="6">
        <v>104.45</v>
      </c>
      <c r="N11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51" s="7">
        <v>45875</v>
      </c>
      <c r="P1151">
        <v>6</v>
      </c>
      <c r="Q1151" s="17" t="str">
        <f>IF(Table1[[#This Row],[stock_quantity]]=0,"NO STOCK",
IF(Table1[[#This Row],[stock_quantity]]&lt;=10,"LOW STOCK",
"IN STOCK"))</f>
        <v>LOW STOCK</v>
      </c>
      <c r="R1151" s="1">
        <f t="shared" si="70"/>
        <v>2.8</v>
      </c>
      <c r="S1151">
        <v>2.8</v>
      </c>
      <c r="T1151" t="b">
        <v>0</v>
      </c>
      <c r="U1151" t="str">
        <f t="shared" si="71"/>
        <v>No Return</v>
      </c>
    </row>
    <row r="1152" spans="1:22" hidden="1" x14ac:dyDescent="0.3">
      <c r="A1152" t="s">
        <v>1205</v>
      </c>
      <c r="B1152" t="s">
        <v>21</v>
      </c>
      <c r="C1152" t="s">
        <v>48</v>
      </c>
      <c r="D1152" t="s">
        <v>62</v>
      </c>
      <c r="E1152" t="str">
        <f t="shared" si="68"/>
        <v>M</v>
      </c>
      <c r="F1152" t="s">
        <v>39</v>
      </c>
      <c r="G1152" t="s">
        <v>35</v>
      </c>
      <c r="H1152" s="8">
        <v>53.87</v>
      </c>
      <c r="I1152" s="3">
        <f t="shared" si="69"/>
        <v>0</v>
      </c>
      <c r="J1152" s="4">
        <v>0</v>
      </c>
      <c r="K1152" s="11">
        <f>Table1[[#This Row],[original_price]]* (Table1[[#This Row],[Markdown percentage updated]])</f>
        <v>0</v>
      </c>
      <c r="L11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52" s="6">
        <v>53.87</v>
      </c>
      <c r="N11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52" s="7">
        <v>45875</v>
      </c>
      <c r="P1152">
        <v>50</v>
      </c>
      <c r="Q1152" s="16" t="str">
        <f>IF(Table1[[#This Row],[stock_quantity]]=0,"NO STOCK",
IF(Table1[[#This Row],[stock_quantity]]&lt;=10,"LOW STOCK",
"IN STOCK"))</f>
        <v>IN STOCK</v>
      </c>
      <c r="R1152" s="1">
        <f t="shared" si="70"/>
        <v>4.2</v>
      </c>
      <c r="S1152">
        <v>4.2</v>
      </c>
      <c r="T1152" t="b">
        <v>1</v>
      </c>
      <c r="U1152" s="13" t="str">
        <f t="shared" si="71"/>
        <v>Damaged</v>
      </c>
      <c r="V1152" t="s">
        <v>78</v>
      </c>
    </row>
    <row r="1153" spans="1:22" hidden="1" x14ac:dyDescent="0.3">
      <c r="A1153" t="s">
        <v>1206</v>
      </c>
      <c r="B1153" t="s">
        <v>21</v>
      </c>
      <c r="C1153" t="s">
        <v>61</v>
      </c>
      <c r="D1153" t="s">
        <v>17</v>
      </c>
      <c r="E1153" t="str">
        <f t="shared" si="68"/>
        <v>XS</v>
      </c>
      <c r="F1153" t="s">
        <v>55</v>
      </c>
      <c r="G1153" t="s">
        <v>46</v>
      </c>
      <c r="H1153" s="8">
        <v>72.5</v>
      </c>
      <c r="I1153" s="3">
        <f t="shared" si="69"/>
        <v>0.40799999999999997</v>
      </c>
      <c r="J1153" s="4">
        <v>40.799999999999997</v>
      </c>
      <c r="K1153" s="11">
        <f>Table1[[#This Row],[original_price]]* (Table1[[#This Row],[Markdown percentage updated]])</f>
        <v>29.58</v>
      </c>
      <c r="L11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53" s="6">
        <v>42.92</v>
      </c>
      <c r="N11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53" s="7">
        <v>45656</v>
      </c>
      <c r="P1153">
        <v>23</v>
      </c>
      <c r="Q1153" s="16" t="str">
        <f>IF(Table1[[#This Row],[stock_quantity]]=0,"NO STOCK",
IF(Table1[[#This Row],[stock_quantity]]&lt;=10,"LOW STOCK",
"IN STOCK"))</f>
        <v>IN STOCK</v>
      </c>
      <c r="R1153" s="1">
        <f t="shared" si="70"/>
        <v>4.4000000000000004</v>
      </c>
      <c r="S1153">
        <v>4.4000000000000004</v>
      </c>
      <c r="T1153" t="b">
        <v>0</v>
      </c>
      <c r="U1153" t="str">
        <f t="shared" si="71"/>
        <v>No Return</v>
      </c>
    </row>
    <row r="1154" spans="1:22" hidden="1" x14ac:dyDescent="0.3">
      <c r="A1154" t="s">
        <v>1207</v>
      </c>
      <c r="B1154" t="s">
        <v>30</v>
      </c>
      <c r="C1154" t="s">
        <v>61</v>
      </c>
      <c r="D1154" t="s">
        <v>17</v>
      </c>
      <c r="E1154" t="str">
        <f t="shared" ref="E1154:E1217" si="72">IF(ISBLANK(F1157),"OS",F1157)</f>
        <v>XS</v>
      </c>
      <c r="F1154" t="s">
        <v>39</v>
      </c>
      <c r="G1154" t="s">
        <v>40</v>
      </c>
      <c r="H1154" s="8">
        <v>152.32</v>
      </c>
      <c r="I1154" s="3">
        <f t="shared" ref="I1154:I1217" si="73">J1154/100</f>
        <v>0</v>
      </c>
      <c r="J1154" s="4">
        <v>0</v>
      </c>
      <c r="K1154" s="11">
        <f>Table1[[#This Row],[original_price]]* (Table1[[#This Row],[Markdown percentage updated]])</f>
        <v>0</v>
      </c>
      <c r="L11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54" s="6">
        <v>152.32</v>
      </c>
      <c r="N11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54" s="7">
        <v>45817</v>
      </c>
      <c r="P1154">
        <v>15</v>
      </c>
      <c r="Q1154" s="16" t="str">
        <f>IF(Table1[[#This Row],[stock_quantity]]=0,"NO STOCK",
IF(Table1[[#This Row],[stock_quantity]]&lt;=10,"LOW STOCK",
"IN STOCK"))</f>
        <v>IN STOCK</v>
      </c>
      <c r="R1154" s="1">
        <f t="shared" si="70"/>
        <v>0</v>
      </c>
      <c r="T1154" t="b">
        <v>0</v>
      </c>
      <c r="U1154" t="str">
        <f t="shared" si="71"/>
        <v>No Return</v>
      </c>
    </row>
    <row r="1155" spans="1:22" hidden="1" x14ac:dyDescent="0.3">
      <c r="A1155" t="s">
        <v>1208</v>
      </c>
      <c r="B1155" t="s">
        <v>42</v>
      </c>
      <c r="C1155" t="s">
        <v>48</v>
      </c>
      <c r="D1155" t="s">
        <v>23</v>
      </c>
      <c r="E1155" t="str">
        <f t="shared" si="72"/>
        <v>XS</v>
      </c>
      <c r="F1155" t="s">
        <v>58</v>
      </c>
      <c r="G1155" t="s">
        <v>19</v>
      </c>
      <c r="H1155" s="8">
        <v>67.63</v>
      </c>
      <c r="I1155" s="3">
        <f t="shared" si="73"/>
        <v>0</v>
      </c>
      <c r="J1155" s="4">
        <v>0</v>
      </c>
      <c r="K1155" s="11">
        <f>Table1[[#This Row],[original_price]]* (Table1[[#This Row],[Markdown percentage updated]])</f>
        <v>0</v>
      </c>
      <c r="L11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55" s="6">
        <v>67.63</v>
      </c>
      <c r="N11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55" s="7">
        <v>45875</v>
      </c>
      <c r="P1155">
        <v>9</v>
      </c>
      <c r="Q1155" s="17" t="str">
        <f>IF(Table1[[#This Row],[stock_quantity]]=0,"NO STOCK",
IF(Table1[[#This Row],[stock_quantity]]&lt;=10,"LOW STOCK",
"IN STOCK"))</f>
        <v>LOW STOCK</v>
      </c>
      <c r="R1155" s="1">
        <f t="shared" ref="R1155:R1218" si="74">IF(ISBLANK(S1155), 0, S1155)</f>
        <v>4.7</v>
      </c>
      <c r="S1155">
        <v>4.7</v>
      </c>
      <c r="T1155" t="b">
        <v>0</v>
      </c>
      <c r="U1155" t="str">
        <f t="shared" ref="U1155:U1218" si="75">IF(V1155="","No Return",V1155)</f>
        <v>No Return</v>
      </c>
    </row>
    <row r="1156" spans="1:22" hidden="1" x14ac:dyDescent="0.3">
      <c r="A1156" t="s">
        <v>1209</v>
      </c>
      <c r="B1156" t="s">
        <v>15</v>
      </c>
      <c r="C1156" t="s">
        <v>22</v>
      </c>
      <c r="D1156" t="s">
        <v>62</v>
      </c>
      <c r="E1156" t="str">
        <f t="shared" si="72"/>
        <v>OS</v>
      </c>
      <c r="F1156" t="s">
        <v>55</v>
      </c>
      <c r="G1156" t="s">
        <v>66</v>
      </c>
      <c r="H1156" s="8">
        <v>221.94</v>
      </c>
      <c r="I1156" s="3">
        <f t="shared" si="73"/>
        <v>0</v>
      </c>
      <c r="J1156" s="4">
        <v>0</v>
      </c>
      <c r="K1156" s="11">
        <f>Table1[[#This Row],[original_price]]* (Table1[[#This Row],[Markdown percentage updated]])</f>
        <v>0</v>
      </c>
      <c r="L11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56" s="6">
        <v>221.94</v>
      </c>
      <c r="N11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56" s="7">
        <v>45875</v>
      </c>
      <c r="P1156">
        <v>35</v>
      </c>
      <c r="Q1156" s="16" t="str">
        <f>IF(Table1[[#This Row],[stock_quantity]]=0,"NO STOCK",
IF(Table1[[#This Row],[stock_quantity]]&lt;=10,"LOW STOCK",
"IN STOCK"))</f>
        <v>IN STOCK</v>
      </c>
      <c r="R1156" s="1">
        <f t="shared" si="74"/>
        <v>1.5</v>
      </c>
      <c r="S1156">
        <v>1.5</v>
      </c>
      <c r="T1156" t="b">
        <v>0</v>
      </c>
      <c r="U1156" t="str">
        <f t="shared" si="75"/>
        <v>No Return</v>
      </c>
    </row>
    <row r="1157" spans="1:22" hidden="1" x14ac:dyDescent="0.3">
      <c r="A1157" t="s">
        <v>1210</v>
      </c>
      <c r="B1157" t="s">
        <v>38</v>
      </c>
      <c r="C1157" t="s">
        <v>16</v>
      </c>
      <c r="D1157" t="s">
        <v>34</v>
      </c>
      <c r="E1157" t="str">
        <f t="shared" si="72"/>
        <v>OS</v>
      </c>
      <c r="F1157" t="s">
        <v>55</v>
      </c>
      <c r="G1157" t="s">
        <v>25</v>
      </c>
      <c r="H1157" s="8">
        <v>118.77</v>
      </c>
      <c r="I1157" s="3">
        <f t="shared" si="73"/>
        <v>8.4000000000000005E-2</v>
      </c>
      <c r="J1157" s="4">
        <v>8.4</v>
      </c>
      <c r="K1157" s="11">
        <f>Table1[[#This Row],[original_price]]* (Table1[[#This Row],[Markdown percentage updated]])</f>
        <v>9.97668</v>
      </c>
      <c r="L11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57" s="6">
        <v>108.79</v>
      </c>
      <c r="N11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57" s="7">
        <v>45875</v>
      </c>
      <c r="P1157">
        <v>30</v>
      </c>
      <c r="Q1157" s="16" t="str">
        <f>IF(Table1[[#This Row],[stock_quantity]]=0,"NO STOCK",
IF(Table1[[#This Row],[stock_quantity]]&lt;=10,"LOW STOCK",
"IN STOCK"))</f>
        <v>IN STOCK</v>
      </c>
      <c r="R1157" s="1">
        <f t="shared" si="74"/>
        <v>4.5999999999999996</v>
      </c>
      <c r="S1157">
        <v>4.5999999999999996</v>
      </c>
      <c r="T1157" t="b">
        <v>1</v>
      </c>
      <c r="U1157" s="13" t="str">
        <f t="shared" si="75"/>
        <v>Wrong Item</v>
      </c>
      <c r="V1157" t="s">
        <v>125</v>
      </c>
    </row>
    <row r="1158" spans="1:22" hidden="1" x14ac:dyDescent="0.3">
      <c r="A1158" t="s">
        <v>1211</v>
      </c>
      <c r="B1158" t="s">
        <v>21</v>
      </c>
      <c r="C1158" t="s">
        <v>75</v>
      </c>
      <c r="D1158" t="s">
        <v>34</v>
      </c>
      <c r="E1158" t="str">
        <f t="shared" si="72"/>
        <v>S</v>
      </c>
      <c r="F1158" t="s">
        <v>55</v>
      </c>
      <c r="G1158" t="s">
        <v>46</v>
      </c>
      <c r="H1158" s="8">
        <v>100.17</v>
      </c>
      <c r="I1158" s="3">
        <f t="shared" si="73"/>
        <v>0</v>
      </c>
      <c r="J1158" s="4">
        <v>0</v>
      </c>
      <c r="K1158" s="11">
        <f>Table1[[#This Row],[original_price]]* (Table1[[#This Row],[Markdown percentage updated]])</f>
        <v>0</v>
      </c>
      <c r="L11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58" s="6">
        <v>100.17</v>
      </c>
      <c r="N11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58" s="7">
        <v>45875</v>
      </c>
      <c r="P1158">
        <v>18</v>
      </c>
      <c r="Q1158" s="16" t="str">
        <f>IF(Table1[[#This Row],[stock_quantity]]=0,"NO STOCK",
IF(Table1[[#This Row],[stock_quantity]]&lt;=10,"LOW STOCK",
"IN STOCK"))</f>
        <v>IN STOCK</v>
      </c>
      <c r="R1158" s="1">
        <f t="shared" si="74"/>
        <v>1.2</v>
      </c>
      <c r="S1158">
        <v>1.2</v>
      </c>
      <c r="T1158" t="b">
        <v>0</v>
      </c>
      <c r="U1158" t="str">
        <f t="shared" si="75"/>
        <v>No Return</v>
      </c>
    </row>
    <row r="1159" spans="1:22" hidden="1" x14ac:dyDescent="0.3">
      <c r="A1159" t="s">
        <v>1212</v>
      </c>
      <c r="B1159" t="s">
        <v>27</v>
      </c>
      <c r="C1159" t="s">
        <v>32</v>
      </c>
      <c r="D1159" t="s">
        <v>62</v>
      </c>
      <c r="E1159" t="str">
        <f t="shared" si="72"/>
        <v>OS</v>
      </c>
      <c r="G1159" t="s">
        <v>35</v>
      </c>
      <c r="H1159" s="8">
        <v>18.45</v>
      </c>
      <c r="I1159" s="3">
        <f t="shared" si="73"/>
        <v>0</v>
      </c>
      <c r="J1159" s="4">
        <v>0</v>
      </c>
      <c r="K1159" s="11">
        <f>Table1[[#This Row],[original_price]]* (Table1[[#This Row],[Markdown percentage updated]])</f>
        <v>0</v>
      </c>
      <c r="L11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59" s="6">
        <v>18.45</v>
      </c>
      <c r="N11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59" s="7">
        <v>45875</v>
      </c>
      <c r="P1159">
        <v>39</v>
      </c>
      <c r="Q1159" s="16" t="str">
        <f>IF(Table1[[#This Row],[stock_quantity]]=0,"NO STOCK",
IF(Table1[[#This Row],[stock_quantity]]&lt;=10,"LOW STOCK",
"IN STOCK"))</f>
        <v>IN STOCK</v>
      </c>
      <c r="R1159" s="1">
        <f t="shared" si="74"/>
        <v>2.2000000000000002</v>
      </c>
      <c r="S1159">
        <v>2.2000000000000002</v>
      </c>
      <c r="T1159" t="b">
        <v>0</v>
      </c>
      <c r="U1159" t="str">
        <f t="shared" si="75"/>
        <v>No Return</v>
      </c>
    </row>
    <row r="1160" spans="1:22" hidden="1" x14ac:dyDescent="0.3">
      <c r="A1160" t="s">
        <v>1213</v>
      </c>
      <c r="B1160" t="s">
        <v>27</v>
      </c>
      <c r="C1160" t="s">
        <v>61</v>
      </c>
      <c r="D1160" t="s">
        <v>62</v>
      </c>
      <c r="E1160" t="str">
        <f t="shared" si="72"/>
        <v>XL</v>
      </c>
      <c r="G1160" t="s">
        <v>66</v>
      </c>
      <c r="H1160" s="8">
        <v>45.56</v>
      </c>
      <c r="I1160" s="3">
        <f t="shared" si="73"/>
        <v>0.13500000000000001</v>
      </c>
      <c r="J1160" s="4">
        <v>13.5</v>
      </c>
      <c r="K1160" s="11">
        <f>Table1[[#This Row],[original_price]]* (Table1[[#This Row],[Markdown percentage updated]])</f>
        <v>6.1506000000000007</v>
      </c>
      <c r="L11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60" s="6">
        <v>39.409999999999997</v>
      </c>
      <c r="N11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60" s="7">
        <v>45875</v>
      </c>
      <c r="P1160">
        <v>40</v>
      </c>
      <c r="Q1160" s="16" t="str">
        <f>IF(Table1[[#This Row],[stock_quantity]]=0,"NO STOCK",
IF(Table1[[#This Row],[stock_quantity]]&lt;=10,"LOW STOCK",
"IN STOCK"))</f>
        <v>IN STOCK</v>
      </c>
      <c r="R1160" s="1">
        <f t="shared" si="74"/>
        <v>3.2</v>
      </c>
      <c r="S1160">
        <v>3.2</v>
      </c>
      <c r="T1160" t="b">
        <v>0</v>
      </c>
      <c r="U1160" t="str">
        <f t="shared" si="75"/>
        <v>No Return</v>
      </c>
    </row>
    <row r="1161" spans="1:22" hidden="1" x14ac:dyDescent="0.3">
      <c r="A1161" t="s">
        <v>1214</v>
      </c>
      <c r="B1161" t="s">
        <v>21</v>
      </c>
      <c r="C1161" t="s">
        <v>22</v>
      </c>
      <c r="D1161" t="s">
        <v>17</v>
      </c>
      <c r="E1161" t="str">
        <f t="shared" si="72"/>
        <v>XS</v>
      </c>
      <c r="F1161" t="s">
        <v>39</v>
      </c>
      <c r="G1161" t="s">
        <v>66</v>
      </c>
      <c r="H1161" s="8">
        <v>62.21</v>
      </c>
      <c r="I1161" s="3">
        <f t="shared" si="73"/>
        <v>0</v>
      </c>
      <c r="J1161" s="4">
        <v>0</v>
      </c>
      <c r="K1161" s="11">
        <f>Table1[[#This Row],[original_price]]* (Table1[[#This Row],[Markdown percentage updated]])</f>
        <v>0</v>
      </c>
      <c r="L11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61" s="6">
        <v>62.21</v>
      </c>
      <c r="N11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61" s="7">
        <v>45861</v>
      </c>
      <c r="P1161">
        <v>38</v>
      </c>
      <c r="Q1161" s="16" t="str">
        <f>IF(Table1[[#This Row],[stock_quantity]]=0,"NO STOCK",
IF(Table1[[#This Row],[stock_quantity]]&lt;=10,"LOW STOCK",
"IN STOCK"))</f>
        <v>IN STOCK</v>
      </c>
      <c r="R1161" s="1">
        <f t="shared" si="74"/>
        <v>2.6</v>
      </c>
      <c r="S1161">
        <v>2.6</v>
      </c>
      <c r="T1161" t="b">
        <v>0</v>
      </c>
      <c r="U1161" t="str">
        <f t="shared" si="75"/>
        <v>No Return</v>
      </c>
    </row>
    <row r="1162" spans="1:22" hidden="1" x14ac:dyDescent="0.3">
      <c r="A1162" t="s">
        <v>1215</v>
      </c>
      <c r="B1162" t="s">
        <v>27</v>
      </c>
      <c r="C1162" t="s">
        <v>75</v>
      </c>
      <c r="D1162" t="s">
        <v>23</v>
      </c>
      <c r="E1162" t="str">
        <f t="shared" si="72"/>
        <v>OS</v>
      </c>
      <c r="G1162" t="s">
        <v>44</v>
      </c>
      <c r="H1162" s="8">
        <v>37.020000000000003</v>
      </c>
      <c r="I1162" s="3">
        <f t="shared" si="73"/>
        <v>0</v>
      </c>
      <c r="J1162" s="4">
        <v>0</v>
      </c>
      <c r="K1162" s="11">
        <f>Table1[[#This Row],[original_price]]* (Table1[[#This Row],[Markdown percentage updated]])</f>
        <v>0</v>
      </c>
      <c r="L11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62" s="6">
        <v>37.020000000000003</v>
      </c>
      <c r="N11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62" s="7">
        <v>45875</v>
      </c>
      <c r="P1162">
        <v>12</v>
      </c>
      <c r="Q1162" s="16" t="str">
        <f>IF(Table1[[#This Row],[stock_quantity]]=0,"NO STOCK",
IF(Table1[[#This Row],[stock_quantity]]&lt;=10,"LOW STOCK",
"IN STOCK"))</f>
        <v>IN STOCK</v>
      </c>
      <c r="R1162" s="1">
        <f t="shared" si="74"/>
        <v>4.3</v>
      </c>
      <c r="S1162">
        <v>4.3</v>
      </c>
      <c r="T1162" t="b">
        <v>0</v>
      </c>
      <c r="U1162" t="str">
        <f t="shared" si="75"/>
        <v>No Return</v>
      </c>
    </row>
    <row r="1163" spans="1:22" hidden="1" x14ac:dyDescent="0.3">
      <c r="A1163" t="s">
        <v>1216</v>
      </c>
      <c r="B1163" t="s">
        <v>42</v>
      </c>
      <c r="C1163" t="s">
        <v>16</v>
      </c>
      <c r="D1163" t="s">
        <v>62</v>
      </c>
      <c r="E1163" t="str">
        <f t="shared" si="72"/>
        <v>L</v>
      </c>
      <c r="F1163" t="s">
        <v>18</v>
      </c>
      <c r="G1163" t="s">
        <v>56</v>
      </c>
      <c r="H1163" s="8">
        <v>51.86</v>
      </c>
      <c r="I1163" s="3">
        <f t="shared" si="73"/>
        <v>0.39</v>
      </c>
      <c r="J1163" s="4">
        <v>39</v>
      </c>
      <c r="K1163" s="11">
        <f>Table1[[#This Row],[original_price]]* (Table1[[#This Row],[Markdown percentage updated]])</f>
        <v>20.2254</v>
      </c>
      <c r="L11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63" s="6">
        <v>31.63</v>
      </c>
      <c r="N11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63" s="7">
        <v>45875</v>
      </c>
      <c r="P1163">
        <v>40</v>
      </c>
      <c r="Q1163" s="16" t="str">
        <f>IF(Table1[[#This Row],[stock_quantity]]=0,"NO STOCK",
IF(Table1[[#This Row],[stock_quantity]]&lt;=10,"LOW STOCK",
"IN STOCK"))</f>
        <v>IN STOCK</v>
      </c>
      <c r="R1163" s="1">
        <f t="shared" si="74"/>
        <v>2.4</v>
      </c>
      <c r="S1163">
        <v>2.4</v>
      </c>
      <c r="T1163" t="b">
        <v>0</v>
      </c>
      <c r="U1163" t="str">
        <f t="shared" si="75"/>
        <v>No Return</v>
      </c>
    </row>
    <row r="1164" spans="1:22" hidden="1" x14ac:dyDescent="0.3">
      <c r="A1164" t="s">
        <v>1217</v>
      </c>
      <c r="B1164" t="s">
        <v>42</v>
      </c>
      <c r="C1164" t="s">
        <v>16</v>
      </c>
      <c r="D1164" t="s">
        <v>17</v>
      </c>
      <c r="E1164" t="str">
        <f t="shared" si="72"/>
        <v>XS</v>
      </c>
      <c r="F1164" t="s">
        <v>55</v>
      </c>
      <c r="G1164" t="s">
        <v>66</v>
      </c>
      <c r="H1164" s="8">
        <v>76.239999999999995</v>
      </c>
      <c r="I1164" s="3">
        <f t="shared" si="73"/>
        <v>0</v>
      </c>
      <c r="J1164" s="4">
        <v>0</v>
      </c>
      <c r="K1164" s="11">
        <f>Table1[[#This Row],[original_price]]* (Table1[[#This Row],[Markdown percentage updated]])</f>
        <v>0</v>
      </c>
      <c r="L11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64" s="6">
        <v>76.239999999999995</v>
      </c>
      <c r="N11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64" s="7">
        <v>45664</v>
      </c>
      <c r="P1164">
        <v>14</v>
      </c>
      <c r="Q1164" s="16" t="str">
        <f>IF(Table1[[#This Row],[stock_quantity]]=0,"NO STOCK",
IF(Table1[[#This Row],[stock_quantity]]&lt;=10,"LOW STOCK",
"IN STOCK"))</f>
        <v>IN STOCK</v>
      </c>
      <c r="R1164" s="1">
        <f t="shared" si="74"/>
        <v>2.8</v>
      </c>
      <c r="S1164">
        <v>2.8</v>
      </c>
      <c r="T1164" t="b">
        <v>0</v>
      </c>
      <c r="U1164" t="str">
        <f t="shared" si="75"/>
        <v>No Return</v>
      </c>
    </row>
    <row r="1165" spans="1:22" hidden="1" x14ac:dyDescent="0.3">
      <c r="A1165" t="s">
        <v>1218</v>
      </c>
      <c r="B1165" t="s">
        <v>27</v>
      </c>
      <c r="C1165" t="s">
        <v>16</v>
      </c>
      <c r="D1165" t="s">
        <v>34</v>
      </c>
      <c r="E1165" t="str">
        <f t="shared" si="72"/>
        <v>XXL</v>
      </c>
      <c r="G1165" t="s">
        <v>40</v>
      </c>
      <c r="H1165" s="8">
        <v>74.17</v>
      </c>
      <c r="I1165" s="3">
        <f t="shared" si="73"/>
        <v>0</v>
      </c>
      <c r="J1165" s="4">
        <v>0</v>
      </c>
      <c r="K1165" s="11">
        <f>Table1[[#This Row],[original_price]]* (Table1[[#This Row],[Markdown percentage updated]])</f>
        <v>0</v>
      </c>
      <c r="L11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65" s="6">
        <v>74.17</v>
      </c>
      <c r="N11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65" s="7">
        <v>45875</v>
      </c>
      <c r="P1165">
        <v>24</v>
      </c>
      <c r="Q1165" s="16" t="str">
        <f>IF(Table1[[#This Row],[stock_quantity]]=0,"NO STOCK",
IF(Table1[[#This Row],[stock_quantity]]&lt;=10,"LOW STOCK",
"IN STOCK"))</f>
        <v>IN STOCK</v>
      </c>
      <c r="R1165" s="1">
        <f t="shared" si="74"/>
        <v>1.7</v>
      </c>
      <c r="S1165">
        <v>1.7</v>
      </c>
      <c r="T1165" t="b">
        <v>0</v>
      </c>
      <c r="U1165" t="str">
        <f t="shared" si="75"/>
        <v>No Return</v>
      </c>
    </row>
    <row r="1166" spans="1:22" hidden="1" x14ac:dyDescent="0.3">
      <c r="A1166" t="s">
        <v>1219</v>
      </c>
      <c r="B1166" t="s">
        <v>38</v>
      </c>
      <c r="C1166" t="s">
        <v>75</v>
      </c>
      <c r="D1166" t="s">
        <v>17</v>
      </c>
      <c r="E1166" t="str">
        <f t="shared" si="72"/>
        <v>OS</v>
      </c>
      <c r="F1166" t="s">
        <v>24</v>
      </c>
      <c r="G1166" t="s">
        <v>56</v>
      </c>
      <c r="H1166" s="8">
        <v>75.989999999999995</v>
      </c>
      <c r="I1166" s="3">
        <f t="shared" si="73"/>
        <v>0</v>
      </c>
      <c r="J1166" s="4">
        <v>0</v>
      </c>
      <c r="K1166" s="11">
        <f>Table1[[#This Row],[original_price]]* (Table1[[#This Row],[Markdown percentage updated]])</f>
        <v>0</v>
      </c>
      <c r="L11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66" s="6">
        <v>75.989999999999995</v>
      </c>
      <c r="N11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66" s="7">
        <v>45706</v>
      </c>
      <c r="P1166">
        <v>19</v>
      </c>
      <c r="Q1166" s="16" t="str">
        <f>IF(Table1[[#This Row],[stock_quantity]]=0,"NO STOCK",
IF(Table1[[#This Row],[stock_quantity]]&lt;=10,"LOW STOCK",
"IN STOCK"))</f>
        <v>IN STOCK</v>
      </c>
      <c r="R1166" s="1">
        <f t="shared" si="74"/>
        <v>1.7</v>
      </c>
      <c r="S1166">
        <v>1.7</v>
      </c>
      <c r="T1166" t="b">
        <v>1</v>
      </c>
      <c r="U1166" s="13" t="str">
        <f t="shared" si="75"/>
        <v>Size Issue</v>
      </c>
      <c r="V1166" t="s">
        <v>73</v>
      </c>
    </row>
    <row r="1167" spans="1:22" hidden="1" x14ac:dyDescent="0.3">
      <c r="A1167" t="s">
        <v>1220</v>
      </c>
      <c r="B1167" t="s">
        <v>38</v>
      </c>
      <c r="C1167" t="s">
        <v>48</v>
      </c>
      <c r="D1167" t="s">
        <v>23</v>
      </c>
      <c r="E1167" t="str">
        <f t="shared" si="72"/>
        <v>XXL</v>
      </c>
      <c r="F1167" t="s">
        <v>55</v>
      </c>
      <c r="G1167" t="s">
        <v>64</v>
      </c>
      <c r="H1167" s="8">
        <v>62.33</v>
      </c>
      <c r="I1167" s="3">
        <f t="shared" si="73"/>
        <v>0.49399999999999999</v>
      </c>
      <c r="J1167" s="4">
        <v>49.4</v>
      </c>
      <c r="K1167" s="11">
        <f>Table1[[#This Row],[original_price]]* (Table1[[#This Row],[Markdown percentage updated]])</f>
        <v>30.79102</v>
      </c>
      <c r="L11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67" s="6">
        <v>31.54</v>
      </c>
      <c r="N11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67" s="7">
        <v>45875</v>
      </c>
      <c r="P1167">
        <v>46</v>
      </c>
      <c r="Q1167" s="16" t="str">
        <f>IF(Table1[[#This Row],[stock_quantity]]=0,"NO STOCK",
IF(Table1[[#This Row],[stock_quantity]]&lt;=10,"LOW STOCK",
"IN STOCK"))</f>
        <v>IN STOCK</v>
      </c>
      <c r="R1167" s="1">
        <f t="shared" si="74"/>
        <v>3.5</v>
      </c>
      <c r="S1167">
        <v>3.5</v>
      </c>
      <c r="T1167" t="b">
        <v>0</v>
      </c>
      <c r="U1167" t="str">
        <f t="shared" si="75"/>
        <v>No Return</v>
      </c>
    </row>
    <row r="1168" spans="1:22" hidden="1" x14ac:dyDescent="0.3">
      <c r="A1168" t="s">
        <v>1221</v>
      </c>
      <c r="B1168" t="s">
        <v>38</v>
      </c>
      <c r="C1168" t="s">
        <v>43</v>
      </c>
      <c r="D1168" t="s">
        <v>23</v>
      </c>
      <c r="E1168" t="str">
        <f t="shared" si="72"/>
        <v>OS</v>
      </c>
      <c r="F1168" t="s">
        <v>49</v>
      </c>
      <c r="G1168" t="s">
        <v>19</v>
      </c>
      <c r="H1168" s="8">
        <v>93.59</v>
      </c>
      <c r="I1168" s="3">
        <f t="shared" si="73"/>
        <v>0</v>
      </c>
      <c r="J1168" s="4">
        <v>0</v>
      </c>
      <c r="K1168" s="11">
        <f>Table1[[#This Row],[original_price]]* (Table1[[#This Row],[Markdown percentage updated]])</f>
        <v>0</v>
      </c>
      <c r="L11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68" s="6">
        <v>93.59</v>
      </c>
      <c r="N11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68" s="7">
        <v>45875</v>
      </c>
      <c r="P1168">
        <v>38</v>
      </c>
      <c r="Q1168" s="16" t="str">
        <f>IF(Table1[[#This Row],[stock_quantity]]=0,"NO STOCK",
IF(Table1[[#This Row],[stock_quantity]]&lt;=10,"LOW STOCK",
"IN STOCK"))</f>
        <v>IN STOCK</v>
      </c>
      <c r="R1168" s="1">
        <f t="shared" si="74"/>
        <v>1.9</v>
      </c>
      <c r="S1168">
        <v>1.9</v>
      </c>
      <c r="T1168" t="b">
        <v>0</v>
      </c>
      <c r="U1168" t="str">
        <f t="shared" si="75"/>
        <v>No Return</v>
      </c>
    </row>
    <row r="1169" spans="1:22" hidden="1" x14ac:dyDescent="0.3">
      <c r="A1169" t="s">
        <v>1222</v>
      </c>
      <c r="B1169" t="s">
        <v>21</v>
      </c>
      <c r="C1169" t="s">
        <v>75</v>
      </c>
      <c r="D1169" t="s">
        <v>34</v>
      </c>
      <c r="E1169" t="str">
        <f t="shared" si="72"/>
        <v>XL</v>
      </c>
      <c r="G1169" t="s">
        <v>44</v>
      </c>
      <c r="H1169" s="8">
        <v>72.83</v>
      </c>
      <c r="I1169" s="3">
        <f t="shared" si="73"/>
        <v>0.35700000000000004</v>
      </c>
      <c r="J1169" s="4">
        <v>35.700000000000003</v>
      </c>
      <c r="K1169" s="11">
        <f>Table1[[#This Row],[original_price]]* (Table1[[#This Row],[Markdown percentage updated]])</f>
        <v>26.000310000000002</v>
      </c>
      <c r="L11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69" s="6">
        <v>46.83</v>
      </c>
      <c r="N11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69" s="7">
        <v>45875</v>
      </c>
      <c r="P1169">
        <v>11</v>
      </c>
      <c r="Q1169" s="16" t="str">
        <f>IF(Table1[[#This Row],[stock_quantity]]=0,"NO STOCK",
IF(Table1[[#This Row],[stock_quantity]]&lt;=10,"LOW STOCK",
"IN STOCK"))</f>
        <v>IN STOCK</v>
      </c>
      <c r="R1169" s="1">
        <f t="shared" si="74"/>
        <v>3.1</v>
      </c>
      <c r="S1169">
        <v>3.1</v>
      </c>
      <c r="T1169" t="b">
        <v>0</v>
      </c>
      <c r="U1169" t="str">
        <f t="shared" si="75"/>
        <v>No Return</v>
      </c>
    </row>
    <row r="1170" spans="1:22" hidden="1" x14ac:dyDescent="0.3">
      <c r="A1170" t="s">
        <v>1223</v>
      </c>
      <c r="B1170" t="s">
        <v>15</v>
      </c>
      <c r="C1170" t="s">
        <v>22</v>
      </c>
      <c r="D1170" t="s">
        <v>23</v>
      </c>
      <c r="E1170" t="str">
        <f t="shared" si="72"/>
        <v>XS</v>
      </c>
      <c r="F1170" t="s">
        <v>49</v>
      </c>
      <c r="G1170" t="s">
        <v>40</v>
      </c>
      <c r="H1170" s="8">
        <v>134.59</v>
      </c>
      <c r="I1170" s="3">
        <f t="shared" si="73"/>
        <v>0.33600000000000002</v>
      </c>
      <c r="J1170" s="4">
        <v>33.6</v>
      </c>
      <c r="K1170" s="11">
        <f>Table1[[#This Row],[original_price]]* (Table1[[#This Row],[Markdown percentage updated]])</f>
        <v>45.222240000000006</v>
      </c>
      <c r="L11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70" s="6">
        <v>89.37</v>
      </c>
      <c r="N11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70" s="7">
        <v>45875</v>
      </c>
      <c r="P1170">
        <v>42</v>
      </c>
      <c r="Q1170" s="16" t="str">
        <f>IF(Table1[[#This Row],[stock_quantity]]=0,"NO STOCK",
IF(Table1[[#This Row],[stock_quantity]]&lt;=10,"LOW STOCK",
"IN STOCK"))</f>
        <v>IN STOCK</v>
      </c>
      <c r="R1170" s="1">
        <f t="shared" si="74"/>
        <v>2.9</v>
      </c>
      <c r="S1170">
        <v>2.9</v>
      </c>
      <c r="T1170" t="b">
        <v>0</v>
      </c>
      <c r="U1170" t="str">
        <f t="shared" si="75"/>
        <v>No Return</v>
      </c>
    </row>
    <row r="1171" spans="1:22" hidden="1" x14ac:dyDescent="0.3">
      <c r="A1171" t="s">
        <v>1224</v>
      </c>
      <c r="B1171" t="s">
        <v>38</v>
      </c>
      <c r="C1171" t="s">
        <v>16</v>
      </c>
      <c r="D1171" t="s">
        <v>17</v>
      </c>
      <c r="E1171" t="str">
        <f t="shared" si="72"/>
        <v>M</v>
      </c>
      <c r="G1171" t="s">
        <v>56</v>
      </c>
      <c r="H1171" s="8">
        <v>71.599999999999994</v>
      </c>
      <c r="I1171" s="3">
        <f t="shared" si="73"/>
        <v>0.41899999999999998</v>
      </c>
      <c r="J1171" s="4">
        <v>41.9</v>
      </c>
      <c r="K1171" s="11">
        <f>Table1[[#This Row],[original_price]]* (Table1[[#This Row],[Markdown percentage updated]])</f>
        <v>30.000399999999996</v>
      </c>
      <c r="L11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71" s="6">
        <v>41.6</v>
      </c>
      <c r="N11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71" s="7">
        <v>45759</v>
      </c>
      <c r="P1171">
        <v>16</v>
      </c>
      <c r="Q1171" s="16" t="str">
        <f>IF(Table1[[#This Row],[stock_quantity]]=0,"NO STOCK",
IF(Table1[[#This Row],[stock_quantity]]&lt;=10,"LOW STOCK",
"IN STOCK"))</f>
        <v>IN STOCK</v>
      </c>
      <c r="R1171" s="1">
        <f t="shared" si="74"/>
        <v>2.8</v>
      </c>
      <c r="S1171">
        <v>2.8</v>
      </c>
      <c r="T1171" t="b">
        <v>0</v>
      </c>
      <c r="U1171" t="str">
        <f t="shared" si="75"/>
        <v>No Return</v>
      </c>
    </row>
    <row r="1172" spans="1:22" hidden="1" x14ac:dyDescent="0.3">
      <c r="A1172" t="s">
        <v>1225</v>
      </c>
      <c r="B1172" t="s">
        <v>30</v>
      </c>
      <c r="C1172" t="s">
        <v>53</v>
      </c>
      <c r="D1172" t="s">
        <v>62</v>
      </c>
      <c r="E1172" t="str">
        <f t="shared" si="72"/>
        <v>XL</v>
      </c>
      <c r="F1172" t="s">
        <v>18</v>
      </c>
      <c r="G1172" t="s">
        <v>19</v>
      </c>
      <c r="H1172" s="8">
        <v>62.35</v>
      </c>
      <c r="I1172" s="3">
        <f t="shared" si="73"/>
        <v>0.53500000000000003</v>
      </c>
      <c r="J1172" s="4">
        <v>53.5</v>
      </c>
      <c r="K1172" s="11">
        <f>Table1[[#This Row],[original_price]]* (Table1[[#This Row],[Markdown percentage updated]])</f>
        <v>33.357250000000001</v>
      </c>
      <c r="L11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72" s="6">
        <v>28.99</v>
      </c>
      <c r="N11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72" s="7">
        <v>45875</v>
      </c>
      <c r="P1172">
        <v>1</v>
      </c>
      <c r="Q1172" s="17" t="str">
        <f>IF(Table1[[#This Row],[stock_quantity]]=0,"NO STOCK",
IF(Table1[[#This Row],[stock_quantity]]&lt;=10,"LOW STOCK",
"IN STOCK"))</f>
        <v>LOW STOCK</v>
      </c>
      <c r="R1172" s="1">
        <f t="shared" si="74"/>
        <v>4.0999999999999996</v>
      </c>
      <c r="S1172">
        <v>4.0999999999999996</v>
      </c>
      <c r="T1172" t="b">
        <v>0</v>
      </c>
      <c r="U1172" t="str">
        <f t="shared" si="75"/>
        <v>No Return</v>
      </c>
    </row>
    <row r="1173" spans="1:22" x14ac:dyDescent="0.3">
      <c r="A1173" t="s">
        <v>1226</v>
      </c>
      <c r="B1173" t="s">
        <v>15</v>
      </c>
      <c r="C1173" t="s">
        <v>53</v>
      </c>
      <c r="D1173" t="s">
        <v>17</v>
      </c>
      <c r="E1173" t="str">
        <f t="shared" si="72"/>
        <v>L</v>
      </c>
      <c r="F1173" t="s">
        <v>55</v>
      </c>
      <c r="G1173" t="s">
        <v>64</v>
      </c>
      <c r="H1173" s="8">
        <v>80.55</v>
      </c>
      <c r="I1173" s="3">
        <f t="shared" si="73"/>
        <v>0.43700000000000006</v>
      </c>
      <c r="J1173" s="4">
        <v>43.7</v>
      </c>
      <c r="K1173" s="11">
        <f>Table1[[#This Row],[original_price]]* (Table1[[#This Row],[Markdown percentage updated]])</f>
        <v>35.20035</v>
      </c>
      <c r="L11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73" s="6">
        <v>45.35</v>
      </c>
      <c r="N11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73" s="7">
        <v>45586</v>
      </c>
      <c r="P1173">
        <v>41</v>
      </c>
      <c r="Q1173" s="16" t="str">
        <f>IF(Table1[[#This Row],[stock_quantity]]=0,"NO STOCK",
IF(Table1[[#This Row],[stock_quantity]]&lt;=10,"LOW STOCK",
"IN STOCK"))</f>
        <v>IN STOCK</v>
      </c>
      <c r="R1173" s="1">
        <f t="shared" si="74"/>
        <v>4.8</v>
      </c>
      <c r="S1173">
        <v>4.8</v>
      </c>
      <c r="T1173" t="b">
        <v>1</v>
      </c>
      <c r="U1173" s="13" t="str">
        <f t="shared" si="75"/>
        <v>Changed Mind</v>
      </c>
      <c r="V1173" t="s">
        <v>115</v>
      </c>
    </row>
    <row r="1174" spans="1:22" hidden="1" x14ac:dyDescent="0.3">
      <c r="A1174" t="s">
        <v>1227</v>
      </c>
      <c r="B1174" t="s">
        <v>30</v>
      </c>
      <c r="C1174" t="s">
        <v>32</v>
      </c>
      <c r="D1174" t="s">
        <v>23</v>
      </c>
      <c r="E1174" t="str">
        <f t="shared" si="72"/>
        <v>S</v>
      </c>
      <c r="F1174" t="s">
        <v>58</v>
      </c>
      <c r="G1174" t="s">
        <v>56</v>
      </c>
      <c r="H1174" s="8">
        <v>171.48</v>
      </c>
      <c r="I1174" s="3">
        <f t="shared" si="73"/>
        <v>0</v>
      </c>
      <c r="J1174" s="4">
        <v>0</v>
      </c>
      <c r="K1174" s="11">
        <f>Table1[[#This Row],[original_price]]* (Table1[[#This Row],[Markdown percentage updated]])</f>
        <v>0</v>
      </c>
      <c r="L11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74" s="6">
        <v>171.48</v>
      </c>
      <c r="N11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74" s="7">
        <v>45875</v>
      </c>
      <c r="P1174">
        <v>15</v>
      </c>
      <c r="Q1174" s="16" t="str">
        <f>IF(Table1[[#This Row],[stock_quantity]]=0,"NO STOCK",
IF(Table1[[#This Row],[stock_quantity]]&lt;=10,"LOW STOCK",
"IN STOCK"))</f>
        <v>IN STOCK</v>
      </c>
      <c r="R1174" s="1">
        <f t="shared" si="74"/>
        <v>2.4</v>
      </c>
      <c r="S1174">
        <v>2.4</v>
      </c>
      <c r="T1174" t="b">
        <v>0</v>
      </c>
      <c r="U1174" t="str">
        <f t="shared" si="75"/>
        <v>No Return</v>
      </c>
    </row>
    <row r="1175" spans="1:22" hidden="1" x14ac:dyDescent="0.3">
      <c r="A1175" t="s">
        <v>1228</v>
      </c>
      <c r="B1175" t="s">
        <v>21</v>
      </c>
      <c r="C1175" t="s">
        <v>53</v>
      </c>
      <c r="D1175" t="s">
        <v>17</v>
      </c>
      <c r="E1175" t="str">
        <f t="shared" si="72"/>
        <v>XL</v>
      </c>
      <c r="F1175" t="s">
        <v>18</v>
      </c>
      <c r="G1175" t="s">
        <v>64</v>
      </c>
      <c r="H1175" s="8">
        <v>30.81</v>
      </c>
      <c r="I1175" s="3">
        <f t="shared" si="73"/>
        <v>0.157</v>
      </c>
      <c r="J1175" s="4">
        <v>15.7</v>
      </c>
      <c r="K1175" s="11">
        <f>Table1[[#This Row],[original_price]]* (Table1[[#This Row],[Markdown percentage updated]])</f>
        <v>4.8371699999999995</v>
      </c>
      <c r="L11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75" s="6">
        <v>25.97</v>
      </c>
      <c r="N11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75" s="7">
        <v>45554</v>
      </c>
      <c r="P1175">
        <v>4</v>
      </c>
      <c r="Q1175" s="17" t="str">
        <f>IF(Table1[[#This Row],[stock_quantity]]=0,"NO STOCK",
IF(Table1[[#This Row],[stock_quantity]]&lt;=10,"LOW STOCK",
"IN STOCK"))</f>
        <v>LOW STOCK</v>
      </c>
      <c r="R1175" s="1">
        <f t="shared" si="74"/>
        <v>0</v>
      </c>
      <c r="T1175" t="b">
        <v>0</v>
      </c>
      <c r="U1175" t="str">
        <f t="shared" si="75"/>
        <v>No Return</v>
      </c>
    </row>
    <row r="1176" spans="1:22" hidden="1" x14ac:dyDescent="0.3">
      <c r="A1176" t="s">
        <v>1229</v>
      </c>
      <c r="B1176" t="s">
        <v>42</v>
      </c>
      <c r="C1176" t="s">
        <v>48</v>
      </c>
      <c r="D1176" t="s">
        <v>62</v>
      </c>
      <c r="E1176" t="str">
        <f t="shared" si="72"/>
        <v>XL</v>
      </c>
      <c r="F1176" t="s">
        <v>24</v>
      </c>
      <c r="G1176" t="s">
        <v>44</v>
      </c>
      <c r="H1176" s="8">
        <v>97.14</v>
      </c>
      <c r="I1176" s="3">
        <f t="shared" si="73"/>
        <v>0</v>
      </c>
      <c r="J1176" s="4">
        <v>0</v>
      </c>
      <c r="K1176" s="11">
        <f>Table1[[#This Row],[original_price]]* (Table1[[#This Row],[Markdown percentage updated]])</f>
        <v>0</v>
      </c>
      <c r="L11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76" s="6">
        <v>97.14</v>
      </c>
      <c r="N11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76" s="7">
        <v>45875</v>
      </c>
      <c r="P1176">
        <v>20</v>
      </c>
      <c r="Q1176" s="16" t="str">
        <f>IF(Table1[[#This Row],[stock_quantity]]=0,"NO STOCK",
IF(Table1[[#This Row],[stock_quantity]]&lt;=10,"LOW STOCK",
"IN STOCK"))</f>
        <v>IN STOCK</v>
      </c>
      <c r="R1176" s="1">
        <f t="shared" si="74"/>
        <v>4.0999999999999996</v>
      </c>
      <c r="S1176">
        <v>4.0999999999999996</v>
      </c>
      <c r="T1176" t="b">
        <v>0</v>
      </c>
      <c r="U1176" t="str">
        <f t="shared" si="75"/>
        <v>No Return</v>
      </c>
    </row>
    <row r="1177" spans="1:22" hidden="1" x14ac:dyDescent="0.3">
      <c r="A1177" t="s">
        <v>1230</v>
      </c>
      <c r="B1177" t="s">
        <v>30</v>
      </c>
      <c r="C1177" t="s">
        <v>75</v>
      </c>
      <c r="D1177" t="s">
        <v>34</v>
      </c>
      <c r="E1177" t="str">
        <f t="shared" si="72"/>
        <v>S</v>
      </c>
      <c r="F1177" t="s">
        <v>39</v>
      </c>
      <c r="G1177" t="s">
        <v>35</v>
      </c>
      <c r="H1177" s="8">
        <v>128.27000000000001</v>
      </c>
      <c r="I1177" s="3">
        <f t="shared" si="73"/>
        <v>0</v>
      </c>
      <c r="J1177" s="4">
        <v>0</v>
      </c>
      <c r="K1177" s="11">
        <f>Table1[[#This Row],[original_price]]* (Table1[[#This Row],[Markdown percentage updated]])</f>
        <v>0</v>
      </c>
      <c r="L11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77" s="6">
        <v>128.27000000000001</v>
      </c>
      <c r="N11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77" s="7">
        <v>45875</v>
      </c>
      <c r="P1177">
        <v>28</v>
      </c>
      <c r="Q1177" s="16" t="str">
        <f>IF(Table1[[#This Row],[stock_quantity]]=0,"NO STOCK",
IF(Table1[[#This Row],[stock_quantity]]&lt;=10,"LOW STOCK",
"IN STOCK"))</f>
        <v>IN STOCK</v>
      </c>
      <c r="R1177" s="1">
        <f t="shared" si="74"/>
        <v>0</v>
      </c>
      <c r="T1177" t="b">
        <v>0</v>
      </c>
      <c r="U1177" t="str">
        <f t="shared" si="75"/>
        <v>No Return</v>
      </c>
    </row>
    <row r="1178" spans="1:22" hidden="1" x14ac:dyDescent="0.3">
      <c r="A1178" t="s">
        <v>1231</v>
      </c>
      <c r="B1178" t="s">
        <v>42</v>
      </c>
      <c r="C1178" t="s">
        <v>16</v>
      </c>
      <c r="D1178" t="s">
        <v>23</v>
      </c>
      <c r="E1178" t="str">
        <f t="shared" si="72"/>
        <v>XL</v>
      </c>
      <c r="F1178" t="s">
        <v>18</v>
      </c>
      <c r="G1178" t="s">
        <v>46</v>
      </c>
      <c r="H1178" s="8">
        <v>174.86</v>
      </c>
      <c r="I1178" s="3">
        <f t="shared" si="73"/>
        <v>0</v>
      </c>
      <c r="J1178" s="4">
        <v>0</v>
      </c>
      <c r="K1178" s="11">
        <f>Table1[[#This Row],[original_price]]* (Table1[[#This Row],[Markdown percentage updated]])</f>
        <v>0</v>
      </c>
      <c r="L11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78" s="6">
        <v>174.86</v>
      </c>
      <c r="N11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78" s="7">
        <v>45875</v>
      </c>
      <c r="P1178">
        <v>43</v>
      </c>
      <c r="Q1178" s="16" t="str">
        <f>IF(Table1[[#This Row],[stock_quantity]]=0,"NO STOCK",
IF(Table1[[#This Row],[stock_quantity]]&lt;=10,"LOW STOCK",
"IN STOCK"))</f>
        <v>IN STOCK</v>
      </c>
      <c r="R1178" s="1">
        <f t="shared" si="74"/>
        <v>4.5999999999999996</v>
      </c>
      <c r="S1178">
        <v>4.5999999999999996</v>
      </c>
      <c r="T1178" t="b">
        <v>0</v>
      </c>
      <c r="U1178" t="str">
        <f t="shared" si="75"/>
        <v>No Return</v>
      </c>
    </row>
    <row r="1179" spans="1:22" hidden="1" x14ac:dyDescent="0.3">
      <c r="A1179" t="s">
        <v>1232</v>
      </c>
      <c r="B1179" t="s">
        <v>42</v>
      </c>
      <c r="C1179" t="s">
        <v>32</v>
      </c>
      <c r="D1179" t="s">
        <v>23</v>
      </c>
      <c r="E1179" t="str">
        <f t="shared" si="72"/>
        <v>XS</v>
      </c>
      <c r="F1179" t="s">
        <v>18</v>
      </c>
      <c r="G1179" t="s">
        <v>35</v>
      </c>
      <c r="H1179" s="8">
        <v>100.03</v>
      </c>
      <c r="I1179" s="3">
        <f t="shared" si="73"/>
        <v>0</v>
      </c>
      <c r="J1179" s="4">
        <v>0</v>
      </c>
      <c r="K1179" s="11">
        <f>Table1[[#This Row],[original_price]]* (Table1[[#This Row],[Markdown percentage updated]])</f>
        <v>0</v>
      </c>
      <c r="L11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79" s="6">
        <v>100.03</v>
      </c>
      <c r="N11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79" s="7">
        <v>45875</v>
      </c>
      <c r="P1179">
        <v>36</v>
      </c>
      <c r="Q1179" s="16" t="str">
        <f>IF(Table1[[#This Row],[stock_quantity]]=0,"NO STOCK",
IF(Table1[[#This Row],[stock_quantity]]&lt;=10,"LOW STOCK",
"IN STOCK"))</f>
        <v>IN STOCK</v>
      </c>
      <c r="R1179" s="1">
        <f t="shared" si="74"/>
        <v>1.9</v>
      </c>
      <c r="S1179">
        <v>1.9</v>
      </c>
      <c r="T1179" t="b">
        <v>1</v>
      </c>
      <c r="U1179" s="13" t="str">
        <f t="shared" si="75"/>
        <v>Quality Issue</v>
      </c>
      <c r="V1179" t="s">
        <v>83</v>
      </c>
    </row>
    <row r="1180" spans="1:22" hidden="1" x14ac:dyDescent="0.3">
      <c r="A1180" t="s">
        <v>1233</v>
      </c>
      <c r="B1180" t="s">
        <v>42</v>
      </c>
      <c r="C1180" t="s">
        <v>16</v>
      </c>
      <c r="D1180" t="s">
        <v>23</v>
      </c>
      <c r="E1180" t="str">
        <f t="shared" si="72"/>
        <v>OS</v>
      </c>
      <c r="F1180" t="s">
        <v>39</v>
      </c>
      <c r="G1180" t="s">
        <v>66</v>
      </c>
      <c r="H1180" s="8">
        <v>49.89</v>
      </c>
      <c r="I1180" s="3">
        <f t="shared" si="73"/>
        <v>0</v>
      </c>
      <c r="J1180" s="4">
        <v>0</v>
      </c>
      <c r="K1180" s="11">
        <f>Table1[[#This Row],[original_price]]* (Table1[[#This Row],[Markdown percentage updated]])</f>
        <v>0</v>
      </c>
      <c r="L11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80" s="6">
        <v>49.89</v>
      </c>
      <c r="N11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80" s="7">
        <v>45875</v>
      </c>
      <c r="P1180">
        <v>0</v>
      </c>
      <c r="Q1180" s="13" t="str">
        <f>IF(Table1[[#This Row],[stock_quantity]]=0,"NO STOCK",
IF(Table1[[#This Row],[stock_quantity]]&lt;=10,"LOW STOCK",
"IN STOCK"))</f>
        <v>NO STOCK</v>
      </c>
      <c r="R1180" s="1">
        <f t="shared" si="74"/>
        <v>3.5</v>
      </c>
      <c r="S1180">
        <v>3.5</v>
      </c>
      <c r="T1180" t="b">
        <v>1</v>
      </c>
      <c r="U1180" s="13" t="str">
        <f t="shared" si="75"/>
        <v>Wrong Item</v>
      </c>
      <c r="V1180" t="s">
        <v>125</v>
      </c>
    </row>
    <row r="1181" spans="1:22" hidden="1" x14ac:dyDescent="0.3">
      <c r="A1181" t="s">
        <v>1234</v>
      </c>
      <c r="B1181" t="s">
        <v>30</v>
      </c>
      <c r="C1181" t="s">
        <v>48</v>
      </c>
      <c r="D1181" t="s">
        <v>34</v>
      </c>
      <c r="E1181" t="str">
        <f t="shared" si="72"/>
        <v>XS</v>
      </c>
      <c r="F1181" t="s">
        <v>18</v>
      </c>
      <c r="G1181" t="s">
        <v>70</v>
      </c>
      <c r="H1181" s="8">
        <v>170.43</v>
      </c>
      <c r="I1181" s="3">
        <f t="shared" si="73"/>
        <v>0</v>
      </c>
      <c r="J1181" s="4">
        <v>0</v>
      </c>
      <c r="K1181" s="11">
        <f>Table1[[#This Row],[original_price]]* (Table1[[#This Row],[Markdown percentage updated]])</f>
        <v>0</v>
      </c>
      <c r="L11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81" s="6">
        <v>170.43</v>
      </c>
      <c r="N11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81" s="7">
        <v>45875</v>
      </c>
      <c r="P1181">
        <v>22</v>
      </c>
      <c r="Q1181" s="16" t="str">
        <f>IF(Table1[[#This Row],[stock_quantity]]=0,"NO STOCK",
IF(Table1[[#This Row],[stock_quantity]]&lt;=10,"LOW STOCK",
"IN STOCK"))</f>
        <v>IN STOCK</v>
      </c>
      <c r="R1181" s="1">
        <f t="shared" si="74"/>
        <v>0</v>
      </c>
      <c r="T1181" t="b">
        <v>0</v>
      </c>
      <c r="U1181" t="str">
        <f t="shared" si="75"/>
        <v>No Return</v>
      </c>
    </row>
    <row r="1182" spans="1:22" hidden="1" x14ac:dyDescent="0.3">
      <c r="A1182" t="s">
        <v>1235</v>
      </c>
      <c r="B1182" t="s">
        <v>15</v>
      </c>
      <c r="C1182" t="s">
        <v>61</v>
      </c>
      <c r="D1182" t="s">
        <v>62</v>
      </c>
      <c r="E1182" t="str">
        <f t="shared" si="72"/>
        <v>XS</v>
      </c>
      <c r="F1182" t="s">
        <v>55</v>
      </c>
      <c r="G1182" t="s">
        <v>64</v>
      </c>
      <c r="H1182" s="8">
        <v>186.78</v>
      </c>
      <c r="I1182" s="3">
        <f t="shared" si="73"/>
        <v>0</v>
      </c>
      <c r="J1182" s="4">
        <v>0</v>
      </c>
      <c r="K1182" s="11">
        <f>Table1[[#This Row],[original_price]]* (Table1[[#This Row],[Markdown percentage updated]])</f>
        <v>0</v>
      </c>
      <c r="L11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82" s="6">
        <v>186.78</v>
      </c>
      <c r="N11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82" s="7">
        <v>45875</v>
      </c>
      <c r="P1182">
        <v>22</v>
      </c>
      <c r="Q1182" s="16" t="str">
        <f>IF(Table1[[#This Row],[stock_quantity]]=0,"NO STOCK",
IF(Table1[[#This Row],[stock_quantity]]&lt;=10,"LOW STOCK",
"IN STOCK"))</f>
        <v>IN STOCK</v>
      </c>
      <c r="R1182" s="1">
        <f t="shared" si="74"/>
        <v>2.9</v>
      </c>
      <c r="S1182">
        <v>2.9</v>
      </c>
      <c r="T1182" t="b">
        <v>0</v>
      </c>
      <c r="U1182" t="str">
        <f t="shared" si="75"/>
        <v>No Return</v>
      </c>
    </row>
    <row r="1183" spans="1:22" hidden="1" x14ac:dyDescent="0.3">
      <c r="A1183" t="s">
        <v>1236</v>
      </c>
      <c r="B1183" t="s">
        <v>27</v>
      </c>
      <c r="C1183" t="s">
        <v>75</v>
      </c>
      <c r="D1183" t="s">
        <v>34</v>
      </c>
      <c r="E1183" t="str">
        <f t="shared" si="72"/>
        <v>XS</v>
      </c>
      <c r="G1183" t="s">
        <v>64</v>
      </c>
      <c r="H1183" s="8">
        <v>63.98</v>
      </c>
      <c r="I1183" s="3">
        <f t="shared" si="73"/>
        <v>0</v>
      </c>
      <c r="J1183" s="4">
        <v>0</v>
      </c>
      <c r="K1183" s="11">
        <f>Table1[[#This Row],[original_price]]* (Table1[[#This Row],[Markdown percentage updated]])</f>
        <v>0</v>
      </c>
      <c r="L11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83" s="6">
        <v>63.98</v>
      </c>
      <c r="N11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83" s="7">
        <v>45875</v>
      </c>
      <c r="P1183">
        <v>36</v>
      </c>
      <c r="Q1183" s="16" t="str">
        <f>IF(Table1[[#This Row],[stock_quantity]]=0,"NO STOCK",
IF(Table1[[#This Row],[stock_quantity]]&lt;=10,"LOW STOCK",
"IN STOCK"))</f>
        <v>IN STOCK</v>
      </c>
      <c r="R1183" s="1">
        <f t="shared" si="74"/>
        <v>1.7</v>
      </c>
      <c r="S1183">
        <v>1.7</v>
      </c>
      <c r="T1183" t="b">
        <v>0</v>
      </c>
      <c r="U1183" t="str">
        <f t="shared" si="75"/>
        <v>No Return</v>
      </c>
    </row>
    <row r="1184" spans="1:22" hidden="1" x14ac:dyDescent="0.3">
      <c r="A1184" t="s">
        <v>1237</v>
      </c>
      <c r="B1184" t="s">
        <v>15</v>
      </c>
      <c r="C1184" t="s">
        <v>75</v>
      </c>
      <c r="D1184" t="s">
        <v>34</v>
      </c>
      <c r="E1184" t="str">
        <f t="shared" si="72"/>
        <v>OS</v>
      </c>
      <c r="F1184" t="s">
        <v>55</v>
      </c>
      <c r="G1184" t="s">
        <v>64</v>
      </c>
      <c r="H1184" s="8">
        <v>225.64</v>
      </c>
      <c r="I1184" s="3">
        <f t="shared" si="73"/>
        <v>0</v>
      </c>
      <c r="J1184" s="4">
        <v>0</v>
      </c>
      <c r="K1184" s="11">
        <f>Table1[[#This Row],[original_price]]* (Table1[[#This Row],[Markdown percentage updated]])</f>
        <v>0</v>
      </c>
      <c r="L11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84" s="6">
        <v>225.64</v>
      </c>
      <c r="N11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84" s="7">
        <v>45875</v>
      </c>
      <c r="P1184">
        <v>31</v>
      </c>
      <c r="Q1184" s="16" t="str">
        <f>IF(Table1[[#This Row],[stock_quantity]]=0,"NO STOCK",
IF(Table1[[#This Row],[stock_quantity]]&lt;=10,"LOW STOCK",
"IN STOCK"))</f>
        <v>IN STOCK</v>
      </c>
      <c r="R1184" s="1">
        <f t="shared" si="74"/>
        <v>1.3</v>
      </c>
      <c r="S1184">
        <v>1.3</v>
      </c>
      <c r="T1184" t="b">
        <v>0</v>
      </c>
      <c r="U1184" t="str">
        <f t="shared" si="75"/>
        <v>No Return</v>
      </c>
    </row>
    <row r="1185" spans="1:22" hidden="1" x14ac:dyDescent="0.3">
      <c r="A1185" t="s">
        <v>1238</v>
      </c>
      <c r="B1185" t="s">
        <v>21</v>
      </c>
      <c r="C1185" t="s">
        <v>43</v>
      </c>
      <c r="D1185" t="s">
        <v>34</v>
      </c>
      <c r="E1185" t="str">
        <f t="shared" si="72"/>
        <v>L</v>
      </c>
      <c r="F1185" t="s">
        <v>55</v>
      </c>
      <c r="G1185" t="s">
        <v>35</v>
      </c>
      <c r="H1185" s="8">
        <v>115.29</v>
      </c>
      <c r="I1185" s="3">
        <f t="shared" si="73"/>
        <v>0.13900000000000001</v>
      </c>
      <c r="J1185" s="4">
        <v>13.9</v>
      </c>
      <c r="K1185" s="11">
        <f>Table1[[#This Row],[original_price]]* (Table1[[#This Row],[Markdown percentage updated]])</f>
        <v>16.025310000000001</v>
      </c>
      <c r="L11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85" s="6">
        <v>99.26</v>
      </c>
      <c r="N11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185" s="7">
        <v>45875</v>
      </c>
      <c r="P1185">
        <v>37</v>
      </c>
      <c r="Q1185" s="16" t="str">
        <f>IF(Table1[[#This Row],[stock_quantity]]=0,"NO STOCK",
IF(Table1[[#This Row],[stock_quantity]]&lt;=10,"LOW STOCK",
"IN STOCK"))</f>
        <v>IN STOCK</v>
      </c>
      <c r="R1185" s="1">
        <f t="shared" si="74"/>
        <v>0</v>
      </c>
      <c r="T1185" t="b">
        <v>0</v>
      </c>
      <c r="U1185" t="str">
        <f t="shared" si="75"/>
        <v>No Return</v>
      </c>
    </row>
    <row r="1186" spans="1:22" hidden="1" x14ac:dyDescent="0.3">
      <c r="A1186" t="s">
        <v>1239</v>
      </c>
      <c r="B1186" t="s">
        <v>38</v>
      </c>
      <c r="C1186" t="s">
        <v>43</v>
      </c>
      <c r="D1186" t="s">
        <v>34</v>
      </c>
      <c r="E1186" t="str">
        <f t="shared" si="72"/>
        <v>OS</v>
      </c>
      <c r="F1186" t="s">
        <v>55</v>
      </c>
      <c r="G1186" t="s">
        <v>35</v>
      </c>
      <c r="H1186" s="8">
        <v>92.59</v>
      </c>
      <c r="I1186" s="3">
        <f t="shared" si="73"/>
        <v>0</v>
      </c>
      <c r="J1186" s="4">
        <v>0</v>
      </c>
      <c r="K1186" s="11">
        <f>Table1[[#This Row],[original_price]]* (Table1[[#This Row],[Markdown percentage updated]])</f>
        <v>0</v>
      </c>
      <c r="L11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86" s="6">
        <v>92.59</v>
      </c>
      <c r="N11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86" s="7">
        <v>45875</v>
      </c>
      <c r="P1186">
        <v>39</v>
      </c>
      <c r="Q1186" s="16" t="str">
        <f>IF(Table1[[#This Row],[stock_quantity]]=0,"NO STOCK",
IF(Table1[[#This Row],[stock_quantity]]&lt;=10,"LOW STOCK",
"IN STOCK"))</f>
        <v>IN STOCK</v>
      </c>
      <c r="R1186" s="1">
        <f t="shared" si="74"/>
        <v>2.2999999999999998</v>
      </c>
      <c r="S1186">
        <v>2.2999999999999998</v>
      </c>
      <c r="T1186" t="b">
        <v>0</v>
      </c>
      <c r="U1186" t="str">
        <f t="shared" si="75"/>
        <v>No Return</v>
      </c>
    </row>
    <row r="1187" spans="1:22" hidden="1" x14ac:dyDescent="0.3">
      <c r="A1187" t="s">
        <v>1240</v>
      </c>
      <c r="B1187" t="s">
        <v>27</v>
      </c>
      <c r="C1187" t="s">
        <v>22</v>
      </c>
      <c r="D1187" t="s">
        <v>17</v>
      </c>
      <c r="E1187" t="str">
        <f t="shared" si="72"/>
        <v>OS</v>
      </c>
      <c r="G1187" t="s">
        <v>56</v>
      </c>
      <c r="H1187" s="8">
        <v>67.650000000000006</v>
      </c>
      <c r="I1187" s="3">
        <f t="shared" si="73"/>
        <v>0.26200000000000001</v>
      </c>
      <c r="J1187" s="4">
        <v>26.2</v>
      </c>
      <c r="K1187" s="11">
        <f>Table1[[#This Row],[original_price]]* (Table1[[#This Row],[Markdown percentage updated]])</f>
        <v>17.724300000000003</v>
      </c>
      <c r="L11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187" s="6">
        <v>49.93</v>
      </c>
      <c r="N11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187" s="7">
        <v>45805</v>
      </c>
      <c r="P1187">
        <v>23</v>
      </c>
      <c r="Q1187" s="16" t="str">
        <f>IF(Table1[[#This Row],[stock_quantity]]=0,"NO STOCK",
IF(Table1[[#This Row],[stock_quantity]]&lt;=10,"LOW STOCK",
"IN STOCK"))</f>
        <v>IN STOCK</v>
      </c>
      <c r="R1187" s="1">
        <f t="shared" si="74"/>
        <v>1.7</v>
      </c>
      <c r="S1187">
        <v>1.7</v>
      </c>
      <c r="T1187" t="b">
        <v>0</v>
      </c>
      <c r="U1187" t="str">
        <f t="shared" si="75"/>
        <v>No Return</v>
      </c>
    </row>
    <row r="1188" spans="1:22" hidden="1" x14ac:dyDescent="0.3">
      <c r="A1188" t="s">
        <v>1241</v>
      </c>
      <c r="B1188" t="s">
        <v>15</v>
      </c>
      <c r="C1188" t="s">
        <v>53</v>
      </c>
      <c r="D1188" t="s">
        <v>17</v>
      </c>
      <c r="E1188" t="str">
        <f t="shared" si="72"/>
        <v>S</v>
      </c>
      <c r="F1188" t="s">
        <v>24</v>
      </c>
      <c r="G1188" t="s">
        <v>35</v>
      </c>
      <c r="H1188" s="8">
        <v>128.91999999999999</v>
      </c>
      <c r="I1188" s="3">
        <f t="shared" si="73"/>
        <v>0</v>
      </c>
      <c r="J1188" s="4">
        <v>0</v>
      </c>
      <c r="K1188" s="11">
        <f>Table1[[#This Row],[original_price]]* (Table1[[#This Row],[Markdown percentage updated]])</f>
        <v>0</v>
      </c>
      <c r="L11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88" s="6">
        <v>128.91999999999999</v>
      </c>
      <c r="N11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88" s="7">
        <v>45848</v>
      </c>
      <c r="P1188">
        <v>40</v>
      </c>
      <c r="Q1188" s="16" t="str">
        <f>IF(Table1[[#This Row],[stock_quantity]]=0,"NO STOCK",
IF(Table1[[#This Row],[stock_quantity]]&lt;=10,"LOW STOCK",
"IN STOCK"))</f>
        <v>IN STOCK</v>
      </c>
      <c r="R1188" s="1">
        <f t="shared" si="74"/>
        <v>1.5</v>
      </c>
      <c r="S1188">
        <v>1.5</v>
      </c>
      <c r="T1188" t="b">
        <v>0</v>
      </c>
      <c r="U1188" t="str">
        <f t="shared" si="75"/>
        <v>No Return</v>
      </c>
    </row>
    <row r="1189" spans="1:22" hidden="1" x14ac:dyDescent="0.3">
      <c r="A1189" t="s">
        <v>1242</v>
      </c>
      <c r="B1189" t="s">
        <v>27</v>
      </c>
      <c r="C1189" t="s">
        <v>32</v>
      </c>
      <c r="D1189" t="s">
        <v>34</v>
      </c>
      <c r="E1189" t="str">
        <f t="shared" si="72"/>
        <v>XXL</v>
      </c>
      <c r="G1189" t="s">
        <v>19</v>
      </c>
      <c r="H1189" s="8">
        <v>16.510000000000002</v>
      </c>
      <c r="I1189" s="3">
        <f t="shared" si="73"/>
        <v>0.16800000000000001</v>
      </c>
      <c r="J1189" s="4">
        <v>16.8</v>
      </c>
      <c r="K1189" s="11">
        <f>Table1[[#This Row],[original_price]]* (Table1[[#This Row],[Markdown percentage updated]])</f>
        <v>2.7736800000000006</v>
      </c>
      <c r="L11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89" s="6">
        <v>13.74</v>
      </c>
      <c r="N11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189" s="7">
        <v>45875</v>
      </c>
      <c r="P1189">
        <v>47</v>
      </c>
      <c r="Q1189" s="16" t="str">
        <f>IF(Table1[[#This Row],[stock_quantity]]=0,"NO STOCK",
IF(Table1[[#This Row],[stock_quantity]]&lt;=10,"LOW STOCK",
"IN STOCK"))</f>
        <v>IN STOCK</v>
      </c>
      <c r="R1189" s="1">
        <f t="shared" si="74"/>
        <v>1.2</v>
      </c>
      <c r="S1189">
        <v>1.2</v>
      </c>
      <c r="T1189" t="b">
        <v>0</v>
      </c>
      <c r="U1189" t="str">
        <f t="shared" si="75"/>
        <v>No Return</v>
      </c>
    </row>
    <row r="1190" spans="1:22" hidden="1" x14ac:dyDescent="0.3">
      <c r="A1190" t="s">
        <v>1243</v>
      </c>
      <c r="B1190" t="s">
        <v>30</v>
      </c>
      <c r="C1190" t="s">
        <v>32</v>
      </c>
      <c r="D1190" t="s">
        <v>23</v>
      </c>
      <c r="E1190" t="str">
        <f t="shared" si="72"/>
        <v>XS</v>
      </c>
      <c r="G1190" t="s">
        <v>40</v>
      </c>
      <c r="H1190" s="8">
        <v>173.66</v>
      </c>
      <c r="I1190" s="3">
        <f t="shared" si="73"/>
        <v>0.42700000000000005</v>
      </c>
      <c r="J1190" s="4">
        <v>42.7</v>
      </c>
      <c r="K1190" s="11">
        <f>Table1[[#This Row],[original_price]]* (Table1[[#This Row],[Markdown percentage updated]])</f>
        <v>74.152820000000006</v>
      </c>
      <c r="L11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90" s="6">
        <v>99.51</v>
      </c>
      <c r="N11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90" s="7">
        <v>45875</v>
      </c>
      <c r="P1190">
        <v>1</v>
      </c>
      <c r="Q1190" s="17" t="str">
        <f>IF(Table1[[#This Row],[stock_quantity]]=0,"NO STOCK",
IF(Table1[[#This Row],[stock_quantity]]&lt;=10,"LOW STOCK",
"IN STOCK"))</f>
        <v>LOW STOCK</v>
      </c>
      <c r="R1190" s="1">
        <f t="shared" si="74"/>
        <v>3.1</v>
      </c>
      <c r="S1190">
        <v>3.1</v>
      </c>
      <c r="T1190" t="b">
        <v>0</v>
      </c>
      <c r="U1190" t="str">
        <f t="shared" si="75"/>
        <v>No Return</v>
      </c>
    </row>
    <row r="1191" spans="1:22" hidden="1" x14ac:dyDescent="0.3">
      <c r="A1191" t="s">
        <v>1244</v>
      </c>
      <c r="B1191" t="s">
        <v>21</v>
      </c>
      <c r="C1191" t="s">
        <v>48</v>
      </c>
      <c r="D1191" t="s">
        <v>17</v>
      </c>
      <c r="E1191" t="str">
        <f t="shared" si="72"/>
        <v>XXL</v>
      </c>
      <c r="F1191" t="s">
        <v>39</v>
      </c>
      <c r="G1191" t="s">
        <v>28</v>
      </c>
      <c r="H1191" s="8">
        <v>71.489999999999995</v>
      </c>
      <c r="I1191" s="3">
        <f t="shared" si="73"/>
        <v>0.20899999999999999</v>
      </c>
      <c r="J1191" s="4">
        <v>20.9</v>
      </c>
      <c r="K1191" s="11">
        <f>Table1[[#This Row],[original_price]]* (Table1[[#This Row],[Markdown percentage updated]])</f>
        <v>14.941409999999998</v>
      </c>
      <c r="L11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191" s="6">
        <v>56.55</v>
      </c>
      <c r="N11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191" s="7">
        <v>45669</v>
      </c>
      <c r="P1191">
        <v>33</v>
      </c>
      <c r="Q1191" s="16" t="str">
        <f>IF(Table1[[#This Row],[stock_quantity]]=0,"NO STOCK",
IF(Table1[[#This Row],[stock_quantity]]&lt;=10,"LOW STOCK",
"IN STOCK"))</f>
        <v>IN STOCK</v>
      </c>
      <c r="R1191" s="1">
        <f t="shared" si="74"/>
        <v>1.3</v>
      </c>
      <c r="S1191">
        <v>1.3</v>
      </c>
      <c r="T1191" t="b">
        <v>0</v>
      </c>
      <c r="U1191" t="str">
        <f t="shared" si="75"/>
        <v>No Return</v>
      </c>
    </row>
    <row r="1192" spans="1:22" hidden="1" x14ac:dyDescent="0.3">
      <c r="A1192" t="s">
        <v>1245</v>
      </c>
      <c r="B1192" t="s">
        <v>15</v>
      </c>
      <c r="C1192" t="s">
        <v>22</v>
      </c>
      <c r="D1192" t="s">
        <v>34</v>
      </c>
      <c r="E1192" t="str">
        <f t="shared" si="72"/>
        <v>L</v>
      </c>
      <c r="F1192" t="s">
        <v>49</v>
      </c>
      <c r="G1192" t="s">
        <v>40</v>
      </c>
      <c r="H1192" s="8">
        <v>230.81</v>
      </c>
      <c r="I1192" s="3">
        <f t="shared" si="73"/>
        <v>0.24299999999999999</v>
      </c>
      <c r="J1192" s="4">
        <v>24.3</v>
      </c>
      <c r="K1192" s="11">
        <f>Table1[[#This Row],[original_price]]* (Table1[[#This Row],[Markdown percentage updated]])</f>
        <v>56.086829999999999</v>
      </c>
      <c r="L11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192" s="6">
        <v>174.72</v>
      </c>
      <c r="N11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92" s="7">
        <v>45875</v>
      </c>
      <c r="P1192">
        <v>26</v>
      </c>
      <c r="Q1192" s="16" t="str">
        <f>IF(Table1[[#This Row],[stock_quantity]]=0,"NO STOCK",
IF(Table1[[#This Row],[stock_quantity]]&lt;=10,"LOW STOCK",
"IN STOCK"))</f>
        <v>IN STOCK</v>
      </c>
      <c r="R1192" s="1">
        <f t="shared" si="74"/>
        <v>0</v>
      </c>
      <c r="T1192" t="b">
        <v>1</v>
      </c>
      <c r="U1192" s="13" t="str">
        <f t="shared" si="75"/>
        <v>Size Issue</v>
      </c>
      <c r="V1192" t="s">
        <v>73</v>
      </c>
    </row>
    <row r="1193" spans="1:22" hidden="1" x14ac:dyDescent="0.3">
      <c r="A1193" t="s">
        <v>1246</v>
      </c>
      <c r="B1193" t="s">
        <v>30</v>
      </c>
      <c r="C1193" t="s">
        <v>48</v>
      </c>
      <c r="D1193" t="s">
        <v>17</v>
      </c>
      <c r="E1193" t="str">
        <f t="shared" si="72"/>
        <v>XL</v>
      </c>
      <c r="F1193" t="s">
        <v>55</v>
      </c>
      <c r="G1193" t="s">
        <v>46</v>
      </c>
      <c r="H1193" s="8">
        <v>101</v>
      </c>
      <c r="I1193" s="3">
        <f t="shared" si="73"/>
        <v>0.58599999999999997</v>
      </c>
      <c r="J1193" s="4">
        <v>58.6</v>
      </c>
      <c r="K1193" s="11">
        <f>Table1[[#This Row],[original_price]]* (Table1[[#This Row],[Markdown percentage updated]])</f>
        <v>59.186</v>
      </c>
      <c r="L11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93" s="6">
        <v>41.81</v>
      </c>
      <c r="N11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93" s="7">
        <v>45842</v>
      </c>
      <c r="P1193">
        <v>44</v>
      </c>
      <c r="Q1193" s="16" t="str">
        <f>IF(Table1[[#This Row],[stock_quantity]]=0,"NO STOCK",
IF(Table1[[#This Row],[stock_quantity]]&lt;=10,"LOW STOCK",
"IN STOCK"))</f>
        <v>IN STOCK</v>
      </c>
      <c r="R1193" s="1">
        <f t="shared" si="74"/>
        <v>1.2</v>
      </c>
      <c r="S1193">
        <v>1.2</v>
      </c>
      <c r="T1193" t="b">
        <v>0</v>
      </c>
      <c r="U1193" t="str">
        <f t="shared" si="75"/>
        <v>No Return</v>
      </c>
    </row>
    <row r="1194" spans="1:22" hidden="1" x14ac:dyDescent="0.3">
      <c r="A1194" t="s">
        <v>1247</v>
      </c>
      <c r="B1194" t="s">
        <v>15</v>
      </c>
      <c r="C1194" t="s">
        <v>43</v>
      </c>
      <c r="D1194" t="s">
        <v>23</v>
      </c>
      <c r="E1194" t="str">
        <f t="shared" si="72"/>
        <v>L</v>
      </c>
      <c r="F1194" t="s">
        <v>49</v>
      </c>
      <c r="G1194" t="s">
        <v>70</v>
      </c>
      <c r="H1194" s="8">
        <v>116.37</v>
      </c>
      <c r="I1194" s="3">
        <f t="shared" si="73"/>
        <v>0.52600000000000002</v>
      </c>
      <c r="J1194" s="4">
        <v>52.6</v>
      </c>
      <c r="K1194" s="11">
        <f>Table1[[#This Row],[original_price]]* (Table1[[#This Row],[Markdown percentage updated]])</f>
        <v>61.210620000000006</v>
      </c>
      <c r="L11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94" s="6">
        <v>55.16</v>
      </c>
      <c r="N11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94" s="7">
        <v>45875</v>
      </c>
      <c r="P1194">
        <v>43</v>
      </c>
      <c r="Q1194" s="16" t="str">
        <f>IF(Table1[[#This Row],[stock_quantity]]=0,"NO STOCK",
IF(Table1[[#This Row],[stock_quantity]]&lt;=10,"LOW STOCK",
"IN STOCK"))</f>
        <v>IN STOCK</v>
      </c>
      <c r="R1194" s="1">
        <f t="shared" si="74"/>
        <v>2.4</v>
      </c>
      <c r="S1194">
        <v>2.4</v>
      </c>
      <c r="T1194" t="b">
        <v>0</v>
      </c>
      <c r="U1194" t="str">
        <f t="shared" si="75"/>
        <v>No Return</v>
      </c>
    </row>
    <row r="1195" spans="1:22" hidden="1" x14ac:dyDescent="0.3">
      <c r="A1195" t="s">
        <v>1248</v>
      </c>
      <c r="B1195" t="s">
        <v>30</v>
      </c>
      <c r="C1195" t="s">
        <v>48</v>
      </c>
      <c r="D1195" t="s">
        <v>17</v>
      </c>
      <c r="E1195" t="str">
        <f t="shared" si="72"/>
        <v>OS</v>
      </c>
      <c r="F1195" t="s">
        <v>24</v>
      </c>
      <c r="G1195" t="s">
        <v>56</v>
      </c>
      <c r="H1195" s="8">
        <v>150.28</v>
      </c>
      <c r="I1195" s="3">
        <f t="shared" si="73"/>
        <v>8.3000000000000004E-2</v>
      </c>
      <c r="J1195" s="4">
        <v>8.3000000000000007</v>
      </c>
      <c r="K1195" s="11">
        <f>Table1[[#This Row],[original_price]]* (Table1[[#This Row],[Markdown percentage updated]])</f>
        <v>12.473240000000001</v>
      </c>
      <c r="L11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195" s="6">
        <v>137.81</v>
      </c>
      <c r="N11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195" s="7">
        <v>45679</v>
      </c>
      <c r="P1195">
        <v>48</v>
      </c>
      <c r="Q1195" s="16" t="str">
        <f>IF(Table1[[#This Row],[stock_quantity]]=0,"NO STOCK",
IF(Table1[[#This Row],[stock_quantity]]&lt;=10,"LOW STOCK",
"IN STOCK"))</f>
        <v>IN STOCK</v>
      </c>
      <c r="R1195" s="1">
        <f t="shared" si="74"/>
        <v>2.9</v>
      </c>
      <c r="S1195">
        <v>2.9</v>
      </c>
      <c r="T1195" t="b">
        <v>0</v>
      </c>
      <c r="U1195" t="str">
        <f t="shared" si="75"/>
        <v>No Return</v>
      </c>
    </row>
    <row r="1196" spans="1:22" hidden="1" x14ac:dyDescent="0.3">
      <c r="A1196" t="s">
        <v>1249</v>
      </c>
      <c r="B1196" t="s">
        <v>15</v>
      </c>
      <c r="C1196" t="s">
        <v>16</v>
      </c>
      <c r="D1196" t="s">
        <v>23</v>
      </c>
      <c r="E1196" t="str">
        <f t="shared" si="72"/>
        <v>S</v>
      </c>
      <c r="F1196" t="s">
        <v>18</v>
      </c>
      <c r="G1196" t="s">
        <v>40</v>
      </c>
      <c r="H1196" s="8">
        <v>107.81</v>
      </c>
      <c r="I1196" s="3">
        <f t="shared" si="73"/>
        <v>0</v>
      </c>
      <c r="J1196" s="4">
        <v>0</v>
      </c>
      <c r="K1196" s="11">
        <f>Table1[[#This Row],[original_price]]* (Table1[[#This Row],[Markdown percentage updated]])</f>
        <v>0</v>
      </c>
      <c r="L11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96" s="6">
        <v>107.81</v>
      </c>
      <c r="N11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96" s="7">
        <v>45875</v>
      </c>
      <c r="P1196">
        <v>15</v>
      </c>
      <c r="Q1196" s="16" t="str">
        <f>IF(Table1[[#This Row],[stock_quantity]]=0,"NO STOCK",
IF(Table1[[#This Row],[stock_quantity]]&lt;=10,"LOW STOCK",
"IN STOCK"))</f>
        <v>IN STOCK</v>
      </c>
      <c r="R1196" s="1">
        <f t="shared" si="74"/>
        <v>2.7</v>
      </c>
      <c r="S1196">
        <v>2.7</v>
      </c>
      <c r="T1196" t="b">
        <v>0</v>
      </c>
      <c r="U1196" t="str">
        <f t="shared" si="75"/>
        <v>No Return</v>
      </c>
    </row>
    <row r="1197" spans="1:22" hidden="1" x14ac:dyDescent="0.3">
      <c r="A1197" t="s">
        <v>1250</v>
      </c>
      <c r="B1197" t="s">
        <v>42</v>
      </c>
      <c r="C1197" t="s">
        <v>16</v>
      </c>
      <c r="D1197" t="s">
        <v>17</v>
      </c>
      <c r="E1197" t="str">
        <f t="shared" si="72"/>
        <v>M</v>
      </c>
      <c r="F1197" t="s">
        <v>24</v>
      </c>
      <c r="G1197" t="s">
        <v>64</v>
      </c>
      <c r="H1197" s="8">
        <v>61.24</v>
      </c>
      <c r="I1197" s="3">
        <f t="shared" si="73"/>
        <v>0</v>
      </c>
      <c r="J1197" s="4">
        <v>0</v>
      </c>
      <c r="K1197" s="11">
        <f>Table1[[#This Row],[original_price]]* (Table1[[#This Row],[Markdown percentage updated]])</f>
        <v>0</v>
      </c>
      <c r="L11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97" s="6">
        <v>61.24</v>
      </c>
      <c r="N11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97" s="7">
        <v>45752</v>
      </c>
      <c r="P1197">
        <v>3</v>
      </c>
      <c r="Q1197" s="17" t="str">
        <f>IF(Table1[[#This Row],[stock_quantity]]=0,"NO STOCK",
IF(Table1[[#This Row],[stock_quantity]]&lt;=10,"LOW STOCK",
"IN STOCK"))</f>
        <v>LOW STOCK</v>
      </c>
      <c r="R1197" s="1">
        <f t="shared" si="74"/>
        <v>0</v>
      </c>
      <c r="T1197" t="b">
        <v>0</v>
      </c>
      <c r="U1197" t="str">
        <f t="shared" si="75"/>
        <v>No Return</v>
      </c>
    </row>
    <row r="1198" spans="1:22" hidden="1" x14ac:dyDescent="0.3">
      <c r="A1198" t="s">
        <v>1251</v>
      </c>
      <c r="B1198" t="s">
        <v>27</v>
      </c>
      <c r="C1198" t="s">
        <v>16</v>
      </c>
      <c r="D1198" t="s">
        <v>23</v>
      </c>
      <c r="E1198" t="str">
        <f t="shared" si="72"/>
        <v>XXL</v>
      </c>
      <c r="G1198" t="s">
        <v>46</v>
      </c>
      <c r="H1198" s="8">
        <v>34.04</v>
      </c>
      <c r="I1198" s="3">
        <f t="shared" si="73"/>
        <v>0</v>
      </c>
      <c r="J1198" s="4">
        <v>0</v>
      </c>
      <c r="K1198" s="11">
        <f>Table1[[#This Row],[original_price]]* (Table1[[#This Row],[Markdown percentage updated]])</f>
        <v>0</v>
      </c>
      <c r="L11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198" s="6">
        <v>34.04</v>
      </c>
      <c r="N11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198" s="7">
        <v>45875</v>
      </c>
      <c r="P1198">
        <v>3</v>
      </c>
      <c r="Q1198" s="17" t="str">
        <f>IF(Table1[[#This Row],[stock_quantity]]=0,"NO STOCK",
IF(Table1[[#This Row],[stock_quantity]]&lt;=10,"LOW STOCK",
"IN STOCK"))</f>
        <v>LOW STOCK</v>
      </c>
      <c r="R1198" s="1">
        <f t="shared" si="74"/>
        <v>1.9</v>
      </c>
      <c r="S1198">
        <v>1.9</v>
      </c>
      <c r="T1198" t="b">
        <v>0</v>
      </c>
      <c r="U1198" t="str">
        <f t="shared" si="75"/>
        <v>No Return</v>
      </c>
    </row>
    <row r="1199" spans="1:22" hidden="1" x14ac:dyDescent="0.3">
      <c r="A1199" t="s">
        <v>1252</v>
      </c>
      <c r="B1199" t="s">
        <v>42</v>
      </c>
      <c r="C1199" t="s">
        <v>61</v>
      </c>
      <c r="D1199" t="s">
        <v>62</v>
      </c>
      <c r="E1199" t="str">
        <f t="shared" si="72"/>
        <v>M</v>
      </c>
      <c r="F1199" t="s">
        <v>39</v>
      </c>
      <c r="G1199" t="s">
        <v>70</v>
      </c>
      <c r="H1199" s="8">
        <v>168.16</v>
      </c>
      <c r="I1199" s="3">
        <f t="shared" si="73"/>
        <v>0.45899999999999996</v>
      </c>
      <c r="J1199" s="4">
        <v>45.9</v>
      </c>
      <c r="K1199" s="11">
        <f>Table1[[#This Row],[original_price]]* (Table1[[#This Row],[Markdown percentage updated]])</f>
        <v>77.185439999999986</v>
      </c>
      <c r="L11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199" s="6">
        <v>90.97</v>
      </c>
      <c r="N11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199" s="7">
        <v>45875</v>
      </c>
      <c r="P1199">
        <v>44</v>
      </c>
      <c r="Q1199" s="16" t="str">
        <f>IF(Table1[[#This Row],[stock_quantity]]=0,"NO STOCK",
IF(Table1[[#This Row],[stock_quantity]]&lt;=10,"LOW STOCK",
"IN STOCK"))</f>
        <v>IN STOCK</v>
      </c>
      <c r="R1199" s="1">
        <f t="shared" si="74"/>
        <v>1.5</v>
      </c>
      <c r="S1199">
        <v>1.5</v>
      </c>
      <c r="T1199" t="b">
        <v>0</v>
      </c>
      <c r="U1199" t="str">
        <f t="shared" si="75"/>
        <v>No Return</v>
      </c>
    </row>
    <row r="1200" spans="1:22" hidden="1" x14ac:dyDescent="0.3">
      <c r="A1200" t="s">
        <v>1253</v>
      </c>
      <c r="B1200" t="s">
        <v>21</v>
      </c>
      <c r="C1200" t="s">
        <v>53</v>
      </c>
      <c r="D1200" t="s">
        <v>34</v>
      </c>
      <c r="E1200" t="str">
        <f t="shared" si="72"/>
        <v>OS</v>
      </c>
      <c r="F1200" t="s">
        <v>58</v>
      </c>
      <c r="G1200" t="s">
        <v>19</v>
      </c>
      <c r="H1200" s="8">
        <v>74.069999999999993</v>
      </c>
      <c r="I1200" s="3">
        <f t="shared" si="73"/>
        <v>0</v>
      </c>
      <c r="J1200" s="4">
        <v>0</v>
      </c>
      <c r="K1200" s="11">
        <f>Table1[[#This Row],[original_price]]* (Table1[[#This Row],[Markdown percentage updated]])</f>
        <v>0</v>
      </c>
      <c r="L12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00" s="6">
        <v>74.069999999999993</v>
      </c>
      <c r="N12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00" s="7">
        <v>45875</v>
      </c>
      <c r="P1200">
        <v>47</v>
      </c>
      <c r="Q1200" s="16" t="str">
        <f>IF(Table1[[#This Row],[stock_quantity]]=0,"NO STOCK",
IF(Table1[[#This Row],[stock_quantity]]&lt;=10,"LOW STOCK",
"IN STOCK"))</f>
        <v>IN STOCK</v>
      </c>
      <c r="R1200" s="1">
        <f t="shared" si="74"/>
        <v>1.4</v>
      </c>
      <c r="S1200">
        <v>1.4</v>
      </c>
      <c r="T1200" t="b">
        <v>0</v>
      </c>
      <c r="U1200" t="str">
        <f t="shared" si="75"/>
        <v>No Return</v>
      </c>
    </row>
    <row r="1201" spans="1:22" hidden="1" x14ac:dyDescent="0.3">
      <c r="A1201" t="s">
        <v>1254</v>
      </c>
      <c r="B1201" t="s">
        <v>21</v>
      </c>
      <c r="C1201" t="s">
        <v>75</v>
      </c>
      <c r="D1201" t="s">
        <v>23</v>
      </c>
      <c r="E1201" t="str">
        <f t="shared" si="72"/>
        <v>XL</v>
      </c>
      <c r="F1201" t="s">
        <v>49</v>
      </c>
      <c r="G1201" t="s">
        <v>70</v>
      </c>
      <c r="H1201" s="8">
        <v>84.75</v>
      </c>
      <c r="I1201" s="3">
        <f t="shared" si="73"/>
        <v>0</v>
      </c>
      <c r="J1201" s="4">
        <v>0</v>
      </c>
      <c r="K1201" s="11">
        <f>Table1[[#This Row],[original_price]]* (Table1[[#This Row],[Markdown percentage updated]])</f>
        <v>0</v>
      </c>
      <c r="L12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01" s="6">
        <v>84.75</v>
      </c>
      <c r="N12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01" s="7">
        <v>45875</v>
      </c>
      <c r="P1201">
        <v>7</v>
      </c>
      <c r="Q1201" s="17" t="str">
        <f>IF(Table1[[#This Row],[stock_quantity]]=0,"NO STOCK",
IF(Table1[[#This Row],[stock_quantity]]&lt;=10,"LOW STOCK",
"IN STOCK"))</f>
        <v>LOW STOCK</v>
      </c>
      <c r="R1201" s="1">
        <f t="shared" si="74"/>
        <v>2.5</v>
      </c>
      <c r="S1201">
        <v>2.5</v>
      </c>
      <c r="T1201" t="b">
        <v>0</v>
      </c>
      <c r="U1201" t="str">
        <f t="shared" si="75"/>
        <v>No Return</v>
      </c>
    </row>
    <row r="1202" spans="1:22" hidden="1" x14ac:dyDescent="0.3">
      <c r="A1202" t="s">
        <v>1255</v>
      </c>
      <c r="B1202" t="s">
        <v>30</v>
      </c>
      <c r="C1202" t="s">
        <v>43</v>
      </c>
      <c r="D1202" t="s">
        <v>62</v>
      </c>
      <c r="E1202" t="str">
        <f t="shared" si="72"/>
        <v>XS</v>
      </c>
      <c r="F1202" t="s">
        <v>58</v>
      </c>
      <c r="G1202" t="s">
        <v>19</v>
      </c>
      <c r="H1202" s="8">
        <v>187.47</v>
      </c>
      <c r="I1202" s="3">
        <f t="shared" si="73"/>
        <v>9.6000000000000002E-2</v>
      </c>
      <c r="J1202" s="4">
        <v>9.6</v>
      </c>
      <c r="K1202" s="11">
        <f>Table1[[#This Row],[original_price]]* (Table1[[#This Row],[Markdown percentage updated]])</f>
        <v>17.997119999999999</v>
      </c>
      <c r="L12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02" s="6">
        <v>169.47</v>
      </c>
      <c r="N12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02" s="7">
        <v>45875</v>
      </c>
      <c r="P1202">
        <v>28</v>
      </c>
      <c r="Q1202" s="16" t="str">
        <f>IF(Table1[[#This Row],[stock_quantity]]=0,"NO STOCK",
IF(Table1[[#This Row],[stock_quantity]]&lt;=10,"LOW STOCK",
"IN STOCK"))</f>
        <v>IN STOCK</v>
      </c>
      <c r="R1202" s="1">
        <f t="shared" si="74"/>
        <v>4</v>
      </c>
      <c r="S1202">
        <v>4</v>
      </c>
      <c r="T1202" t="b">
        <v>0</v>
      </c>
      <c r="U1202" t="str">
        <f t="shared" si="75"/>
        <v>No Return</v>
      </c>
    </row>
    <row r="1203" spans="1:22" hidden="1" x14ac:dyDescent="0.3">
      <c r="A1203" t="s">
        <v>1256</v>
      </c>
      <c r="B1203" t="s">
        <v>27</v>
      </c>
      <c r="C1203" t="s">
        <v>22</v>
      </c>
      <c r="D1203" t="s">
        <v>17</v>
      </c>
      <c r="E1203" t="str">
        <f t="shared" si="72"/>
        <v>XS</v>
      </c>
      <c r="G1203" t="s">
        <v>46</v>
      </c>
      <c r="H1203" s="8">
        <v>45.81</v>
      </c>
      <c r="I1203" s="3">
        <f t="shared" si="73"/>
        <v>0.14099999999999999</v>
      </c>
      <c r="J1203" s="4">
        <v>14.1</v>
      </c>
      <c r="K1203" s="11">
        <f>Table1[[#This Row],[original_price]]* (Table1[[#This Row],[Markdown percentage updated]])</f>
        <v>6.4592099999999997</v>
      </c>
      <c r="L12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03" s="6">
        <v>39.35</v>
      </c>
      <c r="N12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203" s="7">
        <v>45761</v>
      </c>
      <c r="P1203">
        <v>29</v>
      </c>
      <c r="Q1203" s="16" t="str">
        <f>IF(Table1[[#This Row],[stock_quantity]]=0,"NO STOCK",
IF(Table1[[#This Row],[stock_quantity]]&lt;=10,"LOW STOCK",
"IN STOCK"))</f>
        <v>IN STOCK</v>
      </c>
      <c r="R1203" s="1">
        <f t="shared" si="74"/>
        <v>0</v>
      </c>
      <c r="T1203" t="b">
        <v>0</v>
      </c>
      <c r="U1203" t="str">
        <f t="shared" si="75"/>
        <v>No Return</v>
      </c>
    </row>
    <row r="1204" spans="1:22" hidden="1" x14ac:dyDescent="0.3">
      <c r="A1204" t="s">
        <v>1257</v>
      </c>
      <c r="B1204" t="s">
        <v>15</v>
      </c>
      <c r="C1204" t="s">
        <v>32</v>
      </c>
      <c r="D1204" t="s">
        <v>34</v>
      </c>
      <c r="E1204" t="str">
        <f t="shared" si="72"/>
        <v>XS</v>
      </c>
      <c r="F1204" t="s">
        <v>18</v>
      </c>
      <c r="G1204" t="s">
        <v>70</v>
      </c>
      <c r="H1204" s="8">
        <v>87.09</v>
      </c>
      <c r="I1204" s="3">
        <f t="shared" si="73"/>
        <v>0</v>
      </c>
      <c r="J1204" s="4">
        <v>0</v>
      </c>
      <c r="K1204" s="11">
        <f>Table1[[#This Row],[original_price]]* (Table1[[#This Row],[Markdown percentage updated]])</f>
        <v>0</v>
      </c>
      <c r="L12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04" s="6">
        <v>87.09</v>
      </c>
      <c r="N12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04" s="7">
        <v>45875</v>
      </c>
      <c r="P1204">
        <v>8</v>
      </c>
      <c r="Q1204" s="17" t="str">
        <f>IF(Table1[[#This Row],[stock_quantity]]=0,"NO STOCK",
IF(Table1[[#This Row],[stock_quantity]]&lt;=10,"LOW STOCK",
"IN STOCK"))</f>
        <v>LOW STOCK</v>
      </c>
      <c r="R1204" s="1">
        <f t="shared" si="74"/>
        <v>2.8</v>
      </c>
      <c r="S1204">
        <v>2.8</v>
      </c>
      <c r="T1204" t="b">
        <v>0</v>
      </c>
      <c r="U1204" t="str">
        <f t="shared" si="75"/>
        <v>No Return</v>
      </c>
    </row>
    <row r="1205" spans="1:22" hidden="1" x14ac:dyDescent="0.3">
      <c r="A1205" t="s">
        <v>1258</v>
      </c>
      <c r="B1205" t="s">
        <v>15</v>
      </c>
      <c r="C1205" t="s">
        <v>48</v>
      </c>
      <c r="D1205" t="s">
        <v>62</v>
      </c>
      <c r="E1205" t="str">
        <f t="shared" si="72"/>
        <v>OS</v>
      </c>
      <c r="F1205" t="s">
        <v>55</v>
      </c>
      <c r="G1205" t="s">
        <v>70</v>
      </c>
      <c r="H1205" s="8">
        <v>232.5</v>
      </c>
      <c r="I1205" s="3">
        <f t="shared" si="73"/>
        <v>0.56799999999999995</v>
      </c>
      <c r="J1205" s="4">
        <v>56.8</v>
      </c>
      <c r="K1205" s="11">
        <f>Table1[[#This Row],[original_price]]* (Table1[[#This Row],[Markdown percentage updated]])</f>
        <v>132.06</v>
      </c>
      <c r="L12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05" s="6">
        <v>100.44</v>
      </c>
      <c r="N12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05" s="7">
        <v>45875</v>
      </c>
      <c r="P1205">
        <v>23</v>
      </c>
      <c r="Q1205" s="16" t="str">
        <f>IF(Table1[[#This Row],[stock_quantity]]=0,"NO STOCK",
IF(Table1[[#This Row],[stock_quantity]]&lt;=10,"LOW STOCK",
"IN STOCK"))</f>
        <v>IN STOCK</v>
      </c>
      <c r="R1205" s="1">
        <f t="shared" si="74"/>
        <v>2.9</v>
      </c>
      <c r="S1205">
        <v>2.9</v>
      </c>
      <c r="T1205" t="b">
        <v>1</v>
      </c>
      <c r="U1205" s="13" t="str">
        <f t="shared" si="75"/>
        <v>Size Issue</v>
      </c>
      <c r="V1205" t="s">
        <v>73</v>
      </c>
    </row>
    <row r="1206" spans="1:22" hidden="1" x14ac:dyDescent="0.3">
      <c r="A1206" t="s">
        <v>1259</v>
      </c>
      <c r="B1206" t="s">
        <v>30</v>
      </c>
      <c r="C1206" t="s">
        <v>53</v>
      </c>
      <c r="D1206" t="s">
        <v>17</v>
      </c>
      <c r="E1206" t="str">
        <f t="shared" si="72"/>
        <v>OS</v>
      </c>
      <c r="F1206" t="s">
        <v>55</v>
      </c>
      <c r="G1206" t="s">
        <v>66</v>
      </c>
      <c r="H1206" s="8">
        <v>184.87</v>
      </c>
      <c r="I1206" s="3">
        <f t="shared" si="73"/>
        <v>0</v>
      </c>
      <c r="J1206" s="4">
        <v>0</v>
      </c>
      <c r="K1206" s="11">
        <f>Table1[[#This Row],[original_price]]* (Table1[[#This Row],[Markdown percentage updated]])</f>
        <v>0</v>
      </c>
      <c r="L12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06" s="6">
        <v>184.87</v>
      </c>
      <c r="N12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06" s="7">
        <v>45563</v>
      </c>
      <c r="P1206">
        <v>32</v>
      </c>
      <c r="Q1206" s="16" t="str">
        <f>IF(Table1[[#This Row],[stock_quantity]]=0,"NO STOCK",
IF(Table1[[#This Row],[stock_quantity]]&lt;=10,"LOW STOCK",
"IN STOCK"))</f>
        <v>IN STOCK</v>
      </c>
      <c r="R1206" s="1">
        <f t="shared" si="74"/>
        <v>1.8</v>
      </c>
      <c r="S1206">
        <v>1.8</v>
      </c>
      <c r="T1206" t="b">
        <v>0</v>
      </c>
      <c r="U1206" t="str">
        <f t="shared" si="75"/>
        <v>No Return</v>
      </c>
    </row>
    <row r="1207" spans="1:22" hidden="1" x14ac:dyDescent="0.3">
      <c r="A1207" t="s">
        <v>1260</v>
      </c>
      <c r="B1207" t="s">
        <v>21</v>
      </c>
      <c r="C1207" t="s">
        <v>61</v>
      </c>
      <c r="D1207" t="s">
        <v>34</v>
      </c>
      <c r="E1207" t="str">
        <f t="shared" si="72"/>
        <v>OS</v>
      </c>
      <c r="F1207" t="s">
        <v>55</v>
      </c>
      <c r="G1207" t="s">
        <v>40</v>
      </c>
      <c r="H1207" s="8">
        <v>31.36</v>
      </c>
      <c r="I1207" s="3">
        <f t="shared" si="73"/>
        <v>0</v>
      </c>
      <c r="J1207" s="4">
        <v>0</v>
      </c>
      <c r="K1207" s="11">
        <f>Table1[[#This Row],[original_price]]* (Table1[[#This Row],[Markdown percentage updated]])</f>
        <v>0</v>
      </c>
      <c r="L12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07" s="6">
        <v>31.36</v>
      </c>
      <c r="N12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07" s="7">
        <v>45875</v>
      </c>
      <c r="P1207">
        <v>50</v>
      </c>
      <c r="Q1207" s="16" t="str">
        <f>IF(Table1[[#This Row],[stock_quantity]]=0,"NO STOCK",
IF(Table1[[#This Row],[stock_quantity]]&lt;=10,"LOW STOCK",
"IN STOCK"))</f>
        <v>IN STOCK</v>
      </c>
      <c r="R1207" s="1">
        <f t="shared" si="74"/>
        <v>3.4</v>
      </c>
      <c r="S1207">
        <v>3.4</v>
      </c>
      <c r="T1207" t="b">
        <v>0</v>
      </c>
      <c r="U1207" t="str">
        <f t="shared" si="75"/>
        <v>No Return</v>
      </c>
    </row>
    <row r="1208" spans="1:22" hidden="1" x14ac:dyDescent="0.3">
      <c r="A1208" t="s">
        <v>1261</v>
      </c>
      <c r="B1208" t="s">
        <v>27</v>
      </c>
      <c r="C1208" t="s">
        <v>48</v>
      </c>
      <c r="D1208" t="s">
        <v>23</v>
      </c>
      <c r="E1208" t="str">
        <f t="shared" si="72"/>
        <v>M</v>
      </c>
      <c r="G1208" t="s">
        <v>64</v>
      </c>
      <c r="H1208" s="8">
        <v>62.26</v>
      </c>
      <c r="I1208" s="3">
        <f t="shared" si="73"/>
        <v>0.24600000000000002</v>
      </c>
      <c r="J1208" s="4">
        <v>24.6</v>
      </c>
      <c r="K1208" s="11">
        <f>Table1[[#This Row],[original_price]]* (Table1[[#This Row],[Markdown percentage updated]])</f>
        <v>15.31596</v>
      </c>
      <c r="L12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08" s="6">
        <v>46.94</v>
      </c>
      <c r="N12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08" s="7">
        <v>45875</v>
      </c>
      <c r="P1208">
        <v>33</v>
      </c>
      <c r="Q1208" s="16" t="str">
        <f>IF(Table1[[#This Row],[stock_quantity]]=0,"NO STOCK",
IF(Table1[[#This Row],[stock_quantity]]&lt;=10,"LOW STOCK",
"IN STOCK"))</f>
        <v>IN STOCK</v>
      </c>
      <c r="R1208" s="1">
        <f t="shared" si="74"/>
        <v>3.5</v>
      </c>
      <c r="S1208">
        <v>3.5</v>
      </c>
      <c r="T1208" t="b">
        <v>0</v>
      </c>
      <c r="U1208" t="str">
        <f t="shared" si="75"/>
        <v>No Return</v>
      </c>
    </row>
    <row r="1209" spans="1:22" hidden="1" x14ac:dyDescent="0.3">
      <c r="A1209" t="s">
        <v>1262</v>
      </c>
      <c r="B1209" t="s">
        <v>27</v>
      </c>
      <c r="C1209" t="s">
        <v>43</v>
      </c>
      <c r="D1209" t="s">
        <v>62</v>
      </c>
      <c r="E1209" t="str">
        <f t="shared" si="72"/>
        <v>L</v>
      </c>
      <c r="G1209" t="s">
        <v>64</v>
      </c>
      <c r="H1209" s="8">
        <v>64.819999999999993</v>
      </c>
      <c r="I1209" s="3">
        <f t="shared" si="73"/>
        <v>0.42200000000000004</v>
      </c>
      <c r="J1209" s="4">
        <v>42.2</v>
      </c>
      <c r="K1209" s="11">
        <f>Table1[[#This Row],[original_price]]* (Table1[[#This Row],[Markdown percentage updated]])</f>
        <v>27.354040000000001</v>
      </c>
      <c r="L12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09" s="6">
        <v>37.47</v>
      </c>
      <c r="N12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09" s="7">
        <v>45875</v>
      </c>
      <c r="P1209">
        <v>26</v>
      </c>
      <c r="Q1209" s="16" t="str">
        <f>IF(Table1[[#This Row],[stock_quantity]]=0,"NO STOCK",
IF(Table1[[#This Row],[stock_quantity]]&lt;=10,"LOW STOCK",
"IN STOCK"))</f>
        <v>IN STOCK</v>
      </c>
      <c r="R1209" s="1">
        <f t="shared" si="74"/>
        <v>1.3</v>
      </c>
      <c r="S1209">
        <v>1.3</v>
      </c>
      <c r="T1209" t="b">
        <v>0</v>
      </c>
      <c r="U1209" t="str">
        <f t="shared" si="75"/>
        <v>No Return</v>
      </c>
    </row>
    <row r="1210" spans="1:22" hidden="1" x14ac:dyDescent="0.3">
      <c r="A1210" t="s">
        <v>1263</v>
      </c>
      <c r="B1210" t="s">
        <v>27</v>
      </c>
      <c r="C1210" t="s">
        <v>16</v>
      </c>
      <c r="D1210" t="s">
        <v>17</v>
      </c>
      <c r="E1210" t="str">
        <f t="shared" si="72"/>
        <v>XXL</v>
      </c>
      <c r="G1210" t="s">
        <v>44</v>
      </c>
      <c r="H1210" s="8">
        <v>15.92</v>
      </c>
      <c r="I1210" s="3">
        <f t="shared" si="73"/>
        <v>0</v>
      </c>
      <c r="J1210" s="4">
        <v>0</v>
      </c>
      <c r="K1210" s="11">
        <f>Table1[[#This Row],[original_price]]* (Table1[[#This Row],[Markdown percentage updated]])</f>
        <v>0</v>
      </c>
      <c r="L12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10" s="6">
        <v>15.92</v>
      </c>
      <c r="N12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10" s="7">
        <v>45541</v>
      </c>
      <c r="P1210">
        <v>7</v>
      </c>
      <c r="Q1210" s="17" t="str">
        <f>IF(Table1[[#This Row],[stock_quantity]]=0,"NO STOCK",
IF(Table1[[#This Row],[stock_quantity]]&lt;=10,"LOW STOCK",
"IN STOCK"))</f>
        <v>LOW STOCK</v>
      </c>
      <c r="R1210" s="1">
        <f t="shared" si="74"/>
        <v>4.0999999999999996</v>
      </c>
      <c r="S1210">
        <v>4.0999999999999996</v>
      </c>
      <c r="T1210" t="b">
        <v>0</v>
      </c>
      <c r="U1210" t="str">
        <f t="shared" si="75"/>
        <v>No Return</v>
      </c>
    </row>
    <row r="1211" spans="1:22" hidden="1" x14ac:dyDescent="0.3">
      <c r="A1211" t="s">
        <v>1264</v>
      </c>
      <c r="B1211" t="s">
        <v>15</v>
      </c>
      <c r="C1211" t="s">
        <v>48</v>
      </c>
      <c r="D1211" t="s">
        <v>17</v>
      </c>
      <c r="E1211" t="str">
        <f t="shared" si="72"/>
        <v>OS</v>
      </c>
      <c r="F1211" t="s">
        <v>58</v>
      </c>
      <c r="G1211" t="s">
        <v>66</v>
      </c>
      <c r="H1211" s="8">
        <v>180.83</v>
      </c>
      <c r="I1211" s="3">
        <f t="shared" si="73"/>
        <v>0</v>
      </c>
      <c r="J1211" s="4">
        <v>0</v>
      </c>
      <c r="K1211" s="11">
        <f>Table1[[#This Row],[original_price]]* (Table1[[#This Row],[Markdown percentage updated]])</f>
        <v>0</v>
      </c>
      <c r="L12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11" s="6">
        <v>180.83</v>
      </c>
      <c r="N12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11" s="7">
        <v>45537</v>
      </c>
      <c r="P1211">
        <v>20</v>
      </c>
      <c r="Q1211" s="16" t="str">
        <f>IF(Table1[[#This Row],[stock_quantity]]=0,"NO STOCK",
IF(Table1[[#This Row],[stock_quantity]]&lt;=10,"LOW STOCK",
"IN STOCK"))</f>
        <v>IN STOCK</v>
      </c>
      <c r="R1211" s="1">
        <f t="shared" si="74"/>
        <v>2</v>
      </c>
      <c r="S1211">
        <v>2</v>
      </c>
      <c r="T1211" t="b">
        <v>0</v>
      </c>
      <c r="U1211" t="str">
        <f t="shared" si="75"/>
        <v>No Return</v>
      </c>
    </row>
    <row r="1212" spans="1:22" hidden="1" x14ac:dyDescent="0.3">
      <c r="A1212" t="s">
        <v>1265</v>
      </c>
      <c r="B1212" t="s">
        <v>30</v>
      </c>
      <c r="C1212" t="s">
        <v>75</v>
      </c>
      <c r="D1212" t="s">
        <v>62</v>
      </c>
      <c r="E1212" t="str">
        <f t="shared" si="72"/>
        <v>XS</v>
      </c>
      <c r="F1212" t="s">
        <v>24</v>
      </c>
      <c r="G1212" t="s">
        <v>70</v>
      </c>
      <c r="H1212" s="8">
        <v>73.81</v>
      </c>
      <c r="I1212" s="3">
        <f t="shared" si="73"/>
        <v>0</v>
      </c>
      <c r="J1212" s="4">
        <v>0</v>
      </c>
      <c r="K1212" s="11">
        <f>Table1[[#This Row],[original_price]]* (Table1[[#This Row],[Markdown percentage updated]])</f>
        <v>0</v>
      </c>
      <c r="L12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12" s="6">
        <v>73.81</v>
      </c>
      <c r="N12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12" s="7">
        <v>45875</v>
      </c>
      <c r="P1212">
        <v>44</v>
      </c>
      <c r="Q1212" s="16" t="str">
        <f>IF(Table1[[#This Row],[stock_quantity]]=0,"NO STOCK",
IF(Table1[[#This Row],[stock_quantity]]&lt;=10,"LOW STOCK",
"IN STOCK"))</f>
        <v>IN STOCK</v>
      </c>
      <c r="R1212" s="1">
        <f t="shared" si="74"/>
        <v>1.3</v>
      </c>
      <c r="S1212">
        <v>1.3</v>
      </c>
      <c r="T1212" t="b">
        <v>0</v>
      </c>
      <c r="U1212" t="str">
        <f t="shared" si="75"/>
        <v>No Return</v>
      </c>
    </row>
    <row r="1213" spans="1:22" hidden="1" x14ac:dyDescent="0.3">
      <c r="A1213" t="s">
        <v>1266</v>
      </c>
      <c r="B1213" t="s">
        <v>30</v>
      </c>
      <c r="C1213" t="s">
        <v>53</v>
      </c>
      <c r="D1213" t="s">
        <v>62</v>
      </c>
      <c r="E1213" t="str">
        <f t="shared" si="72"/>
        <v>S</v>
      </c>
      <c r="F1213" t="s">
        <v>49</v>
      </c>
      <c r="G1213" t="s">
        <v>56</v>
      </c>
      <c r="H1213" s="8">
        <v>127.52</v>
      </c>
      <c r="I1213" s="3">
        <f t="shared" si="73"/>
        <v>0</v>
      </c>
      <c r="J1213" s="4">
        <v>0</v>
      </c>
      <c r="K1213" s="11">
        <f>Table1[[#This Row],[original_price]]* (Table1[[#This Row],[Markdown percentage updated]])</f>
        <v>0</v>
      </c>
      <c r="L12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13" s="6">
        <v>127.52</v>
      </c>
      <c r="N12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13" s="7">
        <v>45875</v>
      </c>
      <c r="P1213">
        <v>0</v>
      </c>
      <c r="Q1213" s="13" t="str">
        <f>IF(Table1[[#This Row],[stock_quantity]]=0,"NO STOCK",
IF(Table1[[#This Row],[stock_quantity]]&lt;=10,"LOW STOCK",
"IN STOCK"))</f>
        <v>NO STOCK</v>
      </c>
      <c r="R1213" s="1">
        <f t="shared" si="74"/>
        <v>3.4</v>
      </c>
      <c r="S1213">
        <v>3.4</v>
      </c>
      <c r="T1213" t="b">
        <v>0</v>
      </c>
      <c r="U1213" t="str">
        <f t="shared" si="75"/>
        <v>No Return</v>
      </c>
    </row>
    <row r="1214" spans="1:22" hidden="1" x14ac:dyDescent="0.3">
      <c r="A1214" t="s">
        <v>1267</v>
      </c>
      <c r="B1214" t="s">
        <v>38</v>
      </c>
      <c r="C1214" t="s">
        <v>48</v>
      </c>
      <c r="D1214" t="s">
        <v>34</v>
      </c>
      <c r="E1214" t="str">
        <f t="shared" si="72"/>
        <v>OS</v>
      </c>
      <c r="G1214" t="s">
        <v>70</v>
      </c>
      <c r="H1214" s="8">
        <v>52.08</v>
      </c>
      <c r="I1214" s="3">
        <f t="shared" si="73"/>
        <v>0</v>
      </c>
      <c r="J1214" s="4">
        <v>0</v>
      </c>
      <c r="K1214" s="11">
        <f>Table1[[#This Row],[original_price]]* (Table1[[#This Row],[Markdown percentage updated]])</f>
        <v>0</v>
      </c>
      <c r="L12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14" s="6">
        <v>52.08</v>
      </c>
      <c r="N12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14" s="7">
        <v>45875</v>
      </c>
      <c r="P1214">
        <v>12</v>
      </c>
      <c r="Q1214" s="16" t="str">
        <f>IF(Table1[[#This Row],[stock_quantity]]=0,"NO STOCK",
IF(Table1[[#This Row],[stock_quantity]]&lt;=10,"LOW STOCK",
"IN STOCK"))</f>
        <v>IN STOCK</v>
      </c>
      <c r="R1214" s="1">
        <f t="shared" si="74"/>
        <v>0</v>
      </c>
      <c r="T1214" t="b">
        <v>0</v>
      </c>
      <c r="U1214" t="str">
        <f t="shared" si="75"/>
        <v>No Return</v>
      </c>
    </row>
    <row r="1215" spans="1:22" hidden="1" x14ac:dyDescent="0.3">
      <c r="A1215" t="s">
        <v>1268</v>
      </c>
      <c r="B1215" t="s">
        <v>38</v>
      </c>
      <c r="C1215" t="s">
        <v>75</v>
      </c>
      <c r="D1215" t="s">
        <v>23</v>
      </c>
      <c r="E1215" t="str">
        <f t="shared" si="72"/>
        <v>OS</v>
      </c>
      <c r="F1215" t="s">
        <v>55</v>
      </c>
      <c r="G1215" t="s">
        <v>19</v>
      </c>
      <c r="H1215" s="8">
        <v>32.83</v>
      </c>
      <c r="I1215" s="3">
        <f t="shared" si="73"/>
        <v>0.23</v>
      </c>
      <c r="J1215" s="4">
        <v>23</v>
      </c>
      <c r="K1215" s="11">
        <f>Table1[[#This Row],[original_price]]* (Table1[[#This Row],[Markdown percentage updated]])</f>
        <v>7.5508999999999995</v>
      </c>
      <c r="L12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15" s="6">
        <v>25.28</v>
      </c>
      <c r="N12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215" s="7">
        <v>45875</v>
      </c>
      <c r="P1215">
        <v>24</v>
      </c>
      <c r="Q1215" s="16" t="str">
        <f>IF(Table1[[#This Row],[stock_quantity]]=0,"NO STOCK",
IF(Table1[[#This Row],[stock_quantity]]&lt;=10,"LOW STOCK",
"IN STOCK"))</f>
        <v>IN STOCK</v>
      </c>
      <c r="R1215" s="1">
        <f t="shared" si="74"/>
        <v>1.1000000000000001</v>
      </c>
      <c r="S1215">
        <v>1.1000000000000001</v>
      </c>
      <c r="T1215" t="b">
        <v>0</v>
      </c>
      <c r="U1215" t="str">
        <f t="shared" si="75"/>
        <v>No Return</v>
      </c>
    </row>
    <row r="1216" spans="1:22" hidden="1" x14ac:dyDescent="0.3">
      <c r="A1216" t="s">
        <v>1269</v>
      </c>
      <c r="B1216" t="s">
        <v>21</v>
      </c>
      <c r="C1216" t="s">
        <v>32</v>
      </c>
      <c r="D1216" t="s">
        <v>23</v>
      </c>
      <c r="E1216" t="str">
        <f t="shared" si="72"/>
        <v>XL</v>
      </c>
      <c r="F1216" t="s">
        <v>39</v>
      </c>
      <c r="G1216" t="s">
        <v>66</v>
      </c>
      <c r="H1216" s="8">
        <v>108.92</v>
      </c>
      <c r="I1216" s="3">
        <f t="shared" si="73"/>
        <v>0</v>
      </c>
      <c r="J1216" s="4">
        <v>0</v>
      </c>
      <c r="K1216" s="11">
        <f>Table1[[#This Row],[original_price]]* (Table1[[#This Row],[Markdown percentage updated]])</f>
        <v>0</v>
      </c>
      <c r="L12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16" s="6">
        <v>108.92</v>
      </c>
      <c r="N12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16" s="7">
        <v>45875</v>
      </c>
      <c r="P1216">
        <v>6</v>
      </c>
      <c r="Q1216" s="17" t="str">
        <f>IF(Table1[[#This Row],[stock_quantity]]=0,"NO STOCK",
IF(Table1[[#This Row],[stock_quantity]]&lt;=10,"LOW STOCK",
"IN STOCK"))</f>
        <v>LOW STOCK</v>
      </c>
      <c r="R1216" s="1">
        <f t="shared" si="74"/>
        <v>1.8</v>
      </c>
      <c r="S1216">
        <v>1.8</v>
      </c>
      <c r="T1216" t="b">
        <v>0</v>
      </c>
      <c r="U1216" t="str">
        <f t="shared" si="75"/>
        <v>No Return</v>
      </c>
    </row>
    <row r="1217" spans="1:22" hidden="1" x14ac:dyDescent="0.3">
      <c r="A1217" t="s">
        <v>1270</v>
      </c>
      <c r="B1217" t="s">
        <v>30</v>
      </c>
      <c r="C1217" t="s">
        <v>75</v>
      </c>
      <c r="D1217" t="s">
        <v>23</v>
      </c>
      <c r="E1217" t="str">
        <f t="shared" si="72"/>
        <v>OS</v>
      </c>
      <c r="G1217" t="s">
        <v>64</v>
      </c>
      <c r="H1217" s="8">
        <v>85.83</v>
      </c>
      <c r="I1217" s="3">
        <f t="shared" si="73"/>
        <v>0.47499999999999998</v>
      </c>
      <c r="J1217" s="4">
        <v>47.5</v>
      </c>
      <c r="K1217" s="11">
        <f>Table1[[#This Row],[original_price]]* (Table1[[#This Row],[Markdown percentage updated]])</f>
        <v>40.76925</v>
      </c>
      <c r="L12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17" s="6">
        <v>45.06</v>
      </c>
      <c r="N12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17" s="7">
        <v>45875</v>
      </c>
      <c r="P1217">
        <v>8</v>
      </c>
      <c r="Q1217" s="17" t="str">
        <f>IF(Table1[[#This Row],[stock_quantity]]=0,"NO STOCK",
IF(Table1[[#This Row],[stock_quantity]]&lt;=10,"LOW STOCK",
"IN STOCK"))</f>
        <v>LOW STOCK</v>
      </c>
      <c r="R1217" s="1">
        <f t="shared" si="74"/>
        <v>1.1000000000000001</v>
      </c>
      <c r="S1217">
        <v>1.1000000000000001</v>
      </c>
      <c r="T1217" t="b">
        <v>0</v>
      </c>
      <c r="U1217" t="str">
        <f t="shared" si="75"/>
        <v>No Return</v>
      </c>
    </row>
    <row r="1218" spans="1:22" hidden="1" x14ac:dyDescent="0.3">
      <c r="A1218" t="s">
        <v>1271</v>
      </c>
      <c r="B1218" t="s">
        <v>27</v>
      </c>
      <c r="C1218" t="s">
        <v>16</v>
      </c>
      <c r="D1218" t="s">
        <v>17</v>
      </c>
      <c r="E1218" t="str">
        <f t="shared" ref="E1218:E1281" si="76">IF(ISBLANK(F1221),"OS",F1221)</f>
        <v>OS</v>
      </c>
      <c r="G1218" t="s">
        <v>44</v>
      </c>
      <c r="H1218" s="8">
        <v>62.02</v>
      </c>
      <c r="I1218" s="3">
        <f t="shared" ref="I1218:I1281" si="77">J1218/100</f>
        <v>0</v>
      </c>
      <c r="J1218" s="4">
        <v>0</v>
      </c>
      <c r="K1218" s="11">
        <f>Table1[[#This Row],[original_price]]* (Table1[[#This Row],[Markdown percentage updated]])</f>
        <v>0</v>
      </c>
      <c r="L12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18" s="6">
        <v>62.02</v>
      </c>
      <c r="N12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18" s="7">
        <v>45772</v>
      </c>
      <c r="P1218">
        <v>3</v>
      </c>
      <c r="Q1218" s="17" t="str">
        <f>IF(Table1[[#This Row],[stock_quantity]]=0,"NO STOCK",
IF(Table1[[#This Row],[stock_quantity]]&lt;=10,"LOW STOCK",
"IN STOCK"))</f>
        <v>LOW STOCK</v>
      </c>
      <c r="R1218" s="1">
        <f t="shared" si="74"/>
        <v>3.7</v>
      </c>
      <c r="S1218">
        <v>3.7</v>
      </c>
      <c r="T1218" t="b">
        <v>0</v>
      </c>
      <c r="U1218" t="str">
        <f t="shared" si="75"/>
        <v>No Return</v>
      </c>
    </row>
    <row r="1219" spans="1:22" hidden="1" x14ac:dyDescent="0.3">
      <c r="A1219" t="s">
        <v>1272</v>
      </c>
      <c r="B1219" t="s">
        <v>30</v>
      </c>
      <c r="C1219" t="s">
        <v>48</v>
      </c>
      <c r="D1219" t="s">
        <v>62</v>
      </c>
      <c r="E1219" t="str">
        <f t="shared" si="76"/>
        <v>XXL</v>
      </c>
      <c r="F1219" t="s">
        <v>18</v>
      </c>
      <c r="G1219" t="s">
        <v>28</v>
      </c>
      <c r="H1219" s="8">
        <v>127.31</v>
      </c>
      <c r="I1219" s="3">
        <f t="shared" si="77"/>
        <v>5.4000000000000006E-2</v>
      </c>
      <c r="J1219" s="4">
        <v>5.4</v>
      </c>
      <c r="K1219" s="11">
        <f>Table1[[#This Row],[original_price]]* (Table1[[#This Row],[Markdown percentage updated]])</f>
        <v>6.874740000000001</v>
      </c>
      <c r="L12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19" s="6">
        <v>120.44</v>
      </c>
      <c r="N12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219" s="7">
        <v>45875</v>
      </c>
      <c r="P1219">
        <v>34</v>
      </c>
      <c r="Q1219" s="16" t="str">
        <f>IF(Table1[[#This Row],[stock_quantity]]=0,"NO STOCK",
IF(Table1[[#This Row],[stock_quantity]]&lt;=10,"LOW STOCK",
"IN STOCK"))</f>
        <v>IN STOCK</v>
      </c>
      <c r="R1219" s="1">
        <f t="shared" ref="R1219:R1282" si="78">IF(ISBLANK(S1219), 0, S1219)</f>
        <v>2.5</v>
      </c>
      <c r="S1219">
        <v>2.5</v>
      </c>
      <c r="T1219" t="b">
        <v>0</v>
      </c>
      <c r="U1219" t="str">
        <f t="shared" ref="U1219:U1282" si="79">IF(V1219="","No Return",V1219)</f>
        <v>No Return</v>
      </c>
    </row>
    <row r="1220" spans="1:22" hidden="1" x14ac:dyDescent="0.3">
      <c r="A1220" t="s">
        <v>1273</v>
      </c>
      <c r="B1220" t="s">
        <v>21</v>
      </c>
      <c r="C1220" t="s">
        <v>53</v>
      </c>
      <c r="D1220" t="s">
        <v>34</v>
      </c>
      <c r="E1220" t="str">
        <f t="shared" si="76"/>
        <v>M</v>
      </c>
      <c r="G1220" t="s">
        <v>19</v>
      </c>
      <c r="H1220" s="8">
        <v>35.74</v>
      </c>
      <c r="I1220" s="3">
        <f t="shared" si="77"/>
        <v>0</v>
      </c>
      <c r="J1220" s="4">
        <v>0</v>
      </c>
      <c r="K1220" s="11">
        <f>Table1[[#This Row],[original_price]]* (Table1[[#This Row],[Markdown percentage updated]])</f>
        <v>0</v>
      </c>
      <c r="L12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20" s="6">
        <v>35.74</v>
      </c>
      <c r="N12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20" s="7">
        <v>45875</v>
      </c>
      <c r="P1220">
        <v>33</v>
      </c>
      <c r="Q1220" s="16" t="str">
        <f>IF(Table1[[#This Row],[stock_quantity]]=0,"NO STOCK",
IF(Table1[[#This Row],[stock_quantity]]&lt;=10,"LOW STOCK",
"IN STOCK"))</f>
        <v>IN STOCK</v>
      </c>
      <c r="R1220" s="1">
        <f t="shared" si="78"/>
        <v>0</v>
      </c>
      <c r="T1220" t="b">
        <v>1</v>
      </c>
      <c r="U1220" s="13" t="str">
        <f t="shared" si="79"/>
        <v>Color Mismatch</v>
      </c>
      <c r="V1220" t="s">
        <v>36</v>
      </c>
    </row>
    <row r="1221" spans="1:22" hidden="1" x14ac:dyDescent="0.3">
      <c r="A1221" t="s">
        <v>1274</v>
      </c>
      <c r="B1221" t="s">
        <v>27</v>
      </c>
      <c r="C1221" t="s">
        <v>48</v>
      </c>
      <c r="D1221" t="s">
        <v>62</v>
      </c>
      <c r="E1221" t="str">
        <f t="shared" si="76"/>
        <v>XXL</v>
      </c>
      <c r="G1221" t="s">
        <v>40</v>
      </c>
      <c r="H1221" s="8">
        <v>69.62</v>
      </c>
      <c r="I1221" s="3">
        <f t="shared" si="77"/>
        <v>0.27899999999999997</v>
      </c>
      <c r="J1221" s="4">
        <v>27.9</v>
      </c>
      <c r="K1221" s="11">
        <f>Table1[[#This Row],[original_price]]* (Table1[[#This Row],[Markdown percentage updated]])</f>
        <v>19.42398</v>
      </c>
      <c r="L12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21" s="6">
        <v>50.2</v>
      </c>
      <c r="N12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21" s="7">
        <v>45875</v>
      </c>
      <c r="P1221">
        <v>5</v>
      </c>
      <c r="Q1221" s="17" t="str">
        <f>IF(Table1[[#This Row],[stock_quantity]]=0,"NO STOCK",
IF(Table1[[#This Row],[stock_quantity]]&lt;=10,"LOW STOCK",
"IN STOCK"))</f>
        <v>LOW STOCK</v>
      </c>
      <c r="R1221" s="1">
        <f t="shared" si="78"/>
        <v>1.1000000000000001</v>
      </c>
      <c r="S1221">
        <v>1.1000000000000001</v>
      </c>
      <c r="T1221" t="b">
        <v>0</v>
      </c>
      <c r="U1221" t="str">
        <f t="shared" si="79"/>
        <v>No Return</v>
      </c>
    </row>
    <row r="1222" spans="1:22" hidden="1" x14ac:dyDescent="0.3">
      <c r="A1222" t="s">
        <v>1275</v>
      </c>
      <c r="B1222" t="s">
        <v>21</v>
      </c>
      <c r="C1222" t="s">
        <v>16</v>
      </c>
      <c r="D1222" t="s">
        <v>23</v>
      </c>
      <c r="E1222" t="str">
        <f t="shared" si="76"/>
        <v>OS</v>
      </c>
      <c r="F1222" t="s">
        <v>49</v>
      </c>
      <c r="G1222" t="s">
        <v>28</v>
      </c>
      <c r="H1222" s="8">
        <v>92.01</v>
      </c>
      <c r="I1222" s="3">
        <f t="shared" si="77"/>
        <v>0.28800000000000003</v>
      </c>
      <c r="J1222" s="4">
        <v>28.8</v>
      </c>
      <c r="K1222" s="11">
        <f>Table1[[#This Row],[original_price]]* (Table1[[#This Row],[Markdown percentage updated]])</f>
        <v>26.498880000000003</v>
      </c>
      <c r="L12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22" s="6">
        <v>65.510000000000005</v>
      </c>
      <c r="N12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22" s="7">
        <v>45875</v>
      </c>
      <c r="P1222">
        <v>37</v>
      </c>
      <c r="Q1222" s="16" t="str">
        <f>IF(Table1[[#This Row],[stock_quantity]]=0,"NO STOCK",
IF(Table1[[#This Row],[stock_quantity]]&lt;=10,"LOW STOCK",
"IN STOCK"))</f>
        <v>IN STOCK</v>
      </c>
      <c r="R1222" s="1">
        <f t="shared" si="78"/>
        <v>1.9</v>
      </c>
      <c r="S1222">
        <v>1.9</v>
      </c>
      <c r="T1222" t="b">
        <v>0</v>
      </c>
      <c r="U1222" t="str">
        <f t="shared" si="79"/>
        <v>No Return</v>
      </c>
    </row>
    <row r="1223" spans="1:22" x14ac:dyDescent="0.3">
      <c r="A1223" t="s">
        <v>1276</v>
      </c>
      <c r="B1223" t="s">
        <v>30</v>
      </c>
      <c r="C1223" t="s">
        <v>43</v>
      </c>
      <c r="D1223" t="s">
        <v>34</v>
      </c>
      <c r="E1223" t="str">
        <f t="shared" si="76"/>
        <v>M</v>
      </c>
      <c r="F1223" t="s">
        <v>58</v>
      </c>
      <c r="G1223" t="s">
        <v>28</v>
      </c>
      <c r="H1223" s="8">
        <v>110.1</v>
      </c>
      <c r="I1223" s="3">
        <f t="shared" si="77"/>
        <v>0</v>
      </c>
      <c r="J1223" s="4">
        <v>0</v>
      </c>
      <c r="K1223" s="11">
        <f>Table1[[#This Row],[original_price]]* (Table1[[#This Row],[Markdown percentage updated]])</f>
        <v>0</v>
      </c>
      <c r="L12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23" s="6">
        <v>110.1</v>
      </c>
      <c r="N12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23" s="7">
        <v>45875</v>
      </c>
      <c r="P1223">
        <v>13</v>
      </c>
      <c r="Q1223" s="16" t="str">
        <f>IF(Table1[[#This Row],[stock_quantity]]=0,"NO STOCK",
IF(Table1[[#This Row],[stock_quantity]]&lt;=10,"LOW STOCK",
"IN STOCK"))</f>
        <v>IN STOCK</v>
      </c>
      <c r="R1223" s="1">
        <f t="shared" si="78"/>
        <v>3.6</v>
      </c>
      <c r="S1223">
        <v>3.6</v>
      </c>
      <c r="T1223" t="b">
        <v>1</v>
      </c>
      <c r="U1223" s="13" t="str">
        <f t="shared" si="79"/>
        <v>Changed Mind</v>
      </c>
      <c r="V1223" t="s">
        <v>115</v>
      </c>
    </row>
    <row r="1224" spans="1:22" hidden="1" x14ac:dyDescent="0.3">
      <c r="A1224" t="s">
        <v>1277</v>
      </c>
      <c r="B1224" t="s">
        <v>38</v>
      </c>
      <c r="C1224" t="s">
        <v>16</v>
      </c>
      <c r="D1224" t="s">
        <v>34</v>
      </c>
      <c r="E1224" t="str">
        <f t="shared" si="76"/>
        <v>XL</v>
      </c>
      <c r="F1224" t="s">
        <v>49</v>
      </c>
      <c r="G1224" t="s">
        <v>19</v>
      </c>
      <c r="H1224" s="8">
        <v>109.05</v>
      </c>
      <c r="I1224" s="3">
        <f t="shared" si="77"/>
        <v>0</v>
      </c>
      <c r="J1224" s="4">
        <v>0</v>
      </c>
      <c r="K1224" s="11">
        <f>Table1[[#This Row],[original_price]]* (Table1[[#This Row],[Markdown percentage updated]])</f>
        <v>0</v>
      </c>
      <c r="L12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24" s="6">
        <v>109.05</v>
      </c>
      <c r="N12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24" s="7">
        <v>45875</v>
      </c>
      <c r="P1224">
        <v>13</v>
      </c>
      <c r="Q1224" s="16" t="str">
        <f>IF(Table1[[#This Row],[stock_quantity]]=0,"NO STOCK",
IF(Table1[[#This Row],[stock_quantity]]&lt;=10,"LOW STOCK",
"IN STOCK"))</f>
        <v>IN STOCK</v>
      </c>
      <c r="R1224" s="1">
        <f t="shared" si="78"/>
        <v>3.7</v>
      </c>
      <c r="S1224">
        <v>3.7</v>
      </c>
      <c r="T1224" t="b">
        <v>0</v>
      </c>
      <c r="U1224" t="str">
        <f t="shared" si="79"/>
        <v>No Return</v>
      </c>
    </row>
    <row r="1225" spans="1:22" hidden="1" x14ac:dyDescent="0.3">
      <c r="A1225" t="s">
        <v>1278</v>
      </c>
      <c r="B1225" t="s">
        <v>27</v>
      </c>
      <c r="C1225" t="s">
        <v>75</v>
      </c>
      <c r="D1225" t="s">
        <v>23</v>
      </c>
      <c r="E1225" t="str">
        <f t="shared" si="76"/>
        <v>OS</v>
      </c>
      <c r="G1225" t="s">
        <v>56</v>
      </c>
      <c r="H1225" s="8">
        <v>67.459999999999994</v>
      </c>
      <c r="I1225" s="3">
        <f t="shared" si="77"/>
        <v>0</v>
      </c>
      <c r="J1225" s="4">
        <v>0</v>
      </c>
      <c r="K1225" s="11">
        <f>Table1[[#This Row],[original_price]]* (Table1[[#This Row],[Markdown percentage updated]])</f>
        <v>0</v>
      </c>
      <c r="L12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25" s="6">
        <v>67.459999999999994</v>
      </c>
      <c r="N12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25" s="7">
        <v>45875</v>
      </c>
      <c r="P1225">
        <v>28</v>
      </c>
      <c r="Q1225" s="16" t="str">
        <f>IF(Table1[[#This Row],[stock_quantity]]=0,"NO STOCK",
IF(Table1[[#This Row],[stock_quantity]]&lt;=10,"LOW STOCK",
"IN STOCK"))</f>
        <v>IN STOCK</v>
      </c>
      <c r="R1225" s="1">
        <f t="shared" si="78"/>
        <v>1.4</v>
      </c>
      <c r="S1225">
        <v>1.4</v>
      </c>
      <c r="T1225" t="b">
        <v>0</v>
      </c>
      <c r="U1225" t="str">
        <f t="shared" si="79"/>
        <v>No Return</v>
      </c>
    </row>
    <row r="1226" spans="1:22" hidden="1" x14ac:dyDescent="0.3">
      <c r="A1226" t="s">
        <v>1279</v>
      </c>
      <c r="B1226" t="s">
        <v>30</v>
      </c>
      <c r="C1226" t="s">
        <v>53</v>
      </c>
      <c r="D1226" t="s">
        <v>23</v>
      </c>
      <c r="E1226" t="str">
        <f t="shared" si="76"/>
        <v>XS</v>
      </c>
      <c r="F1226" t="s">
        <v>58</v>
      </c>
      <c r="G1226" t="s">
        <v>35</v>
      </c>
      <c r="H1226" s="8">
        <v>110.11</v>
      </c>
      <c r="I1226" s="3">
        <f t="shared" si="77"/>
        <v>0.10199999999999999</v>
      </c>
      <c r="J1226" s="4">
        <v>10.199999999999999</v>
      </c>
      <c r="K1226" s="11">
        <f>Table1[[#This Row],[original_price]]* (Table1[[#This Row],[Markdown percentage updated]])</f>
        <v>11.231219999999999</v>
      </c>
      <c r="L12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26" s="6">
        <v>98.88</v>
      </c>
      <c r="N12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26" s="7">
        <v>45875</v>
      </c>
      <c r="P1226">
        <v>47</v>
      </c>
      <c r="Q1226" s="16" t="str">
        <f>IF(Table1[[#This Row],[stock_quantity]]=0,"NO STOCK",
IF(Table1[[#This Row],[stock_quantity]]&lt;=10,"LOW STOCK",
"IN STOCK"))</f>
        <v>IN STOCK</v>
      </c>
      <c r="R1226" s="1">
        <f t="shared" si="78"/>
        <v>0</v>
      </c>
      <c r="T1226" t="b">
        <v>0</v>
      </c>
      <c r="U1226" t="str">
        <f t="shared" si="79"/>
        <v>No Return</v>
      </c>
    </row>
    <row r="1227" spans="1:22" hidden="1" x14ac:dyDescent="0.3">
      <c r="A1227" t="s">
        <v>1280</v>
      </c>
      <c r="B1227" t="s">
        <v>30</v>
      </c>
      <c r="C1227" t="s">
        <v>32</v>
      </c>
      <c r="D1227" t="s">
        <v>62</v>
      </c>
      <c r="E1227" t="str">
        <f t="shared" si="76"/>
        <v>M</v>
      </c>
      <c r="F1227" t="s">
        <v>18</v>
      </c>
      <c r="G1227" t="s">
        <v>35</v>
      </c>
      <c r="H1227" s="8">
        <v>162.5</v>
      </c>
      <c r="I1227" s="3">
        <f t="shared" si="77"/>
        <v>0</v>
      </c>
      <c r="J1227" s="4">
        <v>0</v>
      </c>
      <c r="K1227" s="11">
        <f>Table1[[#This Row],[original_price]]* (Table1[[#This Row],[Markdown percentage updated]])</f>
        <v>0</v>
      </c>
      <c r="L12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27" s="6">
        <v>162.5</v>
      </c>
      <c r="N12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27" s="7">
        <v>45875</v>
      </c>
      <c r="P1227">
        <v>45</v>
      </c>
      <c r="Q1227" s="16" t="str">
        <f>IF(Table1[[#This Row],[stock_quantity]]=0,"NO STOCK",
IF(Table1[[#This Row],[stock_quantity]]&lt;=10,"LOW STOCK",
"IN STOCK"))</f>
        <v>IN STOCK</v>
      </c>
      <c r="R1227" s="1">
        <f t="shared" si="78"/>
        <v>0</v>
      </c>
      <c r="T1227" t="b">
        <v>0</v>
      </c>
      <c r="U1227" t="str">
        <f t="shared" si="79"/>
        <v>No Return</v>
      </c>
    </row>
    <row r="1228" spans="1:22" hidden="1" x14ac:dyDescent="0.3">
      <c r="A1228" t="s">
        <v>1281</v>
      </c>
      <c r="B1228" t="s">
        <v>27</v>
      </c>
      <c r="C1228" t="s">
        <v>22</v>
      </c>
      <c r="D1228" t="s">
        <v>62</v>
      </c>
      <c r="E1228" t="str">
        <f t="shared" si="76"/>
        <v>S</v>
      </c>
      <c r="G1228" t="s">
        <v>28</v>
      </c>
      <c r="H1228" s="8">
        <v>23.8</v>
      </c>
      <c r="I1228" s="3">
        <f t="shared" si="77"/>
        <v>8.3000000000000004E-2</v>
      </c>
      <c r="J1228" s="4">
        <v>8.3000000000000007</v>
      </c>
      <c r="K1228" s="11">
        <f>Table1[[#This Row],[original_price]]* (Table1[[#This Row],[Markdown percentage updated]])</f>
        <v>1.9754000000000003</v>
      </c>
      <c r="L12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28" s="6">
        <v>21.82</v>
      </c>
      <c r="N12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228" s="7">
        <v>45875</v>
      </c>
      <c r="P1228">
        <v>0</v>
      </c>
      <c r="Q1228" s="13" t="str">
        <f>IF(Table1[[#This Row],[stock_quantity]]=0,"NO STOCK",
IF(Table1[[#This Row],[stock_quantity]]&lt;=10,"LOW STOCK",
"IN STOCK"))</f>
        <v>NO STOCK</v>
      </c>
      <c r="R1228" s="1">
        <f t="shared" si="78"/>
        <v>3.5</v>
      </c>
      <c r="S1228">
        <v>3.5</v>
      </c>
      <c r="T1228" t="b">
        <v>0</v>
      </c>
      <c r="U1228" t="str">
        <f t="shared" si="79"/>
        <v>No Return</v>
      </c>
    </row>
    <row r="1229" spans="1:22" hidden="1" x14ac:dyDescent="0.3">
      <c r="A1229" t="s">
        <v>1282</v>
      </c>
      <c r="B1229" t="s">
        <v>38</v>
      </c>
      <c r="C1229" t="s">
        <v>32</v>
      </c>
      <c r="D1229" t="s">
        <v>34</v>
      </c>
      <c r="E1229" t="str">
        <f t="shared" si="76"/>
        <v>OS</v>
      </c>
      <c r="F1229" t="s">
        <v>55</v>
      </c>
      <c r="G1229" t="s">
        <v>70</v>
      </c>
      <c r="H1229" s="8">
        <v>115.89</v>
      </c>
      <c r="I1229" s="3">
        <f t="shared" si="77"/>
        <v>0</v>
      </c>
      <c r="J1229" s="4">
        <v>0</v>
      </c>
      <c r="K1229" s="11">
        <f>Table1[[#This Row],[original_price]]* (Table1[[#This Row],[Markdown percentage updated]])</f>
        <v>0</v>
      </c>
      <c r="L12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29" s="6">
        <v>115.89</v>
      </c>
      <c r="N12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29" s="7">
        <v>45875</v>
      </c>
      <c r="P1229">
        <v>34</v>
      </c>
      <c r="Q1229" s="16" t="str">
        <f>IF(Table1[[#This Row],[stock_quantity]]=0,"NO STOCK",
IF(Table1[[#This Row],[stock_quantity]]&lt;=10,"LOW STOCK",
"IN STOCK"))</f>
        <v>IN STOCK</v>
      </c>
      <c r="R1229" s="1">
        <f t="shared" si="78"/>
        <v>2.9</v>
      </c>
      <c r="S1229">
        <v>2.9</v>
      </c>
      <c r="T1229" t="b">
        <v>0</v>
      </c>
      <c r="U1229" t="str">
        <f t="shared" si="79"/>
        <v>No Return</v>
      </c>
    </row>
    <row r="1230" spans="1:22" hidden="1" x14ac:dyDescent="0.3">
      <c r="A1230" t="s">
        <v>1283</v>
      </c>
      <c r="B1230" t="s">
        <v>15</v>
      </c>
      <c r="C1230" t="s">
        <v>48</v>
      </c>
      <c r="D1230" t="s">
        <v>17</v>
      </c>
      <c r="E1230" t="str">
        <f t="shared" si="76"/>
        <v>OS</v>
      </c>
      <c r="F1230" t="s">
        <v>58</v>
      </c>
      <c r="G1230" t="s">
        <v>19</v>
      </c>
      <c r="H1230" s="8">
        <v>139.19999999999999</v>
      </c>
      <c r="I1230" s="3">
        <f t="shared" si="77"/>
        <v>0.42499999999999999</v>
      </c>
      <c r="J1230" s="4">
        <v>42.5</v>
      </c>
      <c r="K1230" s="11">
        <f>Table1[[#This Row],[original_price]]* (Table1[[#This Row],[Markdown percentage updated]])</f>
        <v>59.16</v>
      </c>
      <c r="L12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30" s="6">
        <v>80.040000000000006</v>
      </c>
      <c r="N12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30" s="7">
        <v>45567</v>
      </c>
      <c r="P1230">
        <v>27</v>
      </c>
      <c r="Q1230" s="16" t="str">
        <f>IF(Table1[[#This Row],[stock_quantity]]=0,"NO STOCK",
IF(Table1[[#This Row],[stock_quantity]]&lt;=10,"LOW STOCK",
"IN STOCK"))</f>
        <v>IN STOCK</v>
      </c>
      <c r="R1230" s="1">
        <f t="shared" si="78"/>
        <v>2.9</v>
      </c>
      <c r="S1230">
        <v>2.9</v>
      </c>
      <c r="T1230" t="b">
        <v>0</v>
      </c>
      <c r="U1230" t="str">
        <f t="shared" si="79"/>
        <v>No Return</v>
      </c>
    </row>
    <row r="1231" spans="1:22" hidden="1" x14ac:dyDescent="0.3">
      <c r="A1231" t="s">
        <v>1284</v>
      </c>
      <c r="B1231" t="s">
        <v>42</v>
      </c>
      <c r="C1231" t="s">
        <v>75</v>
      </c>
      <c r="D1231" t="s">
        <v>34</v>
      </c>
      <c r="E1231" t="str">
        <f t="shared" si="76"/>
        <v>XL</v>
      </c>
      <c r="F1231" t="s">
        <v>39</v>
      </c>
      <c r="G1231" t="s">
        <v>64</v>
      </c>
      <c r="H1231" s="8">
        <v>120.42</v>
      </c>
      <c r="I1231" s="3">
        <f t="shared" si="77"/>
        <v>0.36700000000000005</v>
      </c>
      <c r="J1231" s="4">
        <v>36.700000000000003</v>
      </c>
      <c r="K1231" s="11">
        <f>Table1[[#This Row],[original_price]]* (Table1[[#This Row],[Markdown percentage updated]])</f>
        <v>44.194140000000004</v>
      </c>
      <c r="L12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31" s="6">
        <v>76.23</v>
      </c>
      <c r="N12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31" s="7">
        <v>45875</v>
      </c>
      <c r="P1231">
        <v>46</v>
      </c>
      <c r="Q1231" s="16" t="str">
        <f>IF(Table1[[#This Row],[stock_quantity]]=0,"NO STOCK",
IF(Table1[[#This Row],[stock_quantity]]&lt;=10,"LOW STOCK",
"IN STOCK"))</f>
        <v>IN STOCK</v>
      </c>
      <c r="R1231" s="1">
        <f t="shared" si="78"/>
        <v>2.4</v>
      </c>
      <c r="S1231">
        <v>2.4</v>
      </c>
      <c r="T1231" t="b">
        <v>0</v>
      </c>
      <c r="U1231" t="str">
        <f t="shared" si="79"/>
        <v>No Return</v>
      </c>
    </row>
    <row r="1232" spans="1:22" hidden="1" x14ac:dyDescent="0.3">
      <c r="A1232" t="s">
        <v>1285</v>
      </c>
      <c r="B1232" t="s">
        <v>27</v>
      </c>
      <c r="C1232" t="s">
        <v>32</v>
      </c>
      <c r="D1232" t="s">
        <v>34</v>
      </c>
      <c r="E1232" t="str">
        <f t="shared" si="76"/>
        <v>S</v>
      </c>
      <c r="G1232" t="s">
        <v>56</v>
      </c>
      <c r="H1232" s="8">
        <v>72.81</v>
      </c>
      <c r="I1232" s="3">
        <f t="shared" si="77"/>
        <v>0</v>
      </c>
      <c r="J1232" s="4">
        <v>0</v>
      </c>
      <c r="K1232" s="11">
        <f>Table1[[#This Row],[original_price]]* (Table1[[#This Row],[Markdown percentage updated]])</f>
        <v>0</v>
      </c>
      <c r="L12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32" s="6">
        <v>72.81</v>
      </c>
      <c r="N12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32" s="7">
        <v>45875</v>
      </c>
      <c r="P1232">
        <v>4</v>
      </c>
      <c r="Q1232" s="17" t="str">
        <f>IF(Table1[[#This Row],[stock_quantity]]=0,"NO STOCK",
IF(Table1[[#This Row],[stock_quantity]]&lt;=10,"LOW STOCK",
"IN STOCK"))</f>
        <v>LOW STOCK</v>
      </c>
      <c r="R1232" s="1">
        <f t="shared" si="78"/>
        <v>4.3</v>
      </c>
      <c r="S1232">
        <v>4.3</v>
      </c>
      <c r="T1232" t="b">
        <v>0</v>
      </c>
      <c r="U1232" t="str">
        <f t="shared" si="79"/>
        <v>No Return</v>
      </c>
    </row>
    <row r="1233" spans="1:22" hidden="1" x14ac:dyDescent="0.3">
      <c r="A1233" t="s">
        <v>1286</v>
      </c>
      <c r="B1233" t="s">
        <v>27</v>
      </c>
      <c r="C1233" t="s">
        <v>16</v>
      </c>
      <c r="D1233" t="s">
        <v>17</v>
      </c>
      <c r="E1233" t="str">
        <f t="shared" si="76"/>
        <v>OS</v>
      </c>
      <c r="G1233" t="s">
        <v>70</v>
      </c>
      <c r="H1233" s="8">
        <v>29.75</v>
      </c>
      <c r="I1233" s="3">
        <f t="shared" si="77"/>
        <v>0</v>
      </c>
      <c r="J1233" s="4">
        <v>0</v>
      </c>
      <c r="K1233" s="11">
        <f>Table1[[#This Row],[original_price]]* (Table1[[#This Row],[Markdown percentage updated]])</f>
        <v>0</v>
      </c>
      <c r="L12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33" s="6">
        <v>29.75</v>
      </c>
      <c r="N12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33" s="7">
        <v>45695</v>
      </c>
      <c r="P1233">
        <v>37</v>
      </c>
      <c r="Q1233" s="16" t="str">
        <f>IF(Table1[[#This Row],[stock_quantity]]=0,"NO STOCK",
IF(Table1[[#This Row],[stock_quantity]]&lt;=10,"LOW STOCK",
"IN STOCK"))</f>
        <v>IN STOCK</v>
      </c>
      <c r="R1233" s="1">
        <f t="shared" si="78"/>
        <v>3.9</v>
      </c>
      <c r="S1233">
        <v>3.9</v>
      </c>
      <c r="T1233" t="b">
        <v>0</v>
      </c>
      <c r="U1233" t="str">
        <f t="shared" si="79"/>
        <v>No Return</v>
      </c>
    </row>
    <row r="1234" spans="1:22" hidden="1" x14ac:dyDescent="0.3">
      <c r="A1234" t="s">
        <v>1287</v>
      </c>
      <c r="B1234" t="s">
        <v>21</v>
      </c>
      <c r="C1234" t="s">
        <v>61</v>
      </c>
      <c r="D1234" t="s">
        <v>62</v>
      </c>
      <c r="E1234" t="str">
        <f t="shared" si="76"/>
        <v>L</v>
      </c>
      <c r="F1234" t="s">
        <v>18</v>
      </c>
      <c r="G1234" t="s">
        <v>28</v>
      </c>
      <c r="H1234" s="8">
        <v>33.630000000000003</v>
      </c>
      <c r="I1234" s="3">
        <f t="shared" si="77"/>
        <v>0</v>
      </c>
      <c r="J1234" s="4">
        <v>0</v>
      </c>
      <c r="K1234" s="11">
        <f>Table1[[#This Row],[original_price]]* (Table1[[#This Row],[Markdown percentage updated]])</f>
        <v>0</v>
      </c>
      <c r="L12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34" s="6">
        <v>33.630000000000003</v>
      </c>
      <c r="N12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34" s="7">
        <v>45875</v>
      </c>
      <c r="P1234">
        <v>13</v>
      </c>
      <c r="Q1234" s="16" t="str">
        <f>IF(Table1[[#This Row],[stock_quantity]]=0,"NO STOCK",
IF(Table1[[#This Row],[stock_quantity]]&lt;=10,"LOW STOCK",
"IN STOCK"))</f>
        <v>IN STOCK</v>
      </c>
      <c r="R1234" s="1">
        <f t="shared" si="78"/>
        <v>4.7</v>
      </c>
      <c r="S1234">
        <v>4.7</v>
      </c>
      <c r="T1234" t="b">
        <v>0</v>
      </c>
      <c r="U1234" t="str">
        <f t="shared" si="79"/>
        <v>No Return</v>
      </c>
    </row>
    <row r="1235" spans="1:22" hidden="1" x14ac:dyDescent="0.3">
      <c r="A1235" t="s">
        <v>1288</v>
      </c>
      <c r="B1235" t="s">
        <v>15</v>
      </c>
      <c r="C1235" t="s">
        <v>32</v>
      </c>
      <c r="D1235" t="s">
        <v>34</v>
      </c>
      <c r="E1235" t="str">
        <f t="shared" si="76"/>
        <v>M</v>
      </c>
      <c r="F1235" t="s">
        <v>39</v>
      </c>
      <c r="G1235" t="s">
        <v>70</v>
      </c>
      <c r="H1235" s="8">
        <v>101.93</v>
      </c>
      <c r="I1235" s="3">
        <f t="shared" si="77"/>
        <v>0</v>
      </c>
      <c r="J1235" s="4">
        <v>0</v>
      </c>
      <c r="K1235" s="11">
        <f>Table1[[#This Row],[original_price]]* (Table1[[#This Row],[Markdown percentage updated]])</f>
        <v>0</v>
      </c>
      <c r="L12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35" s="6">
        <v>101.93</v>
      </c>
      <c r="N12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35" s="7">
        <v>45875</v>
      </c>
      <c r="P1235">
        <v>31</v>
      </c>
      <c r="Q1235" s="16" t="str">
        <f>IF(Table1[[#This Row],[stock_quantity]]=0,"NO STOCK",
IF(Table1[[#This Row],[stock_quantity]]&lt;=10,"LOW STOCK",
"IN STOCK"))</f>
        <v>IN STOCK</v>
      </c>
      <c r="R1235" s="1">
        <f t="shared" si="78"/>
        <v>0</v>
      </c>
      <c r="T1235" t="b">
        <v>0</v>
      </c>
      <c r="U1235" t="str">
        <f t="shared" si="79"/>
        <v>No Return</v>
      </c>
    </row>
    <row r="1236" spans="1:22" hidden="1" x14ac:dyDescent="0.3">
      <c r="A1236" t="s">
        <v>1289</v>
      </c>
      <c r="B1236" t="s">
        <v>27</v>
      </c>
      <c r="C1236" t="s">
        <v>43</v>
      </c>
      <c r="D1236" t="s">
        <v>23</v>
      </c>
      <c r="E1236" t="str">
        <f t="shared" si="76"/>
        <v>XS</v>
      </c>
      <c r="G1236" t="s">
        <v>35</v>
      </c>
      <c r="H1236" s="8">
        <v>41.43</v>
      </c>
      <c r="I1236" s="3">
        <f t="shared" si="77"/>
        <v>0</v>
      </c>
      <c r="J1236" s="4">
        <v>0</v>
      </c>
      <c r="K1236" s="11">
        <f>Table1[[#This Row],[original_price]]* (Table1[[#This Row],[Markdown percentage updated]])</f>
        <v>0</v>
      </c>
      <c r="L12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36" s="6">
        <v>41.43</v>
      </c>
      <c r="N12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36" s="7">
        <v>45875</v>
      </c>
      <c r="P1236">
        <v>10</v>
      </c>
      <c r="Q1236" s="17" t="str">
        <f>IF(Table1[[#This Row],[stock_quantity]]=0,"NO STOCK",
IF(Table1[[#This Row],[stock_quantity]]&lt;=10,"LOW STOCK",
"IN STOCK"))</f>
        <v>LOW STOCK</v>
      </c>
      <c r="R1236" s="1">
        <f t="shared" si="78"/>
        <v>0</v>
      </c>
      <c r="T1236" t="b">
        <v>0</v>
      </c>
      <c r="U1236" t="str">
        <f t="shared" si="79"/>
        <v>No Return</v>
      </c>
    </row>
    <row r="1237" spans="1:22" hidden="1" x14ac:dyDescent="0.3">
      <c r="A1237" t="s">
        <v>1290</v>
      </c>
      <c r="B1237" t="s">
        <v>15</v>
      </c>
      <c r="C1237" t="s">
        <v>53</v>
      </c>
      <c r="D1237" t="s">
        <v>17</v>
      </c>
      <c r="E1237" t="str">
        <f t="shared" si="76"/>
        <v>S</v>
      </c>
      <c r="F1237" t="s">
        <v>24</v>
      </c>
      <c r="G1237" t="s">
        <v>46</v>
      </c>
      <c r="H1237" s="8">
        <v>126.14</v>
      </c>
      <c r="I1237" s="3">
        <f t="shared" si="77"/>
        <v>0</v>
      </c>
      <c r="J1237" s="4">
        <v>0</v>
      </c>
      <c r="K1237" s="11">
        <f>Table1[[#This Row],[original_price]]* (Table1[[#This Row],[Markdown percentage updated]])</f>
        <v>0</v>
      </c>
      <c r="L12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37" s="6">
        <v>126.14</v>
      </c>
      <c r="N12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37" s="7">
        <v>45795</v>
      </c>
      <c r="P1237">
        <v>24</v>
      </c>
      <c r="Q1237" s="16" t="str">
        <f>IF(Table1[[#This Row],[stock_quantity]]=0,"NO STOCK",
IF(Table1[[#This Row],[stock_quantity]]&lt;=10,"LOW STOCK",
"IN STOCK"))</f>
        <v>IN STOCK</v>
      </c>
      <c r="R1237" s="1">
        <f t="shared" si="78"/>
        <v>3.6</v>
      </c>
      <c r="S1237">
        <v>3.6</v>
      </c>
      <c r="T1237" t="b">
        <v>0</v>
      </c>
      <c r="U1237" t="str">
        <f t="shared" si="79"/>
        <v>No Return</v>
      </c>
    </row>
    <row r="1238" spans="1:22" hidden="1" x14ac:dyDescent="0.3">
      <c r="A1238" t="s">
        <v>1291</v>
      </c>
      <c r="B1238" t="s">
        <v>38</v>
      </c>
      <c r="C1238" t="s">
        <v>16</v>
      </c>
      <c r="D1238" t="s">
        <v>17</v>
      </c>
      <c r="E1238" t="str">
        <f t="shared" si="76"/>
        <v>L</v>
      </c>
      <c r="F1238" t="s">
        <v>58</v>
      </c>
      <c r="G1238" t="s">
        <v>66</v>
      </c>
      <c r="H1238" s="8">
        <v>96.76</v>
      </c>
      <c r="I1238" s="3">
        <f t="shared" si="77"/>
        <v>0</v>
      </c>
      <c r="J1238" s="4">
        <v>0</v>
      </c>
      <c r="K1238" s="11">
        <f>Table1[[#This Row],[original_price]]* (Table1[[#This Row],[Markdown percentage updated]])</f>
        <v>0</v>
      </c>
      <c r="L12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38" s="6">
        <v>96.76</v>
      </c>
      <c r="N12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38" s="7">
        <v>45714</v>
      </c>
      <c r="P1238">
        <v>6</v>
      </c>
      <c r="Q1238" s="17" t="str">
        <f>IF(Table1[[#This Row],[stock_quantity]]=0,"NO STOCK",
IF(Table1[[#This Row],[stock_quantity]]&lt;=10,"LOW STOCK",
"IN STOCK"))</f>
        <v>LOW STOCK</v>
      </c>
      <c r="R1238" s="1">
        <f t="shared" si="78"/>
        <v>0</v>
      </c>
      <c r="T1238" t="b">
        <v>0</v>
      </c>
      <c r="U1238" t="str">
        <f t="shared" si="79"/>
        <v>No Return</v>
      </c>
    </row>
    <row r="1239" spans="1:22" hidden="1" x14ac:dyDescent="0.3">
      <c r="A1239" t="s">
        <v>1292</v>
      </c>
      <c r="B1239" t="s">
        <v>21</v>
      </c>
      <c r="C1239" t="s">
        <v>43</v>
      </c>
      <c r="D1239" t="s">
        <v>23</v>
      </c>
      <c r="E1239" t="str">
        <f t="shared" si="76"/>
        <v>M</v>
      </c>
      <c r="F1239" t="s">
        <v>55</v>
      </c>
      <c r="G1239" t="s">
        <v>64</v>
      </c>
      <c r="H1239" s="8">
        <v>114.32</v>
      </c>
      <c r="I1239" s="3">
        <f t="shared" si="77"/>
        <v>0</v>
      </c>
      <c r="J1239" s="4">
        <v>0</v>
      </c>
      <c r="K1239" s="11">
        <f>Table1[[#This Row],[original_price]]* (Table1[[#This Row],[Markdown percentage updated]])</f>
        <v>0</v>
      </c>
      <c r="L12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39" s="6">
        <v>114.32</v>
      </c>
      <c r="N12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39" s="7">
        <v>45875</v>
      </c>
      <c r="P1239">
        <v>27</v>
      </c>
      <c r="Q1239" s="16" t="str">
        <f>IF(Table1[[#This Row],[stock_quantity]]=0,"NO STOCK",
IF(Table1[[#This Row],[stock_quantity]]&lt;=10,"LOW STOCK",
"IN STOCK"))</f>
        <v>IN STOCK</v>
      </c>
      <c r="R1239" s="1">
        <f t="shared" si="78"/>
        <v>5</v>
      </c>
      <c r="S1239">
        <v>5</v>
      </c>
      <c r="T1239" t="b">
        <v>0</v>
      </c>
      <c r="U1239" t="str">
        <f t="shared" si="79"/>
        <v>No Return</v>
      </c>
    </row>
    <row r="1240" spans="1:22" hidden="1" x14ac:dyDescent="0.3">
      <c r="A1240" t="s">
        <v>1293</v>
      </c>
      <c r="B1240" t="s">
        <v>30</v>
      </c>
      <c r="C1240" t="s">
        <v>48</v>
      </c>
      <c r="D1240" t="s">
        <v>17</v>
      </c>
      <c r="E1240" t="str">
        <f t="shared" si="76"/>
        <v>OS</v>
      </c>
      <c r="F1240" t="s">
        <v>39</v>
      </c>
      <c r="G1240" t="s">
        <v>66</v>
      </c>
      <c r="H1240" s="8">
        <v>102.46</v>
      </c>
      <c r="I1240" s="3">
        <f t="shared" si="77"/>
        <v>0</v>
      </c>
      <c r="J1240" s="4">
        <v>0</v>
      </c>
      <c r="K1240" s="11">
        <f>Table1[[#This Row],[original_price]]* (Table1[[#This Row],[Markdown percentage updated]])</f>
        <v>0</v>
      </c>
      <c r="L12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40" s="6">
        <v>102.46</v>
      </c>
      <c r="N12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40" s="7">
        <v>45643</v>
      </c>
      <c r="P1240">
        <v>20</v>
      </c>
      <c r="Q1240" s="16" t="str">
        <f>IF(Table1[[#This Row],[stock_quantity]]=0,"NO STOCK",
IF(Table1[[#This Row],[stock_quantity]]&lt;=10,"LOW STOCK",
"IN STOCK"))</f>
        <v>IN STOCK</v>
      </c>
      <c r="R1240" s="1">
        <f t="shared" si="78"/>
        <v>3.7</v>
      </c>
      <c r="S1240">
        <v>3.7</v>
      </c>
      <c r="T1240" t="b">
        <v>1</v>
      </c>
      <c r="U1240" s="13" t="str">
        <f t="shared" si="79"/>
        <v>Quality Issue</v>
      </c>
      <c r="V1240" t="s">
        <v>83</v>
      </c>
    </row>
    <row r="1241" spans="1:22" hidden="1" x14ac:dyDescent="0.3">
      <c r="A1241" t="s">
        <v>1294</v>
      </c>
      <c r="B1241" t="s">
        <v>38</v>
      </c>
      <c r="C1241" t="s">
        <v>22</v>
      </c>
      <c r="D1241" t="s">
        <v>62</v>
      </c>
      <c r="E1241" t="str">
        <f t="shared" si="76"/>
        <v>S</v>
      </c>
      <c r="F1241" t="s">
        <v>24</v>
      </c>
      <c r="G1241" t="s">
        <v>25</v>
      </c>
      <c r="H1241" s="8">
        <v>95.7</v>
      </c>
      <c r="I1241" s="3">
        <f t="shared" si="77"/>
        <v>0.15</v>
      </c>
      <c r="J1241" s="4">
        <v>15</v>
      </c>
      <c r="K1241" s="11">
        <f>Table1[[#This Row],[original_price]]* (Table1[[#This Row],[Markdown percentage updated]])</f>
        <v>14.355</v>
      </c>
      <c r="L12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41" s="6">
        <v>81.34</v>
      </c>
      <c r="N12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41" s="7">
        <v>45875</v>
      </c>
      <c r="P1241">
        <v>9</v>
      </c>
      <c r="Q1241" s="17" t="str">
        <f>IF(Table1[[#This Row],[stock_quantity]]=0,"NO STOCK",
IF(Table1[[#This Row],[stock_quantity]]&lt;=10,"LOW STOCK",
"IN STOCK"))</f>
        <v>LOW STOCK</v>
      </c>
      <c r="R1241" s="1">
        <f t="shared" si="78"/>
        <v>4.9000000000000004</v>
      </c>
      <c r="S1241">
        <v>4.9000000000000004</v>
      </c>
      <c r="T1241" t="b">
        <v>0</v>
      </c>
      <c r="U1241" t="str">
        <f t="shared" si="79"/>
        <v>No Return</v>
      </c>
    </row>
    <row r="1242" spans="1:22" hidden="1" x14ac:dyDescent="0.3">
      <c r="A1242" t="s">
        <v>1295</v>
      </c>
      <c r="B1242" t="s">
        <v>38</v>
      </c>
      <c r="C1242" t="s">
        <v>48</v>
      </c>
      <c r="D1242" t="s">
        <v>23</v>
      </c>
      <c r="E1242" t="str">
        <f t="shared" si="76"/>
        <v>XL</v>
      </c>
      <c r="F1242" t="s">
        <v>58</v>
      </c>
      <c r="G1242" t="s">
        <v>44</v>
      </c>
      <c r="H1242" s="8">
        <v>55.49</v>
      </c>
      <c r="I1242" s="3">
        <f t="shared" si="77"/>
        <v>0</v>
      </c>
      <c r="J1242" s="4">
        <v>0</v>
      </c>
      <c r="K1242" s="11">
        <f>Table1[[#This Row],[original_price]]* (Table1[[#This Row],[Markdown percentage updated]])</f>
        <v>0</v>
      </c>
      <c r="L12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42" s="6">
        <v>55.49</v>
      </c>
      <c r="N12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42" s="7">
        <v>45875</v>
      </c>
      <c r="P1242">
        <v>25</v>
      </c>
      <c r="Q1242" s="16" t="str">
        <f>IF(Table1[[#This Row],[stock_quantity]]=0,"NO STOCK",
IF(Table1[[#This Row],[stock_quantity]]&lt;=10,"LOW STOCK",
"IN STOCK"))</f>
        <v>IN STOCK</v>
      </c>
      <c r="R1242" s="1">
        <f t="shared" si="78"/>
        <v>4.5999999999999996</v>
      </c>
      <c r="S1242">
        <v>4.5999999999999996</v>
      </c>
      <c r="T1242" t="b">
        <v>0</v>
      </c>
      <c r="U1242" t="str">
        <f t="shared" si="79"/>
        <v>No Return</v>
      </c>
    </row>
    <row r="1243" spans="1:22" hidden="1" x14ac:dyDescent="0.3">
      <c r="A1243" t="s">
        <v>1296</v>
      </c>
      <c r="B1243" t="s">
        <v>27</v>
      </c>
      <c r="C1243" t="s">
        <v>53</v>
      </c>
      <c r="D1243" t="s">
        <v>23</v>
      </c>
      <c r="E1243" t="str">
        <f t="shared" si="76"/>
        <v>OS</v>
      </c>
      <c r="G1243" t="s">
        <v>35</v>
      </c>
      <c r="H1243" s="8">
        <v>30.58</v>
      </c>
      <c r="I1243" s="3">
        <f t="shared" si="77"/>
        <v>9.8000000000000004E-2</v>
      </c>
      <c r="J1243" s="4">
        <v>9.8000000000000007</v>
      </c>
      <c r="K1243" s="11">
        <f>Table1[[#This Row],[original_price]]* (Table1[[#This Row],[Markdown percentage updated]])</f>
        <v>2.9968399999999997</v>
      </c>
      <c r="L12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43" s="6">
        <v>27.58</v>
      </c>
      <c r="N12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243" s="7">
        <v>45875</v>
      </c>
      <c r="P1243">
        <v>34</v>
      </c>
      <c r="Q1243" s="16" t="str">
        <f>IF(Table1[[#This Row],[stock_quantity]]=0,"NO STOCK",
IF(Table1[[#This Row],[stock_quantity]]&lt;=10,"LOW STOCK",
"IN STOCK"))</f>
        <v>IN STOCK</v>
      </c>
      <c r="R1243" s="1">
        <f t="shared" si="78"/>
        <v>3.4</v>
      </c>
      <c r="S1243">
        <v>3.4</v>
      </c>
      <c r="T1243" t="b">
        <v>0</v>
      </c>
      <c r="U1243" t="str">
        <f t="shared" si="79"/>
        <v>No Return</v>
      </c>
    </row>
    <row r="1244" spans="1:22" hidden="1" x14ac:dyDescent="0.3">
      <c r="A1244" t="s">
        <v>1297</v>
      </c>
      <c r="B1244" t="s">
        <v>38</v>
      </c>
      <c r="C1244" t="s">
        <v>43</v>
      </c>
      <c r="D1244" t="s">
        <v>34</v>
      </c>
      <c r="E1244" t="str">
        <f t="shared" si="76"/>
        <v>XXL</v>
      </c>
      <c r="F1244" t="s">
        <v>39</v>
      </c>
      <c r="G1244" t="s">
        <v>19</v>
      </c>
      <c r="H1244" s="8">
        <v>116.58</v>
      </c>
      <c r="I1244" s="3">
        <f t="shared" si="77"/>
        <v>0</v>
      </c>
      <c r="J1244" s="4">
        <v>0</v>
      </c>
      <c r="K1244" s="11">
        <f>Table1[[#This Row],[original_price]]* (Table1[[#This Row],[Markdown percentage updated]])</f>
        <v>0</v>
      </c>
      <c r="L12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44" s="6">
        <v>116.58</v>
      </c>
      <c r="N12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44" s="7">
        <v>45875</v>
      </c>
      <c r="P1244">
        <v>47</v>
      </c>
      <c r="Q1244" s="16" t="str">
        <f>IF(Table1[[#This Row],[stock_quantity]]=0,"NO STOCK",
IF(Table1[[#This Row],[stock_quantity]]&lt;=10,"LOW STOCK",
"IN STOCK"))</f>
        <v>IN STOCK</v>
      </c>
      <c r="R1244" s="1">
        <f t="shared" si="78"/>
        <v>1.2</v>
      </c>
      <c r="S1244">
        <v>1.2</v>
      </c>
      <c r="T1244" t="b">
        <v>0</v>
      </c>
      <c r="U1244" t="str">
        <f t="shared" si="79"/>
        <v>No Return</v>
      </c>
    </row>
    <row r="1245" spans="1:22" x14ac:dyDescent="0.3">
      <c r="A1245" t="s">
        <v>1298</v>
      </c>
      <c r="B1245" t="s">
        <v>42</v>
      </c>
      <c r="C1245" t="s">
        <v>16</v>
      </c>
      <c r="D1245" t="s">
        <v>23</v>
      </c>
      <c r="E1245" t="str">
        <f t="shared" si="76"/>
        <v>XXL</v>
      </c>
      <c r="F1245" t="s">
        <v>18</v>
      </c>
      <c r="G1245" t="s">
        <v>64</v>
      </c>
      <c r="H1245" s="8">
        <v>79.180000000000007</v>
      </c>
      <c r="I1245" s="3">
        <f t="shared" si="77"/>
        <v>0.21100000000000002</v>
      </c>
      <c r="J1245" s="4">
        <v>21.1</v>
      </c>
      <c r="K1245" s="11">
        <f>Table1[[#This Row],[original_price]]* (Table1[[#This Row],[Markdown percentage updated]])</f>
        <v>16.706980000000001</v>
      </c>
      <c r="L12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45" s="6">
        <v>62.47</v>
      </c>
      <c r="N12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45" s="7">
        <v>45875</v>
      </c>
      <c r="P1245">
        <v>36</v>
      </c>
      <c r="Q1245" s="16" t="str">
        <f>IF(Table1[[#This Row],[stock_quantity]]=0,"NO STOCK",
IF(Table1[[#This Row],[stock_quantity]]&lt;=10,"LOW STOCK",
"IN STOCK"))</f>
        <v>IN STOCK</v>
      </c>
      <c r="R1245" s="1">
        <f t="shared" si="78"/>
        <v>1.5</v>
      </c>
      <c r="S1245">
        <v>1.5</v>
      </c>
      <c r="T1245" t="b">
        <v>1</v>
      </c>
      <c r="U1245" s="13" t="str">
        <f t="shared" si="79"/>
        <v>Changed Mind</v>
      </c>
      <c r="V1245" t="s">
        <v>115</v>
      </c>
    </row>
    <row r="1246" spans="1:22" hidden="1" x14ac:dyDescent="0.3">
      <c r="A1246" t="s">
        <v>1299</v>
      </c>
      <c r="B1246" t="s">
        <v>42</v>
      </c>
      <c r="C1246" t="s">
        <v>75</v>
      </c>
      <c r="D1246" t="s">
        <v>62</v>
      </c>
      <c r="E1246" t="str">
        <f t="shared" si="76"/>
        <v>XL</v>
      </c>
      <c r="G1246" t="s">
        <v>64</v>
      </c>
      <c r="H1246" s="8">
        <v>88.71</v>
      </c>
      <c r="I1246" s="3">
        <f t="shared" si="77"/>
        <v>0</v>
      </c>
      <c r="J1246" s="4">
        <v>0</v>
      </c>
      <c r="K1246" s="11">
        <f>Table1[[#This Row],[original_price]]* (Table1[[#This Row],[Markdown percentage updated]])</f>
        <v>0</v>
      </c>
      <c r="L12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46" s="6">
        <v>88.71</v>
      </c>
      <c r="N12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46" s="7">
        <v>45875</v>
      </c>
      <c r="P1246">
        <v>3</v>
      </c>
      <c r="Q1246" s="17" t="str">
        <f>IF(Table1[[#This Row],[stock_quantity]]=0,"NO STOCK",
IF(Table1[[#This Row],[stock_quantity]]&lt;=10,"LOW STOCK",
"IN STOCK"))</f>
        <v>LOW STOCK</v>
      </c>
      <c r="R1246" s="1">
        <f t="shared" si="78"/>
        <v>3.5</v>
      </c>
      <c r="S1246">
        <v>3.5</v>
      </c>
      <c r="T1246" t="b">
        <v>0</v>
      </c>
      <c r="U1246" t="str">
        <f t="shared" si="79"/>
        <v>No Return</v>
      </c>
    </row>
    <row r="1247" spans="1:22" hidden="1" x14ac:dyDescent="0.3">
      <c r="A1247" t="s">
        <v>1300</v>
      </c>
      <c r="B1247" t="s">
        <v>42</v>
      </c>
      <c r="C1247" t="s">
        <v>32</v>
      </c>
      <c r="D1247" t="s">
        <v>17</v>
      </c>
      <c r="E1247" t="str">
        <f t="shared" si="76"/>
        <v>XXL</v>
      </c>
      <c r="F1247" t="s">
        <v>49</v>
      </c>
      <c r="G1247" t="s">
        <v>66</v>
      </c>
      <c r="H1247" s="8">
        <v>150.58000000000001</v>
      </c>
      <c r="I1247" s="3">
        <f t="shared" si="77"/>
        <v>0</v>
      </c>
      <c r="J1247" s="4">
        <v>0</v>
      </c>
      <c r="K1247" s="11">
        <f>Table1[[#This Row],[original_price]]* (Table1[[#This Row],[Markdown percentage updated]])</f>
        <v>0</v>
      </c>
      <c r="L12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47" s="6">
        <v>150.58000000000001</v>
      </c>
      <c r="N12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47" s="7">
        <v>45645</v>
      </c>
      <c r="P1247">
        <v>38</v>
      </c>
      <c r="Q1247" s="16" t="str">
        <f>IF(Table1[[#This Row],[stock_quantity]]=0,"NO STOCK",
IF(Table1[[#This Row],[stock_quantity]]&lt;=10,"LOW STOCK",
"IN STOCK"))</f>
        <v>IN STOCK</v>
      </c>
      <c r="R1247" s="1">
        <f t="shared" si="78"/>
        <v>2.1</v>
      </c>
      <c r="S1247">
        <v>2.1</v>
      </c>
      <c r="T1247" t="b">
        <v>0</v>
      </c>
      <c r="U1247" t="str">
        <f t="shared" si="79"/>
        <v>No Return</v>
      </c>
    </row>
    <row r="1248" spans="1:22" hidden="1" x14ac:dyDescent="0.3">
      <c r="A1248" t="s">
        <v>1301</v>
      </c>
      <c r="B1248" t="s">
        <v>42</v>
      </c>
      <c r="C1248" t="s">
        <v>22</v>
      </c>
      <c r="D1248" t="s">
        <v>62</v>
      </c>
      <c r="E1248" t="str">
        <f t="shared" si="76"/>
        <v>M</v>
      </c>
      <c r="F1248" t="s">
        <v>49</v>
      </c>
      <c r="G1248" t="s">
        <v>35</v>
      </c>
      <c r="H1248" s="8">
        <v>179.9</v>
      </c>
      <c r="I1248" s="3">
        <f t="shared" si="77"/>
        <v>9.3000000000000013E-2</v>
      </c>
      <c r="J1248" s="4">
        <v>9.3000000000000007</v>
      </c>
      <c r="K1248" s="11">
        <f>Table1[[#This Row],[original_price]]* (Table1[[#This Row],[Markdown percentage updated]])</f>
        <v>16.730700000000002</v>
      </c>
      <c r="L12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48" s="6">
        <v>163.16999999999999</v>
      </c>
      <c r="N12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48" s="7">
        <v>45875</v>
      </c>
      <c r="P1248">
        <v>34</v>
      </c>
      <c r="Q1248" s="16" t="str">
        <f>IF(Table1[[#This Row],[stock_quantity]]=0,"NO STOCK",
IF(Table1[[#This Row],[stock_quantity]]&lt;=10,"LOW STOCK",
"IN STOCK"))</f>
        <v>IN STOCK</v>
      </c>
      <c r="R1248" s="1">
        <f t="shared" si="78"/>
        <v>2.1</v>
      </c>
      <c r="S1248">
        <v>2.1</v>
      </c>
      <c r="T1248" t="b">
        <v>0</v>
      </c>
      <c r="U1248" t="str">
        <f t="shared" si="79"/>
        <v>No Return</v>
      </c>
    </row>
    <row r="1249" spans="1:22" hidden="1" x14ac:dyDescent="0.3">
      <c r="A1249" t="s">
        <v>1302</v>
      </c>
      <c r="B1249" t="s">
        <v>15</v>
      </c>
      <c r="C1249" t="s">
        <v>75</v>
      </c>
      <c r="D1249" t="s">
        <v>17</v>
      </c>
      <c r="E1249" t="str">
        <f t="shared" si="76"/>
        <v>M</v>
      </c>
      <c r="F1249" t="s">
        <v>18</v>
      </c>
      <c r="G1249" t="s">
        <v>19</v>
      </c>
      <c r="H1249" s="8">
        <v>135.30000000000001</v>
      </c>
      <c r="I1249" s="3">
        <f t="shared" si="77"/>
        <v>0</v>
      </c>
      <c r="J1249" s="4">
        <v>0</v>
      </c>
      <c r="K1249" s="11">
        <f>Table1[[#This Row],[original_price]]* (Table1[[#This Row],[Markdown percentage updated]])</f>
        <v>0</v>
      </c>
      <c r="L12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49" s="6">
        <v>135.30000000000001</v>
      </c>
      <c r="N12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49" s="7">
        <v>45704</v>
      </c>
      <c r="P1249">
        <v>19</v>
      </c>
      <c r="Q1249" s="16" t="str">
        <f>IF(Table1[[#This Row],[stock_quantity]]=0,"NO STOCK",
IF(Table1[[#This Row],[stock_quantity]]&lt;=10,"LOW STOCK",
"IN STOCK"))</f>
        <v>IN STOCK</v>
      </c>
      <c r="R1249" s="1">
        <f t="shared" si="78"/>
        <v>4.5999999999999996</v>
      </c>
      <c r="S1249">
        <v>4.5999999999999996</v>
      </c>
      <c r="T1249" t="b">
        <v>0</v>
      </c>
      <c r="U1249" t="str">
        <f t="shared" si="79"/>
        <v>No Return</v>
      </c>
    </row>
    <row r="1250" spans="1:22" hidden="1" x14ac:dyDescent="0.3">
      <c r="A1250" t="s">
        <v>1303</v>
      </c>
      <c r="B1250" t="s">
        <v>30</v>
      </c>
      <c r="C1250" t="s">
        <v>22</v>
      </c>
      <c r="D1250" t="s">
        <v>34</v>
      </c>
      <c r="E1250" t="str">
        <f t="shared" si="76"/>
        <v>OS</v>
      </c>
      <c r="F1250" t="s">
        <v>49</v>
      </c>
      <c r="G1250" t="s">
        <v>28</v>
      </c>
      <c r="H1250" s="8">
        <v>146.43</v>
      </c>
      <c r="I1250" s="3">
        <f t="shared" si="77"/>
        <v>0</v>
      </c>
      <c r="J1250" s="4">
        <v>0</v>
      </c>
      <c r="K1250" s="11">
        <f>Table1[[#This Row],[original_price]]* (Table1[[#This Row],[Markdown percentage updated]])</f>
        <v>0</v>
      </c>
      <c r="L12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50" s="6">
        <v>146.43</v>
      </c>
      <c r="N12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50" s="7">
        <v>45875</v>
      </c>
      <c r="P1250">
        <v>7</v>
      </c>
      <c r="Q1250" s="17" t="str">
        <f>IF(Table1[[#This Row],[stock_quantity]]=0,"NO STOCK",
IF(Table1[[#This Row],[stock_quantity]]&lt;=10,"LOW STOCK",
"IN STOCK"))</f>
        <v>LOW STOCK</v>
      </c>
      <c r="R1250" s="1">
        <f t="shared" si="78"/>
        <v>2.5</v>
      </c>
      <c r="S1250">
        <v>2.5</v>
      </c>
      <c r="T1250" t="b">
        <v>0</v>
      </c>
      <c r="U1250" t="str">
        <f t="shared" si="79"/>
        <v>No Return</v>
      </c>
    </row>
    <row r="1251" spans="1:22" hidden="1" x14ac:dyDescent="0.3">
      <c r="A1251" t="s">
        <v>1304</v>
      </c>
      <c r="B1251" t="s">
        <v>15</v>
      </c>
      <c r="C1251" t="s">
        <v>75</v>
      </c>
      <c r="D1251" t="s">
        <v>23</v>
      </c>
      <c r="E1251" t="str">
        <f t="shared" si="76"/>
        <v>XXL</v>
      </c>
      <c r="F1251" t="s">
        <v>58</v>
      </c>
      <c r="G1251" t="s">
        <v>46</v>
      </c>
      <c r="H1251" s="8">
        <v>160.27000000000001</v>
      </c>
      <c r="I1251" s="3">
        <f t="shared" si="77"/>
        <v>0</v>
      </c>
      <c r="J1251" s="4">
        <v>0</v>
      </c>
      <c r="K1251" s="11">
        <f>Table1[[#This Row],[original_price]]* (Table1[[#This Row],[Markdown percentage updated]])</f>
        <v>0</v>
      </c>
      <c r="L12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51" s="6">
        <v>160.27000000000001</v>
      </c>
      <c r="N12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51" s="7">
        <v>45875</v>
      </c>
      <c r="P1251">
        <v>11</v>
      </c>
      <c r="Q1251" s="16" t="str">
        <f>IF(Table1[[#This Row],[stock_quantity]]=0,"NO STOCK",
IF(Table1[[#This Row],[stock_quantity]]&lt;=10,"LOW STOCK",
"IN STOCK"))</f>
        <v>IN STOCK</v>
      </c>
      <c r="R1251" s="1">
        <f t="shared" si="78"/>
        <v>2</v>
      </c>
      <c r="S1251">
        <v>2</v>
      </c>
      <c r="T1251" t="b">
        <v>0</v>
      </c>
      <c r="U1251" t="str">
        <f t="shared" si="79"/>
        <v>No Return</v>
      </c>
    </row>
    <row r="1252" spans="1:22" hidden="1" x14ac:dyDescent="0.3">
      <c r="A1252" t="s">
        <v>1305</v>
      </c>
      <c r="B1252" t="s">
        <v>30</v>
      </c>
      <c r="C1252" t="s">
        <v>43</v>
      </c>
      <c r="D1252" t="s">
        <v>23</v>
      </c>
      <c r="E1252" t="str">
        <f t="shared" si="76"/>
        <v>XXL</v>
      </c>
      <c r="F1252" t="s">
        <v>58</v>
      </c>
      <c r="G1252" t="s">
        <v>40</v>
      </c>
      <c r="H1252" s="8">
        <v>169.87</v>
      </c>
      <c r="I1252" s="3">
        <f t="shared" si="77"/>
        <v>8.8000000000000009E-2</v>
      </c>
      <c r="J1252" s="4">
        <v>8.8000000000000007</v>
      </c>
      <c r="K1252" s="11">
        <f>Table1[[#This Row],[original_price]]* (Table1[[#This Row],[Markdown percentage updated]])</f>
        <v>14.948560000000002</v>
      </c>
      <c r="L12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52" s="6">
        <v>154.91999999999999</v>
      </c>
      <c r="N12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52" s="7">
        <v>45875</v>
      </c>
      <c r="P1252">
        <v>36</v>
      </c>
      <c r="Q1252" s="16" t="str">
        <f>IF(Table1[[#This Row],[stock_quantity]]=0,"NO STOCK",
IF(Table1[[#This Row],[stock_quantity]]&lt;=10,"LOW STOCK",
"IN STOCK"))</f>
        <v>IN STOCK</v>
      </c>
      <c r="R1252" s="1">
        <f t="shared" si="78"/>
        <v>2.1</v>
      </c>
      <c r="S1252">
        <v>2.1</v>
      </c>
      <c r="T1252" t="b">
        <v>0</v>
      </c>
      <c r="U1252" t="str">
        <f t="shared" si="79"/>
        <v>No Return</v>
      </c>
    </row>
    <row r="1253" spans="1:22" hidden="1" x14ac:dyDescent="0.3">
      <c r="A1253" t="s">
        <v>1306</v>
      </c>
      <c r="B1253" t="s">
        <v>30</v>
      </c>
      <c r="C1253" t="s">
        <v>53</v>
      </c>
      <c r="D1253" t="s">
        <v>62</v>
      </c>
      <c r="E1253" t="str">
        <f t="shared" si="76"/>
        <v>XS</v>
      </c>
      <c r="G1253" t="s">
        <v>40</v>
      </c>
      <c r="H1253" s="8">
        <v>137.33000000000001</v>
      </c>
      <c r="I1253" s="3">
        <f t="shared" si="77"/>
        <v>0</v>
      </c>
      <c r="J1253" s="4">
        <v>0</v>
      </c>
      <c r="K1253" s="11">
        <f>Table1[[#This Row],[original_price]]* (Table1[[#This Row],[Markdown percentage updated]])</f>
        <v>0</v>
      </c>
      <c r="L12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53" s="6">
        <v>137.33000000000001</v>
      </c>
      <c r="N12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53" s="7">
        <v>45875</v>
      </c>
      <c r="P1253">
        <v>35</v>
      </c>
      <c r="Q1253" s="16" t="str">
        <f>IF(Table1[[#This Row],[stock_quantity]]=0,"NO STOCK",
IF(Table1[[#This Row],[stock_quantity]]&lt;=10,"LOW STOCK",
"IN STOCK"))</f>
        <v>IN STOCK</v>
      </c>
      <c r="R1253" s="1">
        <f t="shared" si="78"/>
        <v>4.5999999999999996</v>
      </c>
      <c r="S1253">
        <v>4.5999999999999996</v>
      </c>
      <c r="T1253" t="b">
        <v>0</v>
      </c>
      <c r="U1253" t="str">
        <f t="shared" si="79"/>
        <v>No Return</v>
      </c>
    </row>
    <row r="1254" spans="1:22" hidden="1" x14ac:dyDescent="0.3">
      <c r="A1254" t="s">
        <v>1307</v>
      </c>
      <c r="B1254" t="s">
        <v>38</v>
      </c>
      <c r="C1254" t="s">
        <v>75</v>
      </c>
      <c r="D1254" t="s">
        <v>62</v>
      </c>
      <c r="E1254" t="str">
        <f t="shared" si="76"/>
        <v>OS</v>
      </c>
      <c r="F1254" t="s">
        <v>49</v>
      </c>
      <c r="G1254" t="s">
        <v>19</v>
      </c>
      <c r="H1254" s="8">
        <v>38.18</v>
      </c>
      <c r="I1254" s="3">
        <f t="shared" si="77"/>
        <v>0</v>
      </c>
      <c r="J1254" s="4">
        <v>0</v>
      </c>
      <c r="K1254" s="11">
        <f>Table1[[#This Row],[original_price]]* (Table1[[#This Row],[Markdown percentage updated]])</f>
        <v>0</v>
      </c>
      <c r="L12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54" s="6">
        <v>38.18</v>
      </c>
      <c r="N12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54" s="7">
        <v>45875</v>
      </c>
      <c r="P1254">
        <v>38</v>
      </c>
      <c r="Q1254" s="16" t="str">
        <f>IF(Table1[[#This Row],[stock_quantity]]=0,"NO STOCK",
IF(Table1[[#This Row],[stock_quantity]]&lt;=10,"LOW STOCK",
"IN STOCK"))</f>
        <v>IN STOCK</v>
      </c>
      <c r="R1254" s="1">
        <f t="shared" si="78"/>
        <v>0</v>
      </c>
      <c r="T1254" t="b">
        <v>0</v>
      </c>
      <c r="U1254" t="str">
        <f t="shared" si="79"/>
        <v>No Return</v>
      </c>
    </row>
    <row r="1255" spans="1:22" hidden="1" x14ac:dyDescent="0.3">
      <c r="A1255" t="s">
        <v>1308</v>
      </c>
      <c r="B1255" t="s">
        <v>21</v>
      </c>
      <c r="C1255" t="s">
        <v>16</v>
      </c>
      <c r="D1255" t="s">
        <v>62</v>
      </c>
      <c r="E1255" t="str">
        <f t="shared" si="76"/>
        <v>L</v>
      </c>
      <c r="F1255" t="s">
        <v>49</v>
      </c>
      <c r="G1255" t="s">
        <v>44</v>
      </c>
      <c r="H1255" s="8">
        <v>40.619999999999997</v>
      </c>
      <c r="I1255" s="3">
        <f t="shared" si="77"/>
        <v>0.20100000000000001</v>
      </c>
      <c r="J1255" s="4">
        <v>20.100000000000001</v>
      </c>
      <c r="K1255" s="11">
        <f>Table1[[#This Row],[original_price]]* (Table1[[#This Row],[Markdown percentage updated]])</f>
        <v>8.1646199999999993</v>
      </c>
      <c r="L12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55" s="6">
        <v>32.46</v>
      </c>
      <c r="N12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255" s="7">
        <v>45875</v>
      </c>
      <c r="P1255">
        <v>7</v>
      </c>
      <c r="Q1255" s="17" t="str">
        <f>IF(Table1[[#This Row],[stock_quantity]]=0,"NO STOCK",
IF(Table1[[#This Row],[stock_quantity]]&lt;=10,"LOW STOCK",
"IN STOCK"))</f>
        <v>LOW STOCK</v>
      </c>
      <c r="R1255" s="1">
        <f t="shared" si="78"/>
        <v>0</v>
      </c>
      <c r="T1255" t="b">
        <v>0</v>
      </c>
      <c r="U1255" t="str">
        <f t="shared" si="79"/>
        <v>No Return</v>
      </c>
    </row>
    <row r="1256" spans="1:22" hidden="1" x14ac:dyDescent="0.3">
      <c r="A1256" t="s">
        <v>1309</v>
      </c>
      <c r="B1256" t="s">
        <v>38</v>
      </c>
      <c r="C1256" t="s">
        <v>48</v>
      </c>
      <c r="D1256" t="s">
        <v>23</v>
      </c>
      <c r="E1256" t="str">
        <f t="shared" si="76"/>
        <v>S</v>
      </c>
      <c r="F1256" t="s">
        <v>55</v>
      </c>
      <c r="G1256" t="s">
        <v>28</v>
      </c>
      <c r="H1256" s="8">
        <v>56.4</v>
      </c>
      <c r="I1256" s="3">
        <f t="shared" si="77"/>
        <v>0.23300000000000001</v>
      </c>
      <c r="J1256" s="4">
        <v>23.3</v>
      </c>
      <c r="K1256" s="11">
        <f>Table1[[#This Row],[original_price]]* (Table1[[#This Row],[Markdown percentage updated]])</f>
        <v>13.1412</v>
      </c>
      <c r="L12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56" s="6">
        <v>43.26</v>
      </c>
      <c r="N12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56" s="7">
        <v>45875</v>
      </c>
      <c r="P1256">
        <v>35</v>
      </c>
      <c r="Q1256" s="16" t="str">
        <f>IF(Table1[[#This Row],[stock_quantity]]=0,"NO STOCK",
IF(Table1[[#This Row],[stock_quantity]]&lt;=10,"LOW STOCK",
"IN STOCK"))</f>
        <v>IN STOCK</v>
      </c>
      <c r="R1256" s="1">
        <f t="shared" si="78"/>
        <v>0</v>
      </c>
      <c r="T1256" t="b">
        <v>0</v>
      </c>
      <c r="U1256" t="str">
        <f t="shared" si="79"/>
        <v>No Return</v>
      </c>
    </row>
    <row r="1257" spans="1:22" hidden="1" x14ac:dyDescent="0.3">
      <c r="A1257" t="s">
        <v>1310</v>
      </c>
      <c r="B1257" t="s">
        <v>27</v>
      </c>
      <c r="C1257" t="s">
        <v>75</v>
      </c>
      <c r="D1257" t="s">
        <v>62</v>
      </c>
      <c r="E1257" t="str">
        <f t="shared" si="76"/>
        <v>XXL</v>
      </c>
      <c r="G1257" t="s">
        <v>46</v>
      </c>
      <c r="H1257" s="8">
        <v>19.559999999999999</v>
      </c>
      <c r="I1257" s="3">
        <f t="shared" si="77"/>
        <v>0</v>
      </c>
      <c r="J1257" s="4">
        <v>0</v>
      </c>
      <c r="K1257" s="11">
        <f>Table1[[#This Row],[original_price]]* (Table1[[#This Row],[Markdown percentage updated]])</f>
        <v>0</v>
      </c>
      <c r="L12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57" s="6">
        <v>19.559999999999999</v>
      </c>
      <c r="N12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57" s="7">
        <v>45875</v>
      </c>
      <c r="P1257">
        <v>13</v>
      </c>
      <c r="Q1257" s="16" t="str">
        <f>IF(Table1[[#This Row],[stock_quantity]]=0,"NO STOCK",
IF(Table1[[#This Row],[stock_quantity]]&lt;=10,"LOW STOCK",
"IN STOCK"))</f>
        <v>IN STOCK</v>
      </c>
      <c r="R1257" s="1">
        <f t="shared" si="78"/>
        <v>3.1</v>
      </c>
      <c r="S1257">
        <v>3.1</v>
      </c>
      <c r="T1257" t="b">
        <v>0</v>
      </c>
      <c r="U1257" t="str">
        <f t="shared" si="79"/>
        <v>No Return</v>
      </c>
    </row>
    <row r="1258" spans="1:22" hidden="1" x14ac:dyDescent="0.3">
      <c r="A1258" t="s">
        <v>1311</v>
      </c>
      <c r="B1258" t="s">
        <v>30</v>
      </c>
      <c r="C1258" t="s">
        <v>48</v>
      </c>
      <c r="D1258" t="s">
        <v>23</v>
      </c>
      <c r="E1258" t="str">
        <f t="shared" si="76"/>
        <v>XL</v>
      </c>
      <c r="F1258" t="s">
        <v>24</v>
      </c>
      <c r="G1258" t="s">
        <v>35</v>
      </c>
      <c r="H1258" s="8">
        <v>155.66</v>
      </c>
      <c r="I1258" s="3">
        <f t="shared" si="77"/>
        <v>0</v>
      </c>
      <c r="J1258" s="4">
        <v>0</v>
      </c>
      <c r="K1258" s="11">
        <f>Table1[[#This Row],[original_price]]* (Table1[[#This Row],[Markdown percentage updated]])</f>
        <v>0</v>
      </c>
      <c r="L12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58" s="6">
        <v>155.66</v>
      </c>
      <c r="N12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58" s="7">
        <v>45875</v>
      </c>
      <c r="P1258">
        <v>3</v>
      </c>
      <c r="Q1258" s="17" t="str">
        <f>IF(Table1[[#This Row],[stock_quantity]]=0,"NO STOCK",
IF(Table1[[#This Row],[stock_quantity]]&lt;=10,"LOW STOCK",
"IN STOCK"))</f>
        <v>LOW STOCK</v>
      </c>
      <c r="R1258" s="1">
        <f t="shared" si="78"/>
        <v>4</v>
      </c>
      <c r="S1258">
        <v>4</v>
      </c>
      <c r="T1258" t="b">
        <v>0</v>
      </c>
      <c r="U1258" t="str">
        <f t="shared" si="79"/>
        <v>No Return</v>
      </c>
    </row>
    <row r="1259" spans="1:22" hidden="1" x14ac:dyDescent="0.3">
      <c r="A1259" t="s">
        <v>1312</v>
      </c>
      <c r="B1259" t="s">
        <v>21</v>
      </c>
      <c r="C1259" t="s">
        <v>16</v>
      </c>
      <c r="D1259" t="s">
        <v>62</v>
      </c>
      <c r="E1259" t="str">
        <f t="shared" si="76"/>
        <v>OS</v>
      </c>
      <c r="F1259" t="s">
        <v>39</v>
      </c>
      <c r="G1259" t="s">
        <v>66</v>
      </c>
      <c r="H1259" s="8">
        <v>106.2</v>
      </c>
      <c r="I1259" s="3">
        <f t="shared" si="77"/>
        <v>0</v>
      </c>
      <c r="J1259" s="4">
        <v>0</v>
      </c>
      <c r="K1259" s="11">
        <f>Table1[[#This Row],[original_price]]* (Table1[[#This Row],[Markdown percentage updated]])</f>
        <v>0</v>
      </c>
      <c r="L12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59" s="6">
        <v>106.2</v>
      </c>
      <c r="N12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59" s="7">
        <v>45875</v>
      </c>
      <c r="P1259">
        <v>10</v>
      </c>
      <c r="Q1259" s="17" t="str">
        <f>IF(Table1[[#This Row],[stock_quantity]]=0,"NO STOCK",
IF(Table1[[#This Row],[stock_quantity]]&lt;=10,"LOW STOCK",
"IN STOCK"))</f>
        <v>LOW STOCK</v>
      </c>
      <c r="R1259" s="1">
        <f t="shared" si="78"/>
        <v>1.1000000000000001</v>
      </c>
      <c r="S1259">
        <v>1.1000000000000001</v>
      </c>
      <c r="T1259" t="b">
        <v>0</v>
      </c>
      <c r="U1259" t="str">
        <f t="shared" si="79"/>
        <v>No Return</v>
      </c>
    </row>
    <row r="1260" spans="1:22" hidden="1" x14ac:dyDescent="0.3">
      <c r="A1260" t="s">
        <v>1313</v>
      </c>
      <c r="B1260" t="s">
        <v>15</v>
      </c>
      <c r="C1260" t="s">
        <v>53</v>
      </c>
      <c r="D1260" t="s">
        <v>34</v>
      </c>
      <c r="E1260" t="str">
        <f t="shared" si="76"/>
        <v>XS</v>
      </c>
      <c r="F1260" t="s">
        <v>49</v>
      </c>
      <c r="G1260" t="s">
        <v>64</v>
      </c>
      <c r="H1260" s="8">
        <v>158.31</v>
      </c>
      <c r="I1260" s="3">
        <f t="shared" si="77"/>
        <v>0</v>
      </c>
      <c r="J1260" s="4">
        <v>0</v>
      </c>
      <c r="K1260" s="11">
        <f>Table1[[#This Row],[original_price]]* (Table1[[#This Row],[Markdown percentage updated]])</f>
        <v>0</v>
      </c>
      <c r="L12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60" s="6">
        <v>158.31</v>
      </c>
      <c r="N12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60" s="7">
        <v>45875</v>
      </c>
      <c r="P1260">
        <v>7</v>
      </c>
      <c r="Q1260" s="17" t="str">
        <f>IF(Table1[[#This Row],[stock_quantity]]=0,"NO STOCK",
IF(Table1[[#This Row],[stock_quantity]]&lt;=10,"LOW STOCK",
"IN STOCK"))</f>
        <v>LOW STOCK</v>
      </c>
      <c r="R1260" s="1">
        <f t="shared" si="78"/>
        <v>5</v>
      </c>
      <c r="S1260">
        <v>5</v>
      </c>
      <c r="T1260" t="b">
        <v>0</v>
      </c>
      <c r="U1260" t="str">
        <f t="shared" si="79"/>
        <v>No Return</v>
      </c>
    </row>
    <row r="1261" spans="1:22" hidden="1" x14ac:dyDescent="0.3">
      <c r="A1261" t="s">
        <v>1314</v>
      </c>
      <c r="B1261" t="s">
        <v>42</v>
      </c>
      <c r="C1261" t="s">
        <v>43</v>
      </c>
      <c r="D1261" t="s">
        <v>17</v>
      </c>
      <c r="E1261" t="str">
        <f t="shared" si="76"/>
        <v>M</v>
      </c>
      <c r="F1261" t="s">
        <v>18</v>
      </c>
      <c r="G1261" t="s">
        <v>25</v>
      </c>
      <c r="H1261" s="8">
        <v>102.3</v>
      </c>
      <c r="I1261" s="3">
        <f t="shared" si="77"/>
        <v>0.42200000000000004</v>
      </c>
      <c r="J1261" s="4">
        <v>42.2</v>
      </c>
      <c r="K1261" s="11">
        <f>Table1[[#This Row],[original_price]]* (Table1[[#This Row],[Markdown percentage updated]])</f>
        <v>43.1706</v>
      </c>
      <c r="L12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61" s="6">
        <v>59.13</v>
      </c>
      <c r="N12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61" s="7">
        <v>45807</v>
      </c>
      <c r="P1261">
        <v>43</v>
      </c>
      <c r="Q1261" s="16" t="str">
        <f>IF(Table1[[#This Row],[stock_quantity]]=0,"NO STOCK",
IF(Table1[[#This Row],[stock_quantity]]&lt;=10,"LOW STOCK",
"IN STOCK"))</f>
        <v>IN STOCK</v>
      </c>
      <c r="R1261" s="1">
        <f t="shared" si="78"/>
        <v>1.3</v>
      </c>
      <c r="S1261">
        <v>1.3</v>
      </c>
      <c r="T1261" t="b">
        <v>0</v>
      </c>
      <c r="U1261" t="str">
        <f t="shared" si="79"/>
        <v>No Return</v>
      </c>
    </row>
    <row r="1262" spans="1:22" hidden="1" x14ac:dyDescent="0.3">
      <c r="A1262" t="s">
        <v>1315</v>
      </c>
      <c r="B1262" t="s">
        <v>27</v>
      </c>
      <c r="C1262" t="s">
        <v>61</v>
      </c>
      <c r="D1262" t="s">
        <v>34</v>
      </c>
      <c r="E1262" t="str">
        <f t="shared" si="76"/>
        <v>OS</v>
      </c>
      <c r="G1262" t="s">
        <v>64</v>
      </c>
      <c r="H1262" s="8">
        <v>53.46</v>
      </c>
      <c r="I1262" s="3">
        <f t="shared" si="77"/>
        <v>0.57999999999999996</v>
      </c>
      <c r="J1262" s="4">
        <v>58</v>
      </c>
      <c r="K1262" s="11">
        <f>Table1[[#This Row],[original_price]]* (Table1[[#This Row],[Markdown percentage updated]])</f>
        <v>31.006799999999998</v>
      </c>
      <c r="L12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62" s="6">
        <v>22.45</v>
      </c>
      <c r="N12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62" s="7">
        <v>45875</v>
      </c>
      <c r="P1262">
        <v>6</v>
      </c>
      <c r="Q1262" s="17" t="str">
        <f>IF(Table1[[#This Row],[stock_quantity]]=0,"NO STOCK",
IF(Table1[[#This Row],[stock_quantity]]&lt;=10,"LOW STOCK",
"IN STOCK"))</f>
        <v>LOW STOCK</v>
      </c>
      <c r="R1262" s="1">
        <f t="shared" si="78"/>
        <v>4.2</v>
      </c>
      <c r="S1262">
        <v>4.2</v>
      </c>
      <c r="T1262" t="b">
        <v>0</v>
      </c>
      <c r="U1262" t="str">
        <f t="shared" si="79"/>
        <v>No Return</v>
      </c>
    </row>
    <row r="1263" spans="1:22" hidden="1" x14ac:dyDescent="0.3">
      <c r="A1263" t="s">
        <v>1316</v>
      </c>
      <c r="B1263" t="s">
        <v>42</v>
      </c>
      <c r="C1263" t="s">
        <v>22</v>
      </c>
      <c r="D1263" t="s">
        <v>62</v>
      </c>
      <c r="E1263" t="str">
        <f t="shared" si="76"/>
        <v>XXL</v>
      </c>
      <c r="F1263" t="s">
        <v>55</v>
      </c>
      <c r="G1263" t="s">
        <v>44</v>
      </c>
      <c r="H1263" s="8">
        <v>101.78</v>
      </c>
      <c r="I1263" s="3">
        <f t="shared" si="77"/>
        <v>0.22899999999999998</v>
      </c>
      <c r="J1263" s="4">
        <v>22.9</v>
      </c>
      <c r="K1263" s="11">
        <f>Table1[[#This Row],[original_price]]* (Table1[[#This Row],[Markdown percentage updated]])</f>
        <v>23.30762</v>
      </c>
      <c r="L12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63" s="6">
        <v>78.47</v>
      </c>
      <c r="N12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63" s="7">
        <v>45875</v>
      </c>
      <c r="P1263">
        <v>5</v>
      </c>
      <c r="Q1263" s="17" t="str">
        <f>IF(Table1[[#This Row],[stock_quantity]]=0,"NO STOCK",
IF(Table1[[#This Row],[stock_quantity]]&lt;=10,"LOW STOCK",
"IN STOCK"))</f>
        <v>LOW STOCK</v>
      </c>
      <c r="R1263" s="1">
        <f t="shared" si="78"/>
        <v>1.2</v>
      </c>
      <c r="S1263">
        <v>1.2</v>
      </c>
      <c r="T1263" t="b">
        <v>1</v>
      </c>
      <c r="U1263" s="13" t="str">
        <f t="shared" si="79"/>
        <v>Damaged</v>
      </c>
      <c r="V1263" t="s">
        <v>78</v>
      </c>
    </row>
    <row r="1264" spans="1:22" hidden="1" x14ac:dyDescent="0.3">
      <c r="A1264" t="s">
        <v>1317</v>
      </c>
      <c r="B1264" t="s">
        <v>15</v>
      </c>
      <c r="C1264" t="s">
        <v>32</v>
      </c>
      <c r="D1264" t="s">
        <v>62</v>
      </c>
      <c r="E1264" t="str">
        <f t="shared" si="76"/>
        <v>L</v>
      </c>
      <c r="F1264" t="s">
        <v>58</v>
      </c>
      <c r="G1264" t="s">
        <v>40</v>
      </c>
      <c r="H1264" s="8">
        <v>112.28</v>
      </c>
      <c r="I1264" s="3">
        <f t="shared" si="77"/>
        <v>0</v>
      </c>
      <c r="J1264" s="4">
        <v>0</v>
      </c>
      <c r="K1264" s="11">
        <f>Table1[[#This Row],[original_price]]* (Table1[[#This Row],[Markdown percentage updated]])</f>
        <v>0</v>
      </c>
      <c r="L12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64" s="6">
        <v>112.28</v>
      </c>
      <c r="N12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64" s="7">
        <v>45875</v>
      </c>
      <c r="P1264">
        <v>41</v>
      </c>
      <c r="Q1264" s="16" t="str">
        <f>IF(Table1[[#This Row],[stock_quantity]]=0,"NO STOCK",
IF(Table1[[#This Row],[stock_quantity]]&lt;=10,"LOW STOCK",
"IN STOCK"))</f>
        <v>IN STOCK</v>
      </c>
      <c r="R1264" s="1">
        <f t="shared" si="78"/>
        <v>4.0999999999999996</v>
      </c>
      <c r="S1264">
        <v>4.0999999999999996</v>
      </c>
      <c r="T1264" t="b">
        <v>0</v>
      </c>
      <c r="U1264" t="str">
        <f t="shared" si="79"/>
        <v>No Return</v>
      </c>
    </row>
    <row r="1265" spans="1:22" hidden="1" x14ac:dyDescent="0.3">
      <c r="A1265" t="s">
        <v>1318</v>
      </c>
      <c r="B1265" t="s">
        <v>27</v>
      </c>
      <c r="C1265" t="s">
        <v>32</v>
      </c>
      <c r="D1265" t="s">
        <v>23</v>
      </c>
      <c r="E1265" t="str">
        <f t="shared" si="76"/>
        <v>L</v>
      </c>
      <c r="G1265" t="s">
        <v>25</v>
      </c>
      <c r="H1265" s="8">
        <v>47.51</v>
      </c>
      <c r="I1265" s="3">
        <f t="shared" si="77"/>
        <v>0</v>
      </c>
      <c r="J1265" s="4">
        <v>0</v>
      </c>
      <c r="K1265" s="11">
        <f>Table1[[#This Row],[original_price]]* (Table1[[#This Row],[Markdown percentage updated]])</f>
        <v>0</v>
      </c>
      <c r="L12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65" s="6">
        <v>47.51</v>
      </c>
      <c r="N12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65" s="7">
        <v>45875</v>
      </c>
      <c r="P1265">
        <v>39</v>
      </c>
      <c r="Q1265" s="16" t="str">
        <f>IF(Table1[[#This Row],[stock_quantity]]=0,"NO STOCK",
IF(Table1[[#This Row],[stock_quantity]]&lt;=10,"LOW STOCK",
"IN STOCK"))</f>
        <v>IN STOCK</v>
      </c>
      <c r="R1265" s="1">
        <f t="shared" si="78"/>
        <v>4.4000000000000004</v>
      </c>
      <c r="S1265">
        <v>4.4000000000000004</v>
      </c>
      <c r="T1265" t="b">
        <v>0</v>
      </c>
      <c r="U1265" t="str">
        <f t="shared" si="79"/>
        <v>No Return</v>
      </c>
    </row>
    <row r="1266" spans="1:22" hidden="1" x14ac:dyDescent="0.3">
      <c r="A1266" t="s">
        <v>1319</v>
      </c>
      <c r="B1266" t="s">
        <v>21</v>
      </c>
      <c r="C1266" t="s">
        <v>22</v>
      </c>
      <c r="D1266" t="s">
        <v>23</v>
      </c>
      <c r="E1266" t="str">
        <f t="shared" si="76"/>
        <v>L</v>
      </c>
      <c r="F1266" t="s">
        <v>49</v>
      </c>
      <c r="G1266" t="s">
        <v>56</v>
      </c>
      <c r="H1266" s="8">
        <v>80.39</v>
      </c>
      <c r="I1266" s="3">
        <f t="shared" si="77"/>
        <v>0</v>
      </c>
      <c r="J1266" s="4">
        <v>0</v>
      </c>
      <c r="K1266" s="11">
        <f>Table1[[#This Row],[original_price]]* (Table1[[#This Row],[Markdown percentage updated]])</f>
        <v>0</v>
      </c>
      <c r="L12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66" s="6">
        <v>80.39</v>
      </c>
      <c r="N12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66" s="7">
        <v>45875</v>
      </c>
      <c r="P1266">
        <v>24</v>
      </c>
      <c r="Q1266" s="16" t="str">
        <f>IF(Table1[[#This Row],[stock_quantity]]=0,"NO STOCK",
IF(Table1[[#This Row],[stock_quantity]]&lt;=10,"LOW STOCK",
"IN STOCK"))</f>
        <v>IN STOCK</v>
      </c>
      <c r="R1266" s="1">
        <f t="shared" si="78"/>
        <v>0</v>
      </c>
      <c r="T1266" t="b">
        <v>0</v>
      </c>
      <c r="U1266" t="str">
        <f t="shared" si="79"/>
        <v>No Return</v>
      </c>
    </row>
    <row r="1267" spans="1:22" hidden="1" x14ac:dyDescent="0.3">
      <c r="A1267" t="s">
        <v>1320</v>
      </c>
      <c r="B1267" t="s">
        <v>38</v>
      </c>
      <c r="C1267" t="s">
        <v>43</v>
      </c>
      <c r="D1267" t="s">
        <v>23</v>
      </c>
      <c r="E1267" t="str">
        <f t="shared" si="76"/>
        <v>L</v>
      </c>
      <c r="F1267" t="s">
        <v>24</v>
      </c>
      <c r="G1267" t="s">
        <v>19</v>
      </c>
      <c r="H1267" s="8">
        <v>64.75</v>
      </c>
      <c r="I1267" s="3">
        <f t="shared" si="77"/>
        <v>0.26400000000000001</v>
      </c>
      <c r="J1267" s="4">
        <v>26.4</v>
      </c>
      <c r="K1267" s="11">
        <f>Table1[[#This Row],[original_price]]* (Table1[[#This Row],[Markdown percentage updated]])</f>
        <v>17.094000000000001</v>
      </c>
      <c r="L12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67" s="6">
        <v>47.66</v>
      </c>
      <c r="N12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67" s="7">
        <v>45875</v>
      </c>
      <c r="P1267">
        <v>7</v>
      </c>
      <c r="Q1267" s="17" t="str">
        <f>IF(Table1[[#This Row],[stock_quantity]]=0,"NO STOCK",
IF(Table1[[#This Row],[stock_quantity]]&lt;=10,"LOW STOCK",
"IN STOCK"))</f>
        <v>LOW STOCK</v>
      </c>
      <c r="R1267" s="1">
        <f t="shared" si="78"/>
        <v>2.9</v>
      </c>
      <c r="S1267">
        <v>2.9</v>
      </c>
      <c r="T1267" t="b">
        <v>1</v>
      </c>
      <c r="U1267" s="13" t="str">
        <f t="shared" si="79"/>
        <v>Wrong Item</v>
      </c>
      <c r="V1267" t="s">
        <v>125</v>
      </c>
    </row>
    <row r="1268" spans="1:22" hidden="1" x14ac:dyDescent="0.3">
      <c r="A1268" t="s">
        <v>1321</v>
      </c>
      <c r="B1268" t="s">
        <v>15</v>
      </c>
      <c r="C1268" t="s">
        <v>16</v>
      </c>
      <c r="D1268" t="s">
        <v>23</v>
      </c>
      <c r="E1268" t="str">
        <f t="shared" si="76"/>
        <v>S</v>
      </c>
      <c r="F1268" t="s">
        <v>24</v>
      </c>
      <c r="G1268" t="s">
        <v>19</v>
      </c>
      <c r="H1268" s="8">
        <v>129.86000000000001</v>
      </c>
      <c r="I1268" s="3">
        <f t="shared" si="77"/>
        <v>0</v>
      </c>
      <c r="J1268" s="4">
        <v>0</v>
      </c>
      <c r="K1268" s="11">
        <f>Table1[[#This Row],[original_price]]* (Table1[[#This Row],[Markdown percentage updated]])</f>
        <v>0</v>
      </c>
      <c r="L12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68" s="6">
        <v>129.86000000000001</v>
      </c>
      <c r="N12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68" s="7">
        <v>45875</v>
      </c>
      <c r="P1268">
        <v>41</v>
      </c>
      <c r="Q1268" s="16" t="str">
        <f>IF(Table1[[#This Row],[stock_quantity]]=0,"NO STOCK",
IF(Table1[[#This Row],[stock_quantity]]&lt;=10,"LOW STOCK",
"IN STOCK"))</f>
        <v>IN STOCK</v>
      </c>
      <c r="R1268" s="1">
        <f t="shared" si="78"/>
        <v>1.7</v>
      </c>
      <c r="S1268">
        <v>1.7</v>
      </c>
      <c r="T1268" t="b">
        <v>0</v>
      </c>
      <c r="U1268" t="str">
        <f t="shared" si="79"/>
        <v>No Return</v>
      </c>
    </row>
    <row r="1269" spans="1:22" hidden="1" x14ac:dyDescent="0.3">
      <c r="A1269" t="s">
        <v>1322</v>
      </c>
      <c r="B1269" t="s">
        <v>38</v>
      </c>
      <c r="C1269" t="s">
        <v>32</v>
      </c>
      <c r="D1269" t="s">
        <v>17</v>
      </c>
      <c r="E1269" t="str">
        <f t="shared" si="76"/>
        <v>S</v>
      </c>
      <c r="F1269" t="s">
        <v>24</v>
      </c>
      <c r="G1269" t="s">
        <v>46</v>
      </c>
      <c r="H1269" s="8">
        <v>32.74</v>
      </c>
      <c r="I1269" s="3">
        <f t="shared" si="77"/>
        <v>0</v>
      </c>
      <c r="J1269" s="4">
        <v>0</v>
      </c>
      <c r="K1269" s="11">
        <f>Table1[[#This Row],[original_price]]* (Table1[[#This Row],[Markdown percentage updated]])</f>
        <v>0</v>
      </c>
      <c r="L12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69" s="6">
        <v>32.74</v>
      </c>
      <c r="N12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69" s="7">
        <v>45516</v>
      </c>
      <c r="P1269">
        <v>23</v>
      </c>
      <c r="Q1269" s="16" t="str">
        <f>IF(Table1[[#This Row],[stock_quantity]]=0,"NO STOCK",
IF(Table1[[#This Row],[stock_quantity]]&lt;=10,"LOW STOCK",
"IN STOCK"))</f>
        <v>IN STOCK</v>
      </c>
      <c r="R1269" s="1">
        <f t="shared" si="78"/>
        <v>4</v>
      </c>
      <c r="S1269">
        <v>4</v>
      </c>
      <c r="T1269" t="b">
        <v>1</v>
      </c>
      <c r="U1269" s="13" t="str">
        <f t="shared" si="79"/>
        <v>Damaged</v>
      </c>
      <c r="V1269" t="s">
        <v>78</v>
      </c>
    </row>
    <row r="1270" spans="1:22" hidden="1" x14ac:dyDescent="0.3">
      <c r="A1270" t="s">
        <v>1323</v>
      </c>
      <c r="B1270" t="s">
        <v>38</v>
      </c>
      <c r="C1270" t="s">
        <v>22</v>
      </c>
      <c r="D1270" t="s">
        <v>17</v>
      </c>
      <c r="E1270" t="str">
        <f t="shared" si="76"/>
        <v>OS</v>
      </c>
      <c r="F1270" t="s">
        <v>24</v>
      </c>
      <c r="G1270" t="s">
        <v>44</v>
      </c>
      <c r="H1270" s="8">
        <v>79.27</v>
      </c>
      <c r="I1270" s="3">
        <f t="shared" si="77"/>
        <v>0</v>
      </c>
      <c r="J1270" s="4">
        <v>0</v>
      </c>
      <c r="K1270" s="11">
        <f>Table1[[#This Row],[original_price]]* (Table1[[#This Row],[Markdown percentage updated]])</f>
        <v>0</v>
      </c>
      <c r="L12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70" s="6">
        <v>79.27</v>
      </c>
      <c r="N12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70" s="7">
        <v>45788</v>
      </c>
      <c r="P1270">
        <v>13</v>
      </c>
      <c r="Q1270" s="16" t="str">
        <f>IF(Table1[[#This Row],[stock_quantity]]=0,"NO STOCK",
IF(Table1[[#This Row],[stock_quantity]]&lt;=10,"LOW STOCK",
"IN STOCK"))</f>
        <v>IN STOCK</v>
      </c>
      <c r="R1270" s="1">
        <f t="shared" si="78"/>
        <v>3.5</v>
      </c>
      <c r="S1270">
        <v>3.5</v>
      </c>
      <c r="T1270" t="b">
        <v>0</v>
      </c>
      <c r="U1270" t="str">
        <f t="shared" si="79"/>
        <v>No Return</v>
      </c>
    </row>
    <row r="1271" spans="1:22" hidden="1" x14ac:dyDescent="0.3">
      <c r="A1271" t="s">
        <v>1324</v>
      </c>
      <c r="B1271" t="s">
        <v>21</v>
      </c>
      <c r="C1271" t="s">
        <v>75</v>
      </c>
      <c r="D1271" t="s">
        <v>17</v>
      </c>
      <c r="E1271" t="str">
        <f t="shared" si="76"/>
        <v>L</v>
      </c>
      <c r="F1271" t="s">
        <v>39</v>
      </c>
      <c r="G1271" t="s">
        <v>56</v>
      </c>
      <c r="H1271" s="8">
        <v>119.38</v>
      </c>
      <c r="I1271" s="3">
        <f t="shared" si="77"/>
        <v>0</v>
      </c>
      <c r="J1271" s="4">
        <v>0</v>
      </c>
      <c r="K1271" s="11">
        <f>Table1[[#This Row],[original_price]]* (Table1[[#This Row],[Markdown percentage updated]])</f>
        <v>0</v>
      </c>
      <c r="L12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71" s="6">
        <v>119.38</v>
      </c>
      <c r="N12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71" s="7">
        <v>45708</v>
      </c>
      <c r="P1271">
        <v>18</v>
      </c>
      <c r="Q1271" s="16" t="str">
        <f>IF(Table1[[#This Row],[stock_quantity]]=0,"NO STOCK",
IF(Table1[[#This Row],[stock_quantity]]&lt;=10,"LOW STOCK",
"IN STOCK"))</f>
        <v>IN STOCK</v>
      </c>
      <c r="R1271" s="1">
        <f t="shared" si="78"/>
        <v>4.4000000000000004</v>
      </c>
      <c r="S1271">
        <v>4.4000000000000004</v>
      </c>
      <c r="T1271" t="b">
        <v>0</v>
      </c>
      <c r="U1271" t="str">
        <f t="shared" si="79"/>
        <v>No Return</v>
      </c>
    </row>
    <row r="1272" spans="1:22" hidden="1" x14ac:dyDescent="0.3">
      <c r="A1272" t="s">
        <v>1325</v>
      </c>
      <c r="B1272" t="s">
        <v>42</v>
      </c>
      <c r="C1272" t="s">
        <v>48</v>
      </c>
      <c r="D1272" t="s">
        <v>23</v>
      </c>
      <c r="E1272" t="str">
        <f t="shared" si="76"/>
        <v>XS</v>
      </c>
      <c r="F1272" t="s">
        <v>39</v>
      </c>
      <c r="G1272" t="s">
        <v>35</v>
      </c>
      <c r="H1272" s="8">
        <v>66.17</v>
      </c>
      <c r="I1272" s="3">
        <f t="shared" si="77"/>
        <v>0</v>
      </c>
      <c r="J1272" s="4">
        <v>0</v>
      </c>
      <c r="K1272" s="11">
        <f>Table1[[#This Row],[original_price]]* (Table1[[#This Row],[Markdown percentage updated]])</f>
        <v>0</v>
      </c>
      <c r="L12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72" s="6">
        <v>66.17</v>
      </c>
      <c r="N12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72" s="7">
        <v>45875</v>
      </c>
      <c r="P1272">
        <v>1</v>
      </c>
      <c r="Q1272" s="17" t="str">
        <f>IF(Table1[[#This Row],[stock_quantity]]=0,"NO STOCK",
IF(Table1[[#This Row],[stock_quantity]]&lt;=10,"LOW STOCK",
"IN STOCK"))</f>
        <v>LOW STOCK</v>
      </c>
      <c r="R1272" s="1">
        <f t="shared" si="78"/>
        <v>0</v>
      </c>
      <c r="T1272" t="b">
        <v>0</v>
      </c>
      <c r="U1272" t="str">
        <f t="shared" si="79"/>
        <v>No Return</v>
      </c>
    </row>
    <row r="1273" spans="1:22" hidden="1" x14ac:dyDescent="0.3">
      <c r="A1273" t="s">
        <v>1326</v>
      </c>
      <c r="B1273" t="s">
        <v>27</v>
      </c>
      <c r="C1273" t="s">
        <v>48</v>
      </c>
      <c r="D1273" t="s">
        <v>34</v>
      </c>
      <c r="E1273" t="str">
        <f t="shared" si="76"/>
        <v>S</v>
      </c>
      <c r="G1273" t="s">
        <v>66</v>
      </c>
      <c r="H1273" s="8">
        <v>68.3</v>
      </c>
      <c r="I1273" s="3">
        <f t="shared" si="77"/>
        <v>0.08</v>
      </c>
      <c r="J1273" s="4">
        <v>8</v>
      </c>
      <c r="K1273" s="11">
        <f>Table1[[#This Row],[original_price]]* (Table1[[#This Row],[Markdown percentage updated]])</f>
        <v>5.4639999999999995</v>
      </c>
      <c r="L12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73" s="6">
        <v>62.84</v>
      </c>
      <c r="N12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273" s="7">
        <v>45875</v>
      </c>
      <c r="P1273">
        <v>18</v>
      </c>
      <c r="Q1273" s="16" t="str">
        <f>IF(Table1[[#This Row],[stock_quantity]]=0,"NO STOCK",
IF(Table1[[#This Row],[stock_quantity]]&lt;=10,"LOW STOCK",
"IN STOCK"))</f>
        <v>IN STOCK</v>
      </c>
      <c r="R1273" s="1">
        <f t="shared" si="78"/>
        <v>3.1</v>
      </c>
      <c r="S1273">
        <v>3.1</v>
      </c>
      <c r="T1273" t="b">
        <v>0</v>
      </c>
      <c r="U1273" t="str">
        <f t="shared" si="79"/>
        <v>No Return</v>
      </c>
    </row>
    <row r="1274" spans="1:22" hidden="1" x14ac:dyDescent="0.3">
      <c r="A1274" t="s">
        <v>1327</v>
      </c>
      <c r="B1274" t="s">
        <v>15</v>
      </c>
      <c r="C1274" t="s">
        <v>43</v>
      </c>
      <c r="D1274" t="s">
        <v>34</v>
      </c>
      <c r="E1274" t="str">
        <f t="shared" si="76"/>
        <v>XS</v>
      </c>
      <c r="F1274" t="s">
        <v>24</v>
      </c>
      <c r="G1274" t="s">
        <v>66</v>
      </c>
      <c r="H1274" s="8">
        <v>209.66</v>
      </c>
      <c r="I1274" s="3">
        <f t="shared" si="77"/>
        <v>0</v>
      </c>
      <c r="J1274" s="4">
        <v>0</v>
      </c>
      <c r="K1274" s="11">
        <f>Table1[[#This Row],[original_price]]* (Table1[[#This Row],[Markdown percentage updated]])</f>
        <v>0</v>
      </c>
      <c r="L12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74" s="6">
        <v>209.66</v>
      </c>
      <c r="N12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74" s="7">
        <v>45875</v>
      </c>
      <c r="P1274">
        <v>30</v>
      </c>
      <c r="Q1274" s="16" t="str">
        <f>IF(Table1[[#This Row],[stock_quantity]]=0,"NO STOCK",
IF(Table1[[#This Row],[stock_quantity]]&lt;=10,"LOW STOCK",
"IN STOCK"))</f>
        <v>IN STOCK</v>
      </c>
      <c r="R1274" s="1">
        <f t="shared" si="78"/>
        <v>2.1</v>
      </c>
      <c r="S1274">
        <v>2.1</v>
      </c>
      <c r="T1274" t="b">
        <v>0</v>
      </c>
      <c r="U1274" t="str">
        <f t="shared" si="79"/>
        <v>No Return</v>
      </c>
    </row>
    <row r="1275" spans="1:22" hidden="1" x14ac:dyDescent="0.3">
      <c r="A1275" t="s">
        <v>1328</v>
      </c>
      <c r="B1275" t="s">
        <v>30</v>
      </c>
      <c r="C1275" t="s">
        <v>22</v>
      </c>
      <c r="D1275" t="s">
        <v>62</v>
      </c>
      <c r="E1275" t="str">
        <f t="shared" si="76"/>
        <v>XS</v>
      </c>
      <c r="F1275" t="s">
        <v>55</v>
      </c>
      <c r="G1275" t="s">
        <v>44</v>
      </c>
      <c r="H1275" s="8">
        <v>154.82</v>
      </c>
      <c r="I1275" s="3">
        <f t="shared" si="77"/>
        <v>0</v>
      </c>
      <c r="J1275" s="4">
        <v>0</v>
      </c>
      <c r="K1275" s="11">
        <f>Table1[[#This Row],[original_price]]* (Table1[[#This Row],[Markdown percentage updated]])</f>
        <v>0</v>
      </c>
      <c r="L12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75" s="6">
        <v>154.82</v>
      </c>
      <c r="N12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75" s="7">
        <v>45875</v>
      </c>
      <c r="P1275">
        <v>31</v>
      </c>
      <c r="Q1275" s="16" t="str">
        <f>IF(Table1[[#This Row],[stock_quantity]]=0,"NO STOCK",
IF(Table1[[#This Row],[stock_quantity]]&lt;=10,"LOW STOCK",
"IN STOCK"))</f>
        <v>IN STOCK</v>
      </c>
      <c r="R1275" s="1">
        <f t="shared" si="78"/>
        <v>0</v>
      </c>
      <c r="T1275" t="b">
        <v>0</v>
      </c>
      <c r="U1275" t="str">
        <f t="shared" si="79"/>
        <v>No Return</v>
      </c>
    </row>
    <row r="1276" spans="1:22" x14ac:dyDescent="0.3">
      <c r="A1276" t="s">
        <v>1329</v>
      </c>
      <c r="B1276" t="s">
        <v>38</v>
      </c>
      <c r="C1276" t="s">
        <v>48</v>
      </c>
      <c r="D1276" t="s">
        <v>23</v>
      </c>
      <c r="E1276" t="str">
        <f t="shared" si="76"/>
        <v>M</v>
      </c>
      <c r="F1276" t="s">
        <v>39</v>
      </c>
      <c r="G1276" t="s">
        <v>40</v>
      </c>
      <c r="H1276" s="8">
        <v>37.53</v>
      </c>
      <c r="I1276" s="3">
        <f t="shared" si="77"/>
        <v>0</v>
      </c>
      <c r="J1276" s="4">
        <v>0</v>
      </c>
      <c r="K1276" s="11">
        <f>Table1[[#This Row],[original_price]]* (Table1[[#This Row],[Markdown percentage updated]])</f>
        <v>0</v>
      </c>
      <c r="L12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76" s="6">
        <v>37.53</v>
      </c>
      <c r="N12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76" s="7">
        <v>45875</v>
      </c>
      <c r="P1276">
        <v>8</v>
      </c>
      <c r="Q1276" s="17" t="str">
        <f>IF(Table1[[#This Row],[stock_quantity]]=0,"NO STOCK",
IF(Table1[[#This Row],[stock_quantity]]&lt;=10,"LOW STOCK",
"IN STOCK"))</f>
        <v>LOW STOCK</v>
      </c>
      <c r="R1276" s="1">
        <f t="shared" si="78"/>
        <v>3</v>
      </c>
      <c r="S1276">
        <v>3</v>
      </c>
      <c r="T1276" t="b">
        <v>1</v>
      </c>
      <c r="U1276" s="13" t="str">
        <f t="shared" si="79"/>
        <v>Changed Mind</v>
      </c>
      <c r="V1276" t="s">
        <v>115</v>
      </c>
    </row>
    <row r="1277" spans="1:22" hidden="1" x14ac:dyDescent="0.3">
      <c r="A1277" t="s">
        <v>1330</v>
      </c>
      <c r="B1277" t="s">
        <v>30</v>
      </c>
      <c r="C1277" t="s">
        <v>16</v>
      </c>
      <c r="D1277" t="s">
        <v>62</v>
      </c>
      <c r="E1277" t="str">
        <f t="shared" si="76"/>
        <v>XL</v>
      </c>
      <c r="F1277" t="s">
        <v>55</v>
      </c>
      <c r="G1277" t="s">
        <v>28</v>
      </c>
      <c r="H1277" s="8">
        <v>140.28</v>
      </c>
      <c r="I1277" s="3">
        <f t="shared" si="77"/>
        <v>0</v>
      </c>
      <c r="J1277" s="4">
        <v>0</v>
      </c>
      <c r="K1277" s="11">
        <f>Table1[[#This Row],[original_price]]* (Table1[[#This Row],[Markdown percentage updated]])</f>
        <v>0</v>
      </c>
      <c r="L12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77" s="6">
        <v>140.28</v>
      </c>
      <c r="N12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77" s="7">
        <v>45875</v>
      </c>
      <c r="P1277">
        <v>10</v>
      </c>
      <c r="Q1277" s="17" t="str">
        <f>IF(Table1[[#This Row],[stock_quantity]]=0,"NO STOCK",
IF(Table1[[#This Row],[stock_quantity]]&lt;=10,"LOW STOCK",
"IN STOCK"))</f>
        <v>LOW STOCK</v>
      </c>
      <c r="R1277" s="1">
        <f t="shared" si="78"/>
        <v>1.9</v>
      </c>
      <c r="S1277">
        <v>1.9</v>
      </c>
      <c r="T1277" t="b">
        <v>0</v>
      </c>
      <c r="U1277" t="str">
        <f t="shared" si="79"/>
        <v>No Return</v>
      </c>
    </row>
    <row r="1278" spans="1:22" hidden="1" x14ac:dyDescent="0.3">
      <c r="A1278" t="s">
        <v>1331</v>
      </c>
      <c r="B1278" t="s">
        <v>30</v>
      </c>
      <c r="C1278" t="s">
        <v>22</v>
      </c>
      <c r="D1278" t="s">
        <v>62</v>
      </c>
      <c r="E1278" t="str">
        <f t="shared" si="76"/>
        <v>S</v>
      </c>
      <c r="F1278" t="s">
        <v>55</v>
      </c>
      <c r="G1278" t="s">
        <v>35</v>
      </c>
      <c r="H1278" s="8">
        <v>171.07</v>
      </c>
      <c r="I1278" s="3">
        <f t="shared" si="77"/>
        <v>0</v>
      </c>
      <c r="J1278" s="4">
        <v>0</v>
      </c>
      <c r="K1278" s="11">
        <f>Table1[[#This Row],[original_price]]* (Table1[[#This Row],[Markdown percentage updated]])</f>
        <v>0</v>
      </c>
      <c r="L12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78" s="6">
        <v>171.07</v>
      </c>
      <c r="N12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78" s="7">
        <v>45875</v>
      </c>
      <c r="P1278">
        <v>25</v>
      </c>
      <c r="Q1278" s="16" t="str">
        <f>IF(Table1[[#This Row],[stock_quantity]]=0,"NO STOCK",
IF(Table1[[#This Row],[stock_quantity]]&lt;=10,"LOW STOCK",
"IN STOCK"))</f>
        <v>IN STOCK</v>
      </c>
      <c r="R1278" s="1">
        <f t="shared" si="78"/>
        <v>3</v>
      </c>
      <c r="S1278">
        <v>3</v>
      </c>
      <c r="T1278" t="b">
        <v>0</v>
      </c>
      <c r="U1278" t="str">
        <f t="shared" si="79"/>
        <v>No Return</v>
      </c>
    </row>
    <row r="1279" spans="1:22" hidden="1" x14ac:dyDescent="0.3">
      <c r="A1279" t="s">
        <v>1332</v>
      </c>
      <c r="B1279" t="s">
        <v>21</v>
      </c>
      <c r="C1279" t="s">
        <v>16</v>
      </c>
      <c r="D1279" t="s">
        <v>62</v>
      </c>
      <c r="E1279" t="str">
        <f t="shared" si="76"/>
        <v>XS</v>
      </c>
      <c r="F1279" t="s">
        <v>58</v>
      </c>
      <c r="G1279" t="s">
        <v>66</v>
      </c>
      <c r="H1279" s="8">
        <v>77.87</v>
      </c>
      <c r="I1279" s="3">
        <f t="shared" si="77"/>
        <v>0</v>
      </c>
      <c r="J1279" s="4">
        <v>0</v>
      </c>
      <c r="K1279" s="11">
        <f>Table1[[#This Row],[original_price]]* (Table1[[#This Row],[Markdown percentage updated]])</f>
        <v>0</v>
      </c>
      <c r="L12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79" s="6">
        <v>77.87</v>
      </c>
      <c r="N12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79" s="7">
        <v>45875</v>
      </c>
      <c r="P1279">
        <v>4</v>
      </c>
      <c r="Q1279" s="17" t="str">
        <f>IF(Table1[[#This Row],[stock_quantity]]=0,"NO STOCK",
IF(Table1[[#This Row],[stock_quantity]]&lt;=10,"LOW STOCK",
"IN STOCK"))</f>
        <v>LOW STOCK</v>
      </c>
      <c r="R1279" s="1">
        <f t="shared" si="78"/>
        <v>2.7</v>
      </c>
      <c r="S1279">
        <v>2.7</v>
      </c>
      <c r="T1279" t="b">
        <v>0</v>
      </c>
      <c r="U1279" t="str">
        <f t="shared" si="79"/>
        <v>No Return</v>
      </c>
    </row>
    <row r="1280" spans="1:22" hidden="1" x14ac:dyDescent="0.3">
      <c r="A1280" t="s">
        <v>1333</v>
      </c>
      <c r="B1280" t="s">
        <v>21</v>
      </c>
      <c r="C1280" t="s">
        <v>48</v>
      </c>
      <c r="D1280" t="s">
        <v>17</v>
      </c>
      <c r="E1280" t="str">
        <f t="shared" si="76"/>
        <v>XXL</v>
      </c>
      <c r="F1280" t="s">
        <v>18</v>
      </c>
      <c r="G1280" t="s">
        <v>64</v>
      </c>
      <c r="H1280" s="8">
        <v>80.540000000000006</v>
      </c>
      <c r="I1280" s="3">
        <f t="shared" si="77"/>
        <v>0</v>
      </c>
      <c r="J1280" s="4">
        <v>0</v>
      </c>
      <c r="K1280" s="11">
        <f>Table1[[#This Row],[original_price]]* (Table1[[#This Row],[Markdown percentage updated]])</f>
        <v>0</v>
      </c>
      <c r="L12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80" s="6">
        <v>80.540000000000006</v>
      </c>
      <c r="N12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80" s="7">
        <v>45636</v>
      </c>
      <c r="P1280">
        <v>50</v>
      </c>
      <c r="Q1280" s="16" t="str">
        <f>IF(Table1[[#This Row],[stock_quantity]]=0,"NO STOCK",
IF(Table1[[#This Row],[stock_quantity]]&lt;=10,"LOW STOCK",
"IN STOCK"))</f>
        <v>IN STOCK</v>
      </c>
      <c r="R1280" s="1">
        <f t="shared" si="78"/>
        <v>2.1</v>
      </c>
      <c r="S1280">
        <v>2.1</v>
      </c>
      <c r="T1280" t="b">
        <v>0</v>
      </c>
      <c r="U1280" t="str">
        <f t="shared" si="79"/>
        <v>No Return</v>
      </c>
    </row>
    <row r="1281" spans="1:22" hidden="1" x14ac:dyDescent="0.3">
      <c r="A1281" t="s">
        <v>1334</v>
      </c>
      <c r="B1281" t="s">
        <v>38</v>
      </c>
      <c r="C1281" t="s">
        <v>22</v>
      </c>
      <c r="D1281" t="s">
        <v>62</v>
      </c>
      <c r="E1281" t="str">
        <f t="shared" si="76"/>
        <v>XL</v>
      </c>
      <c r="F1281" t="s">
        <v>39</v>
      </c>
      <c r="G1281" t="s">
        <v>35</v>
      </c>
      <c r="H1281" s="8">
        <v>48.68</v>
      </c>
      <c r="I1281" s="3">
        <f t="shared" si="77"/>
        <v>0.41700000000000004</v>
      </c>
      <c r="J1281" s="4">
        <v>41.7</v>
      </c>
      <c r="K1281" s="11">
        <f>Table1[[#This Row],[original_price]]* (Table1[[#This Row],[Markdown percentage updated]])</f>
        <v>20.299560000000003</v>
      </c>
      <c r="L12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81" s="6">
        <v>28.38</v>
      </c>
      <c r="N12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81" s="7">
        <v>45875</v>
      </c>
      <c r="P1281">
        <v>20</v>
      </c>
      <c r="Q1281" s="16" t="str">
        <f>IF(Table1[[#This Row],[stock_quantity]]=0,"NO STOCK",
IF(Table1[[#This Row],[stock_quantity]]&lt;=10,"LOW STOCK",
"IN STOCK"))</f>
        <v>IN STOCK</v>
      </c>
      <c r="R1281" s="1">
        <f t="shared" si="78"/>
        <v>1.3</v>
      </c>
      <c r="S1281">
        <v>1.3</v>
      </c>
      <c r="T1281" t="b">
        <v>1</v>
      </c>
      <c r="U1281" s="13" t="str">
        <f t="shared" si="79"/>
        <v>Damaged</v>
      </c>
      <c r="V1281" t="s">
        <v>78</v>
      </c>
    </row>
    <row r="1282" spans="1:22" x14ac:dyDescent="0.3">
      <c r="A1282" t="s">
        <v>1335</v>
      </c>
      <c r="B1282" t="s">
        <v>30</v>
      </c>
      <c r="C1282" t="s">
        <v>53</v>
      </c>
      <c r="D1282" t="s">
        <v>23</v>
      </c>
      <c r="E1282" t="str">
        <f t="shared" ref="E1282:E1345" si="80">IF(ISBLANK(F1285),"OS",F1285)</f>
        <v>L</v>
      </c>
      <c r="F1282" t="s">
        <v>55</v>
      </c>
      <c r="G1282" t="s">
        <v>66</v>
      </c>
      <c r="H1282" s="8">
        <v>137.83000000000001</v>
      </c>
      <c r="I1282" s="3">
        <f t="shared" ref="I1282:I1345" si="81">J1282/100</f>
        <v>0</v>
      </c>
      <c r="J1282" s="4">
        <v>0</v>
      </c>
      <c r="K1282" s="11">
        <f>Table1[[#This Row],[original_price]]* (Table1[[#This Row],[Markdown percentage updated]])</f>
        <v>0</v>
      </c>
      <c r="L12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82" s="6">
        <v>137.83000000000001</v>
      </c>
      <c r="N12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82" s="7">
        <v>45875</v>
      </c>
      <c r="P1282">
        <v>32</v>
      </c>
      <c r="Q1282" s="16" t="str">
        <f>IF(Table1[[#This Row],[stock_quantity]]=0,"NO STOCK",
IF(Table1[[#This Row],[stock_quantity]]&lt;=10,"LOW STOCK",
"IN STOCK"))</f>
        <v>IN STOCK</v>
      </c>
      <c r="R1282" s="1">
        <f t="shared" si="78"/>
        <v>3.4</v>
      </c>
      <c r="S1282">
        <v>3.4</v>
      </c>
      <c r="T1282" t="b">
        <v>1</v>
      </c>
      <c r="U1282" s="13" t="str">
        <f t="shared" si="79"/>
        <v>Changed Mind</v>
      </c>
      <c r="V1282" t="s">
        <v>115</v>
      </c>
    </row>
    <row r="1283" spans="1:22" hidden="1" x14ac:dyDescent="0.3">
      <c r="A1283" t="s">
        <v>1336</v>
      </c>
      <c r="B1283" t="s">
        <v>38</v>
      </c>
      <c r="C1283" t="s">
        <v>16</v>
      </c>
      <c r="D1283" t="s">
        <v>34</v>
      </c>
      <c r="E1283" t="str">
        <f t="shared" si="80"/>
        <v>XXL</v>
      </c>
      <c r="F1283" t="s">
        <v>49</v>
      </c>
      <c r="G1283" t="s">
        <v>70</v>
      </c>
      <c r="H1283" s="8">
        <v>96.88</v>
      </c>
      <c r="I1283" s="3">
        <f t="shared" si="81"/>
        <v>0.44799999999999995</v>
      </c>
      <c r="J1283" s="4">
        <v>44.8</v>
      </c>
      <c r="K1283" s="11">
        <f>Table1[[#This Row],[original_price]]* (Table1[[#This Row],[Markdown percentage updated]])</f>
        <v>43.402239999999992</v>
      </c>
      <c r="L12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83" s="6">
        <v>53.48</v>
      </c>
      <c r="N12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83" s="7">
        <v>45875</v>
      </c>
      <c r="P1283">
        <v>15</v>
      </c>
      <c r="Q1283" s="16" t="str">
        <f>IF(Table1[[#This Row],[stock_quantity]]=0,"NO STOCK",
IF(Table1[[#This Row],[stock_quantity]]&lt;=10,"LOW STOCK",
"IN STOCK"))</f>
        <v>IN STOCK</v>
      </c>
      <c r="R1283" s="1">
        <f t="shared" ref="R1283:R1346" si="82">IF(ISBLANK(S1283), 0, S1283)</f>
        <v>1.3</v>
      </c>
      <c r="S1283">
        <v>1.3</v>
      </c>
      <c r="T1283" t="b">
        <v>0</v>
      </c>
      <c r="U1283" t="str">
        <f t="shared" ref="U1283:U1346" si="83">IF(V1283="","No Return",V1283)</f>
        <v>No Return</v>
      </c>
    </row>
    <row r="1284" spans="1:22" hidden="1" x14ac:dyDescent="0.3">
      <c r="A1284" t="s">
        <v>1337</v>
      </c>
      <c r="B1284" t="s">
        <v>21</v>
      </c>
      <c r="C1284" t="s">
        <v>48</v>
      </c>
      <c r="D1284" t="s">
        <v>17</v>
      </c>
      <c r="E1284" t="str">
        <f t="shared" si="80"/>
        <v>XS</v>
      </c>
      <c r="F1284" t="s">
        <v>18</v>
      </c>
      <c r="G1284" t="s">
        <v>44</v>
      </c>
      <c r="H1284" s="8">
        <v>46.44</v>
      </c>
      <c r="I1284" s="3">
        <f t="shared" si="81"/>
        <v>0.36799999999999999</v>
      </c>
      <c r="J1284" s="4">
        <v>36.799999999999997</v>
      </c>
      <c r="K1284" s="11">
        <f>Table1[[#This Row],[original_price]]* (Table1[[#This Row],[Markdown percentage updated]])</f>
        <v>17.089919999999999</v>
      </c>
      <c r="L12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84" s="6">
        <v>29.35</v>
      </c>
      <c r="N12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84" s="7">
        <v>45727</v>
      </c>
      <c r="P1284">
        <v>19</v>
      </c>
      <c r="Q1284" s="16" t="str">
        <f>IF(Table1[[#This Row],[stock_quantity]]=0,"NO STOCK",
IF(Table1[[#This Row],[stock_quantity]]&lt;=10,"LOW STOCK",
"IN STOCK"))</f>
        <v>IN STOCK</v>
      </c>
      <c r="R1284" s="1">
        <f t="shared" si="82"/>
        <v>1.9</v>
      </c>
      <c r="S1284">
        <v>1.9</v>
      </c>
      <c r="T1284" t="b">
        <v>0</v>
      </c>
      <c r="U1284" t="str">
        <f t="shared" si="83"/>
        <v>No Return</v>
      </c>
    </row>
    <row r="1285" spans="1:22" hidden="1" x14ac:dyDescent="0.3">
      <c r="A1285" t="s">
        <v>1338</v>
      </c>
      <c r="B1285" t="s">
        <v>38</v>
      </c>
      <c r="C1285" t="s">
        <v>61</v>
      </c>
      <c r="D1285" t="s">
        <v>23</v>
      </c>
      <c r="E1285" t="str">
        <f t="shared" si="80"/>
        <v>OS</v>
      </c>
      <c r="F1285" t="s">
        <v>24</v>
      </c>
      <c r="G1285" t="s">
        <v>70</v>
      </c>
      <c r="H1285" s="8">
        <v>86.4</v>
      </c>
      <c r="I1285" s="3">
        <f t="shared" si="81"/>
        <v>0</v>
      </c>
      <c r="J1285" s="4">
        <v>0</v>
      </c>
      <c r="K1285" s="11">
        <f>Table1[[#This Row],[original_price]]* (Table1[[#This Row],[Markdown percentage updated]])</f>
        <v>0</v>
      </c>
      <c r="L12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85" s="6">
        <v>86.4</v>
      </c>
      <c r="N12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85" s="7">
        <v>45875</v>
      </c>
      <c r="P1285">
        <v>26</v>
      </c>
      <c r="Q1285" s="16" t="str">
        <f>IF(Table1[[#This Row],[stock_quantity]]=0,"NO STOCK",
IF(Table1[[#This Row],[stock_quantity]]&lt;=10,"LOW STOCK",
"IN STOCK"))</f>
        <v>IN STOCK</v>
      </c>
      <c r="R1285" s="1">
        <f t="shared" si="82"/>
        <v>3.7</v>
      </c>
      <c r="S1285">
        <v>3.7</v>
      </c>
      <c r="T1285" t="b">
        <v>0</v>
      </c>
      <c r="U1285" t="str">
        <f t="shared" si="83"/>
        <v>No Return</v>
      </c>
    </row>
    <row r="1286" spans="1:22" hidden="1" x14ac:dyDescent="0.3">
      <c r="A1286" t="s">
        <v>1339</v>
      </c>
      <c r="B1286" t="s">
        <v>38</v>
      </c>
      <c r="C1286" t="s">
        <v>43</v>
      </c>
      <c r="D1286" t="s">
        <v>34</v>
      </c>
      <c r="E1286" t="str">
        <f t="shared" si="80"/>
        <v>OS</v>
      </c>
      <c r="F1286" t="s">
        <v>49</v>
      </c>
      <c r="G1286" t="s">
        <v>46</v>
      </c>
      <c r="H1286" s="8">
        <v>113.83</v>
      </c>
      <c r="I1286" s="3">
        <f t="shared" si="81"/>
        <v>0.51600000000000001</v>
      </c>
      <c r="J1286" s="4">
        <v>51.6</v>
      </c>
      <c r="K1286" s="11">
        <f>Table1[[#This Row],[original_price]]* (Table1[[#This Row],[Markdown percentage updated]])</f>
        <v>58.736280000000001</v>
      </c>
      <c r="L12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86" s="6">
        <v>55.09</v>
      </c>
      <c r="N12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86" s="7">
        <v>45875</v>
      </c>
      <c r="P1286">
        <v>12</v>
      </c>
      <c r="Q1286" s="16" t="str">
        <f>IF(Table1[[#This Row],[stock_quantity]]=0,"NO STOCK",
IF(Table1[[#This Row],[stock_quantity]]&lt;=10,"LOW STOCK",
"IN STOCK"))</f>
        <v>IN STOCK</v>
      </c>
      <c r="R1286" s="1">
        <f t="shared" si="82"/>
        <v>2.9</v>
      </c>
      <c r="S1286">
        <v>2.9</v>
      </c>
      <c r="T1286" t="b">
        <v>0</v>
      </c>
      <c r="U1286" t="str">
        <f t="shared" si="83"/>
        <v>No Return</v>
      </c>
    </row>
    <row r="1287" spans="1:22" hidden="1" x14ac:dyDescent="0.3">
      <c r="A1287" t="s">
        <v>1340</v>
      </c>
      <c r="B1287" t="s">
        <v>38</v>
      </c>
      <c r="C1287" t="s">
        <v>16</v>
      </c>
      <c r="D1287" t="s">
        <v>62</v>
      </c>
      <c r="E1287" t="str">
        <f t="shared" si="80"/>
        <v>OS</v>
      </c>
      <c r="F1287" t="s">
        <v>55</v>
      </c>
      <c r="G1287" t="s">
        <v>66</v>
      </c>
      <c r="H1287" s="8">
        <v>64.680000000000007</v>
      </c>
      <c r="I1287" s="3">
        <f t="shared" si="81"/>
        <v>0.42899999999999999</v>
      </c>
      <c r="J1287" s="4">
        <v>42.9</v>
      </c>
      <c r="K1287" s="11">
        <f>Table1[[#This Row],[original_price]]* (Table1[[#This Row],[Markdown percentage updated]])</f>
        <v>27.747720000000001</v>
      </c>
      <c r="L12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87" s="6">
        <v>36.93</v>
      </c>
      <c r="N12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87" s="7">
        <v>45875</v>
      </c>
      <c r="P1287">
        <v>36</v>
      </c>
      <c r="Q1287" s="16" t="str">
        <f>IF(Table1[[#This Row],[stock_quantity]]=0,"NO STOCK",
IF(Table1[[#This Row],[stock_quantity]]&lt;=10,"LOW STOCK",
"IN STOCK"))</f>
        <v>IN STOCK</v>
      </c>
      <c r="R1287" s="1">
        <f t="shared" si="82"/>
        <v>0</v>
      </c>
      <c r="T1287" t="b">
        <v>0</v>
      </c>
      <c r="U1287" t="str">
        <f t="shared" si="83"/>
        <v>No Return</v>
      </c>
    </row>
    <row r="1288" spans="1:22" hidden="1" x14ac:dyDescent="0.3">
      <c r="A1288" t="s">
        <v>1341</v>
      </c>
      <c r="B1288" t="s">
        <v>30</v>
      </c>
      <c r="C1288" t="s">
        <v>75</v>
      </c>
      <c r="D1288" t="s">
        <v>34</v>
      </c>
      <c r="E1288" t="str">
        <f t="shared" si="80"/>
        <v>XS</v>
      </c>
      <c r="G1288" t="s">
        <v>56</v>
      </c>
      <c r="H1288" s="8">
        <v>123.23</v>
      </c>
      <c r="I1288" s="3">
        <f t="shared" si="81"/>
        <v>0</v>
      </c>
      <c r="J1288" s="4">
        <v>0</v>
      </c>
      <c r="K1288" s="11">
        <f>Table1[[#This Row],[original_price]]* (Table1[[#This Row],[Markdown percentage updated]])</f>
        <v>0</v>
      </c>
      <c r="L12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88" s="6">
        <v>123.23</v>
      </c>
      <c r="N12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88" s="7">
        <v>45875</v>
      </c>
      <c r="P1288">
        <v>40</v>
      </c>
      <c r="Q1288" s="16" t="str">
        <f>IF(Table1[[#This Row],[stock_quantity]]=0,"NO STOCK",
IF(Table1[[#This Row],[stock_quantity]]&lt;=10,"LOW STOCK",
"IN STOCK"))</f>
        <v>IN STOCK</v>
      </c>
      <c r="R1288" s="1">
        <f t="shared" si="82"/>
        <v>4.3</v>
      </c>
      <c r="S1288">
        <v>4.3</v>
      </c>
      <c r="T1288" t="b">
        <v>0</v>
      </c>
      <c r="U1288" t="str">
        <f t="shared" si="83"/>
        <v>No Return</v>
      </c>
    </row>
    <row r="1289" spans="1:22" hidden="1" x14ac:dyDescent="0.3">
      <c r="A1289" t="s">
        <v>1342</v>
      </c>
      <c r="B1289" t="s">
        <v>27</v>
      </c>
      <c r="C1289" t="s">
        <v>53</v>
      </c>
      <c r="D1289" t="s">
        <v>23</v>
      </c>
      <c r="E1289" t="str">
        <f t="shared" si="80"/>
        <v>XS</v>
      </c>
      <c r="G1289" t="s">
        <v>19</v>
      </c>
      <c r="H1289" s="8">
        <v>69.69</v>
      </c>
      <c r="I1289" s="3">
        <f t="shared" si="81"/>
        <v>0</v>
      </c>
      <c r="J1289" s="4">
        <v>0</v>
      </c>
      <c r="K1289" s="11">
        <f>Table1[[#This Row],[original_price]]* (Table1[[#This Row],[Markdown percentage updated]])</f>
        <v>0</v>
      </c>
      <c r="L12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89" s="6">
        <v>69.69</v>
      </c>
      <c r="N12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89" s="7">
        <v>45875</v>
      </c>
      <c r="P1289">
        <v>35</v>
      </c>
      <c r="Q1289" s="16" t="str">
        <f>IF(Table1[[#This Row],[stock_quantity]]=0,"NO STOCK",
IF(Table1[[#This Row],[stock_quantity]]&lt;=10,"LOW STOCK",
"IN STOCK"))</f>
        <v>IN STOCK</v>
      </c>
      <c r="R1289" s="1">
        <f t="shared" si="82"/>
        <v>3</v>
      </c>
      <c r="S1289">
        <v>3</v>
      </c>
      <c r="T1289" t="b">
        <v>0</v>
      </c>
      <c r="U1289" t="str">
        <f t="shared" si="83"/>
        <v>No Return</v>
      </c>
    </row>
    <row r="1290" spans="1:22" hidden="1" x14ac:dyDescent="0.3">
      <c r="A1290" t="s">
        <v>1343</v>
      </c>
      <c r="B1290" t="s">
        <v>27</v>
      </c>
      <c r="C1290" t="s">
        <v>32</v>
      </c>
      <c r="D1290" t="s">
        <v>23</v>
      </c>
      <c r="E1290" t="str">
        <f t="shared" si="80"/>
        <v>L</v>
      </c>
      <c r="G1290" t="s">
        <v>46</v>
      </c>
      <c r="H1290" s="8">
        <v>46.15</v>
      </c>
      <c r="I1290" s="3">
        <f t="shared" si="81"/>
        <v>0.24399999999999999</v>
      </c>
      <c r="J1290" s="4">
        <v>24.4</v>
      </c>
      <c r="K1290" s="11">
        <f>Table1[[#This Row],[original_price]]* (Table1[[#This Row],[Markdown percentage updated]])</f>
        <v>11.2606</v>
      </c>
      <c r="L12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90" s="6">
        <v>34.89</v>
      </c>
      <c r="N12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90" s="7">
        <v>45875</v>
      </c>
      <c r="P1290">
        <v>31</v>
      </c>
      <c r="Q1290" s="16" t="str">
        <f>IF(Table1[[#This Row],[stock_quantity]]=0,"NO STOCK",
IF(Table1[[#This Row],[stock_quantity]]&lt;=10,"LOW STOCK",
"IN STOCK"))</f>
        <v>IN STOCK</v>
      </c>
      <c r="R1290" s="1">
        <f t="shared" si="82"/>
        <v>4.4000000000000004</v>
      </c>
      <c r="S1290">
        <v>4.4000000000000004</v>
      </c>
      <c r="T1290" t="b">
        <v>1</v>
      </c>
      <c r="U1290" s="13" t="str">
        <f t="shared" si="83"/>
        <v>Size Issue</v>
      </c>
      <c r="V1290" t="s">
        <v>73</v>
      </c>
    </row>
    <row r="1291" spans="1:22" hidden="1" x14ac:dyDescent="0.3">
      <c r="A1291" t="s">
        <v>1344</v>
      </c>
      <c r="B1291" t="s">
        <v>15</v>
      </c>
      <c r="C1291" t="s">
        <v>48</v>
      </c>
      <c r="D1291" t="s">
        <v>62</v>
      </c>
      <c r="E1291" t="str">
        <f t="shared" si="80"/>
        <v>L</v>
      </c>
      <c r="F1291" t="s">
        <v>55</v>
      </c>
      <c r="G1291" t="s">
        <v>64</v>
      </c>
      <c r="H1291" s="8">
        <v>229.8</v>
      </c>
      <c r="I1291" s="3">
        <f t="shared" si="81"/>
        <v>0</v>
      </c>
      <c r="J1291" s="4">
        <v>0</v>
      </c>
      <c r="K1291" s="11">
        <f>Table1[[#This Row],[original_price]]* (Table1[[#This Row],[Markdown percentage updated]])</f>
        <v>0</v>
      </c>
      <c r="L12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91" s="6">
        <v>229.8</v>
      </c>
      <c r="N12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91" s="7">
        <v>45875</v>
      </c>
      <c r="P1291">
        <v>46</v>
      </c>
      <c r="Q1291" s="16" t="str">
        <f>IF(Table1[[#This Row],[stock_quantity]]=0,"NO STOCK",
IF(Table1[[#This Row],[stock_quantity]]&lt;=10,"LOW STOCK",
"IN STOCK"))</f>
        <v>IN STOCK</v>
      </c>
      <c r="R1291" s="1">
        <f t="shared" si="82"/>
        <v>3.6</v>
      </c>
      <c r="S1291">
        <v>3.6</v>
      </c>
      <c r="T1291" t="b">
        <v>0</v>
      </c>
      <c r="U1291" t="str">
        <f t="shared" si="83"/>
        <v>No Return</v>
      </c>
    </row>
    <row r="1292" spans="1:22" hidden="1" x14ac:dyDescent="0.3">
      <c r="A1292" t="s">
        <v>1345</v>
      </c>
      <c r="B1292" t="s">
        <v>15</v>
      </c>
      <c r="C1292" t="s">
        <v>22</v>
      </c>
      <c r="D1292" t="s">
        <v>34</v>
      </c>
      <c r="E1292" t="str">
        <f t="shared" si="80"/>
        <v>OS</v>
      </c>
      <c r="F1292" t="s">
        <v>55</v>
      </c>
      <c r="G1292" t="s">
        <v>66</v>
      </c>
      <c r="H1292" s="8">
        <v>179.44</v>
      </c>
      <c r="I1292" s="3">
        <f t="shared" si="81"/>
        <v>0.19600000000000001</v>
      </c>
      <c r="J1292" s="4">
        <v>19.600000000000001</v>
      </c>
      <c r="K1292" s="11">
        <f>Table1[[#This Row],[original_price]]* (Table1[[#This Row],[Markdown percentage updated]])</f>
        <v>35.17024</v>
      </c>
      <c r="L12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92" s="6">
        <v>144.27000000000001</v>
      </c>
      <c r="N12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92" s="7">
        <v>45875</v>
      </c>
      <c r="P1292">
        <v>42</v>
      </c>
      <c r="Q1292" s="16" t="str">
        <f>IF(Table1[[#This Row],[stock_quantity]]=0,"NO STOCK",
IF(Table1[[#This Row],[stock_quantity]]&lt;=10,"LOW STOCK",
"IN STOCK"))</f>
        <v>IN STOCK</v>
      </c>
      <c r="R1292" s="1">
        <f t="shared" si="82"/>
        <v>3</v>
      </c>
      <c r="S1292">
        <v>3</v>
      </c>
      <c r="T1292" t="b">
        <v>0</v>
      </c>
      <c r="U1292" t="str">
        <f t="shared" si="83"/>
        <v>No Return</v>
      </c>
    </row>
    <row r="1293" spans="1:22" x14ac:dyDescent="0.3">
      <c r="A1293" t="s">
        <v>1346</v>
      </c>
      <c r="B1293" t="s">
        <v>30</v>
      </c>
      <c r="C1293" t="s">
        <v>32</v>
      </c>
      <c r="D1293" t="s">
        <v>34</v>
      </c>
      <c r="E1293" t="str">
        <f t="shared" si="80"/>
        <v>XXL</v>
      </c>
      <c r="F1293" t="s">
        <v>24</v>
      </c>
      <c r="G1293" t="s">
        <v>46</v>
      </c>
      <c r="H1293" s="8">
        <v>80.959999999999994</v>
      </c>
      <c r="I1293" s="3">
        <f t="shared" si="81"/>
        <v>0.56299999999999994</v>
      </c>
      <c r="J1293" s="4">
        <v>56.3</v>
      </c>
      <c r="K1293" s="11">
        <f>Table1[[#This Row],[original_price]]* (Table1[[#This Row],[Markdown percentage updated]])</f>
        <v>45.580479999999994</v>
      </c>
      <c r="L12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293" s="6">
        <v>35.380000000000003</v>
      </c>
      <c r="N12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93" s="7">
        <v>45875</v>
      </c>
      <c r="P1293">
        <v>41</v>
      </c>
      <c r="Q1293" s="16" t="str">
        <f>IF(Table1[[#This Row],[stock_quantity]]=0,"NO STOCK",
IF(Table1[[#This Row],[stock_quantity]]&lt;=10,"LOW STOCK",
"IN STOCK"))</f>
        <v>IN STOCK</v>
      </c>
      <c r="R1293" s="1">
        <f t="shared" si="82"/>
        <v>2.2000000000000002</v>
      </c>
      <c r="S1293">
        <v>2.2000000000000002</v>
      </c>
      <c r="T1293" t="b">
        <v>1</v>
      </c>
      <c r="U1293" s="13" t="str">
        <f t="shared" si="83"/>
        <v>Changed Mind</v>
      </c>
      <c r="V1293" t="s">
        <v>115</v>
      </c>
    </row>
    <row r="1294" spans="1:22" hidden="1" x14ac:dyDescent="0.3">
      <c r="A1294" t="s">
        <v>1347</v>
      </c>
      <c r="B1294" t="s">
        <v>38</v>
      </c>
      <c r="C1294" t="s">
        <v>22</v>
      </c>
      <c r="D1294" t="s">
        <v>34</v>
      </c>
      <c r="E1294" t="str">
        <f t="shared" si="80"/>
        <v>S</v>
      </c>
      <c r="F1294" t="s">
        <v>24</v>
      </c>
      <c r="G1294" t="s">
        <v>46</v>
      </c>
      <c r="H1294" s="8">
        <v>62.3</v>
      </c>
      <c r="I1294" s="3">
        <f t="shared" si="81"/>
        <v>0.192</v>
      </c>
      <c r="J1294" s="4">
        <v>19.2</v>
      </c>
      <c r="K1294" s="11">
        <f>Table1[[#This Row],[original_price]]* (Table1[[#This Row],[Markdown percentage updated]])</f>
        <v>11.961599999999999</v>
      </c>
      <c r="L12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94" s="6">
        <v>50.34</v>
      </c>
      <c r="N12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94" s="7">
        <v>45875</v>
      </c>
      <c r="P1294">
        <v>9</v>
      </c>
      <c r="Q1294" s="17" t="str">
        <f>IF(Table1[[#This Row],[stock_quantity]]=0,"NO STOCK",
IF(Table1[[#This Row],[stock_quantity]]&lt;=10,"LOW STOCK",
"IN STOCK"))</f>
        <v>LOW STOCK</v>
      </c>
      <c r="R1294" s="1">
        <f t="shared" si="82"/>
        <v>2.5</v>
      </c>
      <c r="S1294">
        <v>2.5</v>
      </c>
      <c r="T1294" t="b">
        <v>0</v>
      </c>
      <c r="U1294" t="str">
        <f t="shared" si="83"/>
        <v>No Return</v>
      </c>
    </row>
    <row r="1295" spans="1:22" hidden="1" x14ac:dyDescent="0.3">
      <c r="A1295" t="s">
        <v>1348</v>
      </c>
      <c r="B1295" t="s">
        <v>27</v>
      </c>
      <c r="C1295" t="s">
        <v>22</v>
      </c>
      <c r="D1295" t="s">
        <v>34</v>
      </c>
      <c r="E1295" t="str">
        <f t="shared" si="80"/>
        <v>XS</v>
      </c>
      <c r="G1295" t="s">
        <v>56</v>
      </c>
      <c r="H1295" s="8">
        <v>58.83</v>
      </c>
      <c r="I1295" s="3">
        <f t="shared" si="81"/>
        <v>0.125</v>
      </c>
      <c r="J1295" s="4">
        <v>12.5</v>
      </c>
      <c r="K1295" s="11">
        <f>Table1[[#This Row],[original_price]]* (Table1[[#This Row],[Markdown percentage updated]])</f>
        <v>7.3537499999999998</v>
      </c>
      <c r="L12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95" s="6">
        <v>51.48</v>
      </c>
      <c r="N12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295" s="7">
        <v>45875</v>
      </c>
      <c r="P1295">
        <v>3</v>
      </c>
      <c r="Q1295" s="17" t="str">
        <f>IF(Table1[[#This Row],[stock_quantity]]=0,"NO STOCK",
IF(Table1[[#This Row],[stock_quantity]]&lt;=10,"LOW STOCK",
"IN STOCK"))</f>
        <v>LOW STOCK</v>
      </c>
      <c r="R1295" s="1">
        <f t="shared" si="82"/>
        <v>1.5</v>
      </c>
      <c r="S1295">
        <v>1.5</v>
      </c>
      <c r="T1295" t="b">
        <v>0</v>
      </c>
      <c r="U1295" t="str">
        <f t="shared" si="83"/>
        <v>No Return</v>
      </c>
    </row>
    <row r="1296" spans="1:22" hidden="1" x14ac:dyDescent="0.3">
      <c r="A1296" t="s">
        <v>1349</v>
      </c>
      <c r="B1296" t="s">
        <v>21</v>
      </c>
      <c r="C1296" t="s">
        <v>48</v>
      </c>
      <c r="D1296" t="s">
        <v>62</v>
      </c>
      <c r="E1296" t="str">
        <f t="shared" si="80"/>
        <v>XL</v>
      </c>
      <c r="F1296" t="s">
        <v>49</v>
      </c>
      <c r="G1296" t="s">
        <v>64</v>
      </c>
      <c r="H1296" s="8">
        <v>119.04</v>
      </c>
      <c r="I1296" s="3">
        <f t="shared" si="81"/>
        <v>1.7000000000000001E-2</v>
      </c>
      <c r="J1296" s="4">
        <v>1.7</v>
      </c>
      <c r="K1296" s="11">
        <f>Table1[[#This Row],[original_price]]* (Table1[[#This Row],[Markdown percentage updated]])</f>
        <v>2.0236800000000001</v>
      </c>
      <c r="L12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296" s="6">
        <v>117.02</v>
      </c>
      <c r="N12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296" s="7">
        <v>45875</v>
      </c>
      <c r="P1296">
        <v>34</v>
      </c>
      <c r="Q1296" s="16" t="str">
        <f>IF(Table1[[#This Row],[stock_quantity]]=0,"NO STOCK",
IF(Table1[[#This Row],[stock_quantity]]&lt;=10,"LOW STOCK",
"IN STOCK"))</f>
        <v>IN STOCK</v>
      </c>
      <c r="R1296" s="1">
        <f t="shared" si="82"/>
        <v>4.0999999999999996</v>
      </c>
      <c r="S1296">
        <v>4.0999999999999996</v>
      </c>
      <c r="T1296" t="b">
        <v>0</v>
      </c>
      <c r="U1296" t="str">
        <f t="shared" si="83"/>
        <v>No Return</v>
      </c>
    </row>
    <row r="1297" spans="1:22" hidden="1" x14ac:dyDescent="0.3">
      <c r="A1297" t="s">
        <v>1350</v>
      </c>
      <c r="B1297" t="s">
        <v>15</v>
      </c>
      <c r="C1297" t="s">
        <v>16</v>
      </c>
      <c r="D1297" t="s">
        <v>62</v>
      </c>
      <c r="E1297" t="str">
        <f t="shared" si="80"/>
        <v>OS</v>
      </c>
      <c r="F1297" t="s">
        <v>39</v>
      </c>
      <c r="G1297" t="s">
        <v>64</v>
      </c>
      <c r="H1297" s="8">
        <v>80.540000000000006</v>
      </c>
      <c r="I1297" s="3">
        <f t="shared" si="81"/>
        <v>0</v>
      </c>
      <c r="J1297" s="4">
        <v>0</v>
      </c>
      <c r="K1297" s="11">
        <f>Table1[[#This Row],[original_price]]* (Table1[[#This Row],[Markdown percentage updated]])</f>
        <v>0</v>
      </c>
      <c r="L12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297" s="6">
        <v>80.540000000000006</v>
      </c>
      <c r="N12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297" s="7">
        <v>45875</v>
      </c>
      <c r="P1297">
        <v>3</v>
      </c>
      <c r="Q1297" s="17" t="str">
        <f>IF(Table1[[#This Row],[stock_quantity]]=0,"NO STOCK",
IF(Table1[[#This Row],[stock_quantity]]&lt;=10,"LOW STOCK",
"IN STOCK"))</f>
        <v>LOW STOCK</v>
      </c>
      <c r="R1297" s="1">
        <f t="shared" si="82"/>
        <v>1.8</v>
      </c>
      <c r="S1297">
        <v>1.8</v>
      </c>
      <c r="T1297" t="b">
        <v>1</v>
      </c>
      <c r="U1297" s="13" t="str">
        <f t="shared" si="83"/>
        <v>Size Issue</v>
      </c>
      <c r="V1297" t="s">
        <v>73</v>
      </c>
    </row>
    <row r="1298" spans="1:22" hidden="1" x14ac:dyDescent="0.3">
      <c r="A1298" t="s">
        <v>1351</v>
      </c>
      <c r="B1298" t="s">
        <v>38</v>
      </c>
      <c r="C1298" t="s">
        <v>32</v>
      </c>
      <c r="D1298" t="s">
        <v>23</v>
      </c>
      <c r="E1298" t="str">
        <f t="shared" si="80"/>
        <v>OS</v>
      </c>
      <c r="F1298" t="s">
        <v>55</v>
      </c>
      <c r="G1298" t="s">
        <v>28</v>
      </c>
      <c r="H1298" s="8">
        <v>47.32</v>
      </c>
      <c r="I1298" s="3">
        <f t="shared" si="81"/>
        <v>0.25700000000000001</v>
      </c>
      <c r="J1298" s="4">
        <v>25.7</v>
      </c>
      <c r="K1298" s="11">
        <f>Table1[[#This Row],[original_price]]* (Table1[[#This Row],[Markdown percentage updated]])</f>
        <v>12.161240000000001</v>
      </c>
      <c r="L12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98" s="6">
        <v>35.159999999999997</v>
      </c>
      <c r="N12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298" s="7">
        <v>45875</v>
      </c>
      <c r="P1298">
        <v>2</v>
      </c>
      <c r="Q1298" s="17" t="str">
        <f>IF(Table1[[#This Row],[stock_quantity]]=0,"NO STOCK",
IF(Table1[[#This Row],[stock_quantity]]&lt;=10,"LOW STOCK",
"IN STOCK"))</f>
        <v>LOW STOCK</v>
      </c>
      <c r="R1298" s="1">
        <f t="shared" si="82"/>
        <v>3.2</v>
      </c>
      <c r="S1298">
        <v>3.2</v>
      </c>
      <c r="T1298" t="b">
        <v>0</v>
      </c>
      <c r="U1298" t="str">
        <f t="shared" si="83"/>
        <v>No Return</v>
      </c>
    </row>
    <row r="1299" spans="1:22" hidden="1" x14ac:dyDescent="0.3">
      <c r="A1299" t="s">
        <v>1352</v>
      </c>
      <c r="B1299" t="s">
        <v>30</v>
      </c>
      <c r="C1299" t="s">
        <v>61</v>
      </c>
      <c r="D1299" t="s">
        <v>23</v>
      </c>
      <c r="E1299" t="str">
        <f t="shared" si="80"/>
        <v>OS</v>
      </c>
      <c r="F1299" t="s">
        <v>18</v>
      </c>
      <c r="G1299" t="s">
        <v>25</v>
      </c>
      <c r="H1299" s="8">
        <v>104.57</v>
      </c>
      <c r="I1299" s="3">
        <f t="shared" si="81"/>
        <v>0.27399999999999997</v>
      </c>
      <c r="J1299" s="4">
        <v>27.4</v>
      </c>
      <c r="K1299" s="11">
        <f>Table1[[#This Row],[original_price]]* (Table1[[#This Row],[Markdown percentage updated]])</f>
        <v>28.652179999999994</v>
      </c>
      <c r="L12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299" s="6">
        <v>75.92</v>
      </c>
      <c r="N12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299" s="7">
        <v>45875</v>
      </c>
      <c r="P1299">
        <v>7</v>
      </c>
      <c r="Q1299" s="17" t="str">
        <f>IF(Table1[[#This Row],[stock_quantity]]=0,"NO STOCK",
IF(Table1[[#This Row],[stock_quantity]]&lt;=10,"LOW STOCK",
"IN STOCK"))</f>
        <v>LOW STOCK</v>
      </c>
      <c r="R1299" s="1">
        <f t="shared" si="82"/>
        <v>1</v>
      </c>
      <c r="S1299">
        <v>1</v>
      </c>
      <c r="T1299" t="b">
        <v>1</v>
      </c>
      <c r="U1299" s="13" t="str">
        <f t="shared" si="83"/>
        <v>Quality Issue</v>
      </c>
      <c r="V1299" t="s">
        <v>83</v>
      </c>
    </row>
    <row r="1300" spans="1:22" hidden="1" x14ac:dyDescent="0.3">
      <c r="A1300" t="s">
        <v>1353</v>
      </c>
      <c r="B1300" t="s">
        <v>27</v>
      </c>
      <c r="C1300" t="s">
        <v>16</v>
      </c>
      <c r="D1300" t="s">
        <v>23</v>
      </c>
      <c r="E1300" t="str">
        <f t="shared" si="80"/>
        <v>OS</v>
      </c>
      <c r="G1300" t="s">
        <v>44</v>
      </c>
      <c r="H1300" s="8">
        <v>38.369999999999997</v>
      </c>
      <c r="I1300" s="3">
        <f t="shared" si="81"/>
        <v>0.23300000000000001</v>
      </c>
      <c r="J1300" s="4">
        <v>23.3</v>
      </c>
      <c r="K1300" s="11">
        <f>Table1[[#This Row],[original_price]]* (Table1[[#This Row],[Markdown percentage updated]])</f>
        <v>8.9402100000000004</v>
      </c>
      <c r="L13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00" s="6">
        <v>29.43</v>
      </c>
      <c r="N13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00" s="7">
        <v>45875</v>
      </c>
      <c r="P1300">
        <v>22</v>
      </c>
      <c r="Q1300" s="16" t="str">
        <f>IF(Table1[[#This Row],[stock_quantity]]=0,"NO STOCK",
IF(Table1[[#This Row],[stock_quantity]]&lt;=10,"LOW STOCK",
"IN STOCK"))</f>
        <v>IN STOCK</v>
      </c>
      <c r="R1300" s="1">
        <f t="shared" si="82"/>
        <v>1.4</v>
      </c>
      <c r="S1300">
        <v>1.4</v>
      </c>
      <c r="T1300" t="b">
        <v>0</v>
      </c>
      <c r="U1300" t="str">
        <f t="shared" si="83"/>
        <v>No Return</v>
      </c>
    </row>
    <row r="1301" spans="1:22" hidden="1" x14ac:dyDescent="0.3">
      <c r="A1301" t="s">
        <v>1354</v>
      </c>
      <c r="B1301" t="s">
        <v>15</v>
      </c>
      <c r="C1301" t="s">
        <v>48</v>
      </c>
      <c r="D1301" t="s">
        <v>23</v>
      </c>
      <c r="E1301" t="str">
        <f t="shared" si="80"/>
        <v>XXL</v>
      </c>
      <c r="G1301" t="s">
        <v>19</v>
      </c>
      <c r="H1301" s="8">
        <v>86.3</v>
      </c>
      <c r="I1301" s="3">
        <f t="shared" si="81"/>
        <v>0</v>
      </c>
      <c r="J1301" s="4">
        <v>0</v>
      </c>
      <c r="K1301" s="11">
        <f>Table1[[#This Row],[original_price]]* (Table1[[#This Row],[Markdown percentage updated]])</f>
        <v>0</v>
      </c>
      <c r="L13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01" s="6">
        <v>86.3</v>
      </c>
      <c r="N13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01" s="7">
        <v>45875</v>
      </c>
      <c r="P1301">
        <v>33</v>
      </c>
      <c r="Q1301" s="16" t="str">
        <f>IF(Table1[[#This Row],[stock_quantity]]=0,"NO STOCK",
IF(Table1[[#This Row],[stock_quantity]]&lt;=10,"LOW STOCK",
"IN STOCK"))</f>
        <v>IN STOCK</v>
      </c>
      <c r="R1301" s="1">
        <f t="shared" si="82"/>
        <v>3.9</v>
      </c>
      <c r="S1301">
        <v>3.9</v>
      </c>
      <c r="T1301" t="b">
        <v>0</v>
      </c>
      <c r="U1301" t="str">
        <f t="shared" si="83"/>
        <v>No Return</v>
      </c>
    </row>
    <row r="1302" spans="1:22" hidden="1" x14ac:dyDescent="0.3">
      <c r="A1302" t="s">
        <v>1355</v>
      </c>
      <c r="B1302" t="s">
        <v>27</v>
      </c>
      <c r="C1302" t="s">
        <v>43</v>
      </c>
      <c r="D1302" t="s">
        <v>23</v>
      </c>
      <c r="E1302" t="str">
        <f t="shared" si="80"/>
        <v>XXL</v>
      </c>
      <c r="G1302" t="s">
        <v>66</v>
      </c>
      <c r="H1302" s="8">
        <v>64.89</v>
      </c>
      <c r="I1302" s="3">
        <f t="shared" si="81"/>
        <v>4.2000000000000003E-2</v>
      </c>
      <c r="J1302" s="4">
        <v>4.2</v>
      </c>
      <c r="K1302" s="11">
        <f>Table1[[#This Row],[original_price]]* (Table1[[#This Row],[Markdown percentage updated]])</f>
        <v>2.7253800000000004</v>
      </c>
      <c r="L13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02" s="6">
        <v>62.16</v>
      </c>
      <c r="N13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02" s="7">
        <v>45875</v>
      </c>
      <c r="P1302">
        <v>40</v>
      </c>
      <c r="Q1302" s="16" t="str">
        <f>IF(Table1[[#This Row],[stock_quantity]]=0,"NO STOCK",
IF(Table1[[#This Row],[stock_quantity]]&lt;=10,"LOW STOCK",
"IN STOCK"))</f>
        <v>IN STOCK</v>
      </c>
      <c r="R1302" s="1">
        <f t="shared" si="82"/>
        <v>1.4</v>
      </c>
      <c r="S1302">
        <v>1.4</v>
      </c>
      <c r="T1302" t="b">
        <v>0</v>
      </c>
      <c r="U1302" t="str">
        <f t="shared" si="83"/>
        <v>No Return</v>
      </c>
    </row>
    <row r="1303" spans="1:22" hidden="1" x14ac:dyDescent="0.3">
      <c r="A1303" t="s">
        <v>1356</v>
      </c>
      <c r="B1303" t="s">
        <v>27</v>
      </c>
      <c r="C1303" t="s">
        <v>43</v>
      </c>
      <c r="D1303" t="s">
        <v>34</v>
      </c>
      <c r="E1303" t="str">
        <f t="shared" si="80"/>
        <v>M</v>
      </c>
      <c r="G1303" t="s">
        <v>64</v>
      </c>
      <c r="H1303" s="8">
        <v>53.64</v>
      </c>
      <c r="I1303" s="3">
        <f t="shared" si="81"/>
        <v>0</v>
      </c>
      <c r="J1303" s="4">
        <v>0</v>
      </c>
      <c r="K1303" s="11">
        <f>Table1[[#This Row],[original_price]]* (Table1[[#This Row],[Markdown percentage updated]])</f>
        <v>0</v>
      </c>
      <c r="L13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03" s="6">
        <v>53.64</v>
      </c>
      <c r="N13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03" s="7">
        <v>45875</v>
      </c>
      <c r="P1303">
        <v>18</v>
      </c>
      <c r="Q1303" s="16" t="str">
        <f>IF(Table1[[#This Row],[stock_quantity]]=0,"NO STOCK",
IF(Table1[[#This Row],[stock_quantity]]&lt;=10,"LOW STOCK",
"IN STOCK"))</f>
        <v>IN STOCK</v>
      </c>
      <c r="R1303" s="1">
        <f t="shared" si="82"/>
        <v>2.2999999999999998</v>
      </c>
      <c r="S1303">
        <v>2.2999999999999998</v>
      </c>
      <c r="T1303" t="b">
        <v>0</v>
      </c>
      <c r="U1303" t="str">
        <f t="shared" si="83"/>
        <v>No Return</v>
      </c>
    </row>
    <row r="1304" spans="1:22" hidden="1" x14ac:dyDescent="0.3">
      <c r="A1304" t="s">
        <v>1357</v>
      </c>
      <c r="B1304" t="s">
        <v>42</v>
      </c>
      <c r="C1304" t="s">
        <v>43</v>
      </c>
      <c r="D1304" t="s">
        <v>62</v>
      </c>
      <c r="E1304" t="str">
        <f t="shared" si="80"/>
        <v>L</v>
      </c>
      <c r="F1304" t="s">
        <v>49</v>
      </c>
      <c r="G1304" t="s">
        <v>25</v>
      </c>
      <c r="H1304" s="8">
        <v>113.81</v>
      </c>
      <c r="I1304" s="3">
        <f t="shared" si="81"/>
        <v>9.1999999999999998E-2</v>
      </c>
      <c r="J1304" s="4">
        <v>9.1999999999999993</v>
      </c>
      <c r="K1304" s="11">
        <f>Table1[[#This Row],[original_price]]* (Table1[[#This Row],[Markdown percentage updated]])</f>
        <v>10.47052</v>
      </c>
      <c r="L13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04" s="6">
        <v>103.34</v>
      </c>
      <c r="N13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304" s="7">
        <v>45875</v>
      </c>
      <c r="P1304">
        <v>11</v>
      </c>
      <c r="Q1304" s="16" t="str">
        <f>IF(Table1[[#This Row],[stock_quantity]]=0,"NO STOCK",
IF(Table1[[#This Row],[stock_quantity]]&lt;=10,"LOW STOCK",
"IN STOCK"))</f>
        <v>IN STOCK</v>
      </c>
      <c r="R1304" s="1">
        <f t="shared" si="82"/>
        <v>2.4</v>
      </c>
      <c r="S1304">
        <v>2.4</v>
      </c>
      <c r="T1304" t="b">
        <v>0</v>
      </c>
      <c r="U1304" t="str">
        <f t="shared" si="83"/>
        <v>No Return</v>
      </c>
    </row>
    <row r="1305" spans="1:22" hidden="1" x14ac:dyDescent="0.3">
      <c r="A1305" t="s">
        <v>1358</v>
      </c>
      <c r="B1305" t="s">
        <v>21</v>
      </c>
      <c r="C1305" t="s">
        <v>53</v>
      </c>
      <c r="D1305" t="s">
        <v>62</v>
      </c>
      <c r="E1305" t="str">
        <f t="shared" si="80"/>
        <v>OS</v>
      </c>
      <c r="F1305" t="s">
        <v>49</v>
      </c>
      <c r="G1305" t="s">
        <v>56</v>
      </c>
      <c r="H1305" s="8">
        <v>40.119999999999997</v>
      </c>
      <c r="I1305" s="3">
        <f t="shared" si="81"/>
        <v>0.27699999999999997</v>
      </c>
      <c r="J1305" s="4">
        <v>27.7</v>
      </c>
      <c r="K1305" s="11">
        <f>Table1[[#This Row],[original_price]]* (Table1[[#This Row],[Markdown percentage updated]])</f>
        <v>11.113239999999998</v>
      </c>
      <c r="L13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05" s="6">
        <v>29.01</v>
      </c>
      <c r="N13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305" s="7">
        <v>45875</v>
      </c>
      <c r="P1305">
        <v>29</v>
      </c>
      <c r="Q1305" s="16" t="str">
        <f>IF(Table1[[#This Row],[stock_quantity]]=0,"NO STOCK",
IF(Table1[[#This Row],[stock_quantity]]&lt;=10,"LOW STOCK",
"IN STOCK"))</f>
        <v>IN STOCK</v>
      </c>
      <c r="R1305" s="1">
        <f t="shared" si="82"/>
        <v>1.7</v>
      </c>
      <c r="S1305">
        <v>1.7</v>
      </c>
      <c r="T1305" t="b">
        <v>1</v>
      </c>
      <c r="U1305" s="13" t="str">
        <f t="shared" si="83"/>
        <v>Size Issue</v>
      </c>
      <c r="V1305" t="s">
        <v>73</v>
      </c>
    </row>
    <row r="1306" spans="1:22" hidden="1" x14ac:dyDescent="0.3">
      <c r="A1306" t="s">
        <v>1359</v>
      </c>
      <c r="B1306" t="s">
        <v>21</v>
      </c>
      <c r="C1306" t="s">
        <v>61</v>
      </c>
      <c r="D1306" t="s">
        <v>23</v>
      </c>
      <c r="E1306" t="str">
        <f t="shared" si="80"/>
        <v>OS</v>
      </c>
      <c r="F1306" t="s">
        <v>58</v>
      </c>
      <c r="G1306" t="s">
        <v>28</v>
      </c>
      <c r="H1306" s="8">
        <v>49.64</v>
      </c>
      <c r="I1306" s="3">
        <f t="shared" si="81"/>
        <v>0.309</v>
      </c>
      <c r="J1306" s="4">
        <v>30.9</v>
      </c>
      <c r="K1306" s="11">
        <f>Table1[[#This Row],[original_price]]* (Table1[[#This Row],[Markdown percentage updated]])</f>
        <v>15.338760000000001</v>
      </c>
      <c r="L13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06" s="6">
        <v>34.299999999999997</v>
      </c>
      <c r="N13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306" s="7">
        <v>45875</v>
      </c>
      <c r="P1306">
        <v>21</v>
      </c>
      <c r="Q1306" s="16" t="str">
        <f>IF(Table1[[#This Row],[stock_quantity]]=0,"NO STOCK",
IF(Table1[[#This Row],[stock_quantity]]&lt;=10,"LOW STOCK",
"IN STOCK"))</f>
        <v>IN STOCK</v>
      </c>
      <c r="R1306" s="1">
        <f t="shared" si="82"/>
        <v>2</v>
      </c>
      <c r="S1306">
        <v>2</v>
      </c>
      <c r="T1306" t="b">
        <v>0</v>
      </c>
      <c r="U1306" t="str">
        <f t="shared" si="83"/>
        <v>No Return</v>
      </c>
    </row>
    <row r="1307" spans="1:22" hidden="1" x14ac:dyDescent="0.3">
      <c r="A1307" t="s">
        <v>1360</v>
      </c>
      <c r="B1307" t="s">
        <v>38</v>
      </c>
      <c r="C1307" t="s">
        <v>75</v>
      </c>
      <c r="D1307" t="s">
        <v>62</v>
      </c>
      <c r="E1307" t="str">
        <f t="shared" si="80"/>
        <v>XL</v>
      </c>
      <c r="F1307" t="s">
        <v>24</v>
      </c>
      <c r="G1307" t="s">
        <v>70</v>
      </c>
      <c r="H1307" s="8">
        <v>117.64</v>
      </c>
      <c r="I1307" s="3">
        <f t="shared" si="81"/>
        <v>0.54200000000000004</v>
      </c>
      <c r="J1307" s="4">
        <v>54.2</v>
      </c>
      <c r="K1307" s="11">
        <f>Table1[[#This Row],[original_price]]* (Table1[[#This Row],[Markdown percentage updated]])</f>
        <v>63.760880000000007</v>
      </c>
      <c r="L13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07" s="6">
        <v>53.88</v>
      </c>
      <c r="N13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07" s="7">
        <v>45875</v>
      </c>
      <c r="P1307">
        <v>25</v>
      </c>
      <c r="Q1307" s="16" t="str">
        <f>IF(Table1[[#This Row],[stock_quantity]]=0,"NO STOCK",
IF(Table1[[#This Row],[stock_quantity]]&lt;=10,"LOW STOCK",
"IN STOCK"))</f>
        <v>IN STOCK</v>
      </c>
      <c r="R1307" s="1">
        <f t="shared" si="82"/>
        <v>4.5999999999999996</v>
      </c>
      <c r="S1307">
        <v>4.5999999999999996</v>
      </c>
      <c r="T1307" t="b">
        <v>1</v>
      </c>
      <c r="U1307" s="13" t="str">
        <f t="shared" si="83"/>
        <v>Wrong Item</v>
      </c>
      <c r="V1307" t="s">
        <v>125</v>
      </c>
    </row>
    <row r="1308" spans="1:22" hidden="1" x14ac:dyDescent="0.3">
      <c r="A1308" t="s">
        <v>1361</v>
      </c>
      <c r="B1308" t="s">
        <v>27</v>
      </c>
      <c r="C1308" t="s">
        <v>43</v>
      </c>
      <c r="D1308" t="s">
        <v>62</v>
      </c>
      <c r="E1308" t="str">
        <f t="shared" si="80"/>
        <v>OS</v>
      </c>
      <c r="G1308" t="s">
        <v>19</v>
      </c>
      <c r="H1308" s="8">
        <v>69.78</v>
      </c>
      <c r="I1308" s="3">
        <f t="shared" si="81"/>
        <v>3.7000000000000005E-2</v>
      </c>
      <c r="J1308" s="4">
        <v>3.7</v>
      </c>
      <c r="K1308" s="11">
        <f>Table1[[#This Row],[original_price]]* (Table1[[#This Row],[Markdown percentage updated]])</f>
        <v>2.5818600000000003</v>
      </c>
      <c r="L13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08" s="6">
        <v>67.2</v>
      </c>
      <c r="N13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08" s="7">
        <v>45875</v>
      </c>
      <c r="P1308">
        <v>14</v>
      </c>
      <c r="Q1308" s="16" t="str">
        <f>IF(Table1[[#This Row],[stock_quantity]]=0,"NO STOCK",
IF(Table1[[#This Row],[stock_quantity]]&lt;=10,"LOW STOCK",
"IN STOCK"))</f>
        <v>IN STOCK</v>
      </c>
      <c r="R1308" s="1">
        <f t="shared" si="82"/>
        <v>3.2</v>
      </c>
      <c r="S1308">
        <v>3.2</v>
      </c>
      <c r="T1308" t="b">
        <v>0</v>
      </c>
      <c r="U1308" t="str">
        <f t="shared" si="83"/>
        <v>No Return</v>
      </c>
    </row>
    <row r="1309" spans="1:22" hidden="1" x14ac:dyDescent="0.3">
      <c r="A1309" t="s">
        <v>1362</v>
      </c>
      <c r="B1309" t="s">
        <v>27</v>
      </c>
      <c r="C1309" t="s">
        <v>75</v>
      </c>
      <c r="D1309" t="s">
        <v>17</v>
      </c>
      <c r="E1309" t="str">
        <f t="shared" si="80"/>
        <v>XS</v>
      </c>
      <c r="G1309" t="s">
        <v>35</v>
      </c>
      <c r="H1309" s="8">
        <v>29.91</v>
      </c>
      <c r="I1309" s="3">
        <f t="shared" si="81"/>
        <v>0.184</v>
      </c>
      <c r="J1309" s="4">
        <v>18.399999999999999</v>
      </c>
      <c r="K1309" s="11">
        <f>Table1[[#This Row],[original_price]]* (Table1[[#This Row],[Markdown percentage updated]])</f>
        <v>5.5034400000000003</v>
      </c>
      <c r="L13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09" s="6">
        <v>24.41</v>
      </c>
      <c r="N13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09" s="7">
        <v>45719</v>
      </c>
      <c r="P1309">
        <v>10</v>
      </c>
      <c r="Q1309" s="17" t="str">
        <f>IF(Table1[[#This Row],[stock_quantity]]=0,"NO STOCK",
IF(Table1[[#This Row],[stock_quantity]]&lt;=10,"LOW STOCK",
"IN STOCK"))</f>
        <v>LOW STOCK</v>
      </c>
      <c r="R1309" s="1">
        <f t="shared" si="82"/>
        <v>4.9000000000000004</v>
      </c>
      <c r="S1309">
        <v>4.9000000000000004</v>
      </c>
      <c r="T1309" t="b">
        <v>0</v>
      </c>
      <c r="U1309" t="str">
        <f t="shared" si="83"/>
        <v>No Return</v>
      </c>
    </row>
    <row r="1310" spans="1:22" hidden="1" x14ac:dyDescent="0.3">
      <c r="A1310" t="s">
        <v>1363</v>
      </c>
      <c r="B1310" t="s">
        <v>30</v>
      </c>
      <c r="C1310" t="s">
        <v>48</v>
      </c>
      <c r="D1310" t="s">
        <v>34</v>
      </c>
      <c r="E1310" t="str">
        <f t="shared" si="80"/>
        <v>S</v>
      </c>
      <c r="F1310" t="s">
        <v>18</v>
      </c>
      <c r="G1310" t="s">
        <v>28</v>
      </c>
      <c r="H1310" s="8">
        <v>187.11</v>
      </c>
      <c r="I1310" s="3">
        <f t="shared" si="81"/>
        <v>0.433</v>
      </c>
      <c r="J1310" s="4">
        <v>43.3</v>
      </c>
      <c r="K1310" s="11">
        <f>Table1[[#This Row],[original_price]]* (Table1[[#This Row],[Markdown percentage updated]])</f>
        <v>81.018630000000002</v>
      </c>
      <c r="L13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10" s="6">
        <v>106.09</v>
      </c>
      <c r="N13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10" s="7">
        <v>45875</v>
      </c>
      <c r="P1310">
        <v>26</v>
      </c>
      <c r="Q1310" s="16" t="str">
        <f>IF(Table1[[#This Row],[stock_quantity]]=0,"NO STOCK",
IF(Table1[[#This Row],[stock_quantity]]&lt;=10,"LOW STOCK",
"IN STOCK"))</f>
        <v>IN STOCK</v>
      </c>
      <c r="R1310" s="1">
        <f t="shared" si="82"/>
        <v>3</v>
      </c>
      <c r="S1310">
        <v>3</v>
      </c>
      <c r="T1310" t="b">
        <v>0</v>
      </c>
      <c r="U1310" t="str">
        <f t="shared" si="83"/>
        <v>No Return</v>
      </c>
    </row>
    <row r="1311" spans="1:22" hidden="1" x14ac:dyDescent="0.3">
      <c r="A1311" t="s">
        <v>1364</v>
      </c>
      <c r="B1311" t="s">
        <v>27</v>
      </c>
      <c r="C1311" t="s">
        <v>53</v>
      </c>
      <c r="D1311" t="s">
        <v>62</v>
      </c>
      <c r="E1311" t="str">
        <f t="shared" si="80"/>
        <v>XXL</v>
      </c>
      <c r="G1311" t="s">
        <v>56</v>
      </c>
      <c r="H1311" s="8">
        <v>40.04</v>
      </c>
      <c r="I1311" s="3">
        <f t="shared" si="81"/>
        <v>0.158</v>
      </c>
      <c r="J1311" s="4">
        <v>15.8</v>
      </c>
      <c r="K1311" s="11">
        <f>Table1[[#This Row],[original_price]]* (Table1[[#This Row],[Markdown percentage updated]])</f>
        <v>6.3263199999999999</v>
      </c>
      <c r="L13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11" s="6">
        <v>33.71</v>
      </c>
      <c r="N13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11" s="7">
        <v>45875</v>
      </c>
      <c r="P1311">
        <v>31</v>
      </c>
      <c r="Q1311" s="16" t="str">
        <f>IF(Table1[[#This Row],[stock_quantity]]=0,"NO STOCK",
IF(Table1[[#This Row],[stock_quantity]]&lt;=10,"LOW STOCK",
"IN STOCK"))</f>
        <v>IN STOCK</v>
      </c>
      <c r="R1311" s="1">
        <f t="shared" si="82"/>
        <v>1.8</v>
      </c>
      <c r="S1311">
        <v>1.8</v>
      </c>
      <c r="T1311" t="b">
        <v>0</v>
      </c>
      <c r="U1311" t="str">
        <f t="shared" si="83"/>
        <v>No Return</v>
      </c>
    </row>
    <row r="1312" spans="1:22" hidden="1" x14ac:dyDescent="0.3">
      <c r="A1312" t="s">
        <v>1365</v>
      </c>
      <c r="B1312" t="s">
        <v>42</v>
      </c>
      <c r="C1312" t="s">
        <v>43</v>
      </c>
      <c r="D1312" t="s">
        <v>17</v>
      </c>
      <c r="E1312" t="str">
        <f t="shared" si="80"/>
        <v>XL</v>
      </c>
      <c r="F1312" t="s">
        <v>55</v>
      </c>
      <c r="G1312" t="s">
        <v>56</v>
      </c>
      <c r="H1312" s="8">
        <v>113.44</v>
      </c>
      <c r="I1312" s="3">
        <f t="shared" si="81"/>
        <v>0.23399999999999999</v>
      </c>
      <c r="J1312" s="4">
        <v>23.4</v>
      </c>
      <c r="K1312" s="11">
        <f>Table1[[#This Row],[original_price]]* (Table1[[#This Row],[Markdown percentage updated]])</f>
        <v>26.544959999999996</v>
      </c>
      <c r="L13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12" s="6">
        <v>86.9</v>
      </c>
      <c r="N13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12" s="7">
        <v>45723</v>
      </c>
      <c r="P1312">
        <v>1</v>
      </c>
      <c r="Q1312" s="17" t="str">
        <f>IF(Table1[[#This Row],[stock_quantity]]=0,"NO STOCK",
IF(Table1[[#This Row],[stock_quantity]]&lt;=10,"LOW STOCK",
"IN STOCK"))</f>
        <v>LOW STOCK</v>
      </c>
      <c r="R1312" s="1">
        <f t="shared" si="82"/>
        <v>0</v>
      </c>
      <c r="T1312" t="b">
        <v>0</v>
      </c>
      <c r="U1312" t="str">
        <f t="shared" si="83"/>
        <v>No Return</v>
      </c>
    </row>
    <row r="1313" spans="1:22" hidden="1" x14ac:dyDescent="0.3">
      <c r="A1313" t="s">
        <v>1366</v>
      </c>
      <c r="B1313" t="s">
        <v>38</v>
      </c>
      <c r="C1313" t="s">
        <v>16</v>
      </c>
      <c r="D1313" t="s">
        <v>17</v>
      </c>
      <c r="E1313" t="str">
        <f t="shared" si="80"/>
        <v>XXL</v>
      </c>
      <c r="F1313" t="s">
        <v>39</v>
      </c>
      <c r="G1313" t="s">
        <v>40</v>
      </c>
      <c r="H1313" s="8">
        <v>119.84</v>
      </c>
      <c r="I1313" s="3">
        <f t="shared" si="81"/>
        <v>0</v>
      </c>
      <c r="J1313" s="4">
        <v>0</v>
      </c>
      <c r="K1313" s="11">
        <f>Table1[[#This Row],[original_price]]* (Table1[[#This Row],[Markdown percentage updated]])</f>
        <v>0</v>
      </c>
      <c r="L13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13" s="6">
        <v>119.84</v>
      </c>
      <c r="N13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13" s="7">
        <v>45562</v>
      </c>
      <c r="P1313">
        <v>47</v>
      </c>
      <c r="Q1313" s="16" t="str">
        <f>IF(Table1[[#This Row],[stock_quantity]]=0,"NO STOCK",
IF(Table1[[#This Row],[stock_quantity]]&lt;=10,"LOW STOCK",
"IN STOCK"))</f>
        <v>IN STOCK</v>
      </c>
      <c r="R1313" s="1">
        <f t="shared" si="82"/>
        <v>1.4</v>
      </c>
      <c r="S1313">
        <v>1.4</v>
      </c>
      <c r="T1313" t="b">
        <v>0</v>
      </c>
      <c r="U1313" t="str">
        <f t="shared" si="83"/>
        <v>No Return</v>
      </c>
    </row>
    <row r="1314" spans="1:22" hidden="1" x14ac:dyDescent="0.3">
      <c r="A1314" t="s">
        <v>1367</v>
      </c>
      <c r="B1314" t="s">
        <v>30</v>
      </c>
      <c r="C1314" t="s">
        <v>22</v>
      </c>
      <c r="D1314" t="s">
        <v>34</v>
      </c>
      <c r="E1314" t="str">
        <f t="shared" si="80"/>
        <v>M</v>
      </c>
      <c r="F1314" t="s">
        <v>49</v>
      </c>
      <c r="G1314" t="s">
        <v>70</v>
      </c>
      <c r="H1314" s="8">
        <v>167.27</v>
      </c>
      <c r="I1314" s="3">
        <f t="shared" si="81"/>
        <v>0</v>
      </c>
      <c r="J1314" s="4">
        <v>0</v>
      </c>
      <c r="K1314" s="11">
        <f>Table1[[#This Row],[original_price]]* (Table1[[#This Row],[Markdown percentage updated]])</f>
        <v>0</v>
      </c>
      <c r="L13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14" s="6">
        <v>167.27</v>
      </c>
      <c r="N13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14" s="7">
        <v>45875</v>
      </c>
      <c r="P1314">
        <v>9</v>
      </c>
      <c r="Q1314" s="17" t="str">
        <f>IF(Table1[[#This Row],[stock_quantity]]=0,"NO STOCK",
IF(Table1[[#This Row],[stock_quantity]]&lt;=10,"LOW STOCK",
"IN STOCK"))</f>
        <v>LOW STOCK</v>
      </c>
      <c r="R1314" s="1">
        <f t="shared" si="82"/>
        <v>4</v>
      </c>
      <c r="S1314">
        <v>4</v>
      </c>
      <c r="T1314" t="b">
        <v>0</v>
      </c>
      <c r="U1314" t="str">
        <f t="shared" si="83"/>
        <v>No Return</v>
      </c>
    </row>
    <row r="1315" spans="1:22" hidden="1" x14ac:dyDescent="0.3">
      <c r="A1315" t="s">
        <v>1368</v>
      </c>
      <c r="B1315" t="s">
        <v>42</v>
      </c>
      <c r="C1315" t="s">
        <v>32</v>
      </c>
      <c r="D1315" t="s">
        <v>17</v>
      </c>
      <c r="E1315" t="str">
        <f t="shared" si="80"/>
        <v>XS</v>
      </c>
      <c r="F1315" t="s">
        <v>18</v>
      </c>
      <c r="G1315" t="s">
        <v>44</v>
      </c>
      <c r="H1315" s="8">
        <v>148</v>
      </c>
      <c r="I1315" s="3">
        <f t="shared" si="81"/>
        <v>1.1000000000000001E-2</v>
      </c>
      <c r="J1315" s="4">
        <v>1.1000000000000001</v>
      </c>
      <c r="K1315" s="11">
        <f>Table1[[#This Row],[original_price]]* (Table1[[#This Row],[Markdown percentage updated]])</f>
        <v>1.6280000000000001</v>
      </c>
      <c r="L13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15" s="6">
        <v>146.37</v>
      </c>
      <c r="N13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15" s="7">
        <v>45711</v>
      </c>
      <c r="P1315">
        <v>43</v>
      </c>
      <c r="Q1315" s="16" t="str">
        <f>IF(Table1[[#This Row],[stock_quantity]]=0,"NO STOCK",
IF(Table1[[#This Row],[stock_quantity]]&lt;=10,"LOW STOCK",
"IN STOCK"))</f>
        <v>IN STOCK</v>
      </c>
      <c r="R1315" s="1">
        <f t="shared" si="82"/>
        <v>2</v>
      </c>
      <c r="S1315">
        <v>2</v>
      </c>
      <c r="T1315" t="b">
        <v>0</v>
      </c>
      <c r="U1315" t="str">
        <f t="shared" si="83"/>
        <v>No Return</v>
      </c>
    </row>
    <row r="1316" spans="1:22" hidden="1" x14ac:dyDescent="0.3">
      <c r="A1316" t="s">
        <v>1369</v>
      </c>
      <c r="B1316" t="s">
        <v>38</v>
      </c>
      <c r="C1316" t="s">
        <v>48</v>
      </c>
      <c r="D1316" t="s">
        <v>23</v>
      </c>
      <c r="E1316" t="str">
        <f t="shared" si="80"/>
        <v>L</v>
      </c>
      <c r="F1316" t="s">
        <v>49</v>
      </c>
      <c r="G1316" t="s">
        <v>19</v>
      </c>
      <c r="H1316" s="8">
        <v>65.34</v>
      </c>
      <c r="I1316" s="3">
        <f t="shared" si="81"/>
        <v>0.498</v>
      </c>
      <c r="J1316" s="4">
        <v>49.8</v>
      </c>
      <c r="K1316" s="11">
        <f>Table1[[#This Row],[original_price]]* (Table1[[#This Row],[Markdown percentage updated]])</f>
        <v>32.539320000000004</v>
      </c>
      <c r="L13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16" s="6">
        <v>32.799999999999997</v>
      </c>
      <c r="N13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16" s="7">
        <v>45875</v>
      </c>
      <c r="P1316">
        <v>9</v>
      </c>
      <c r="Q1316" s="17" t="str">
        <f>IF(Table1[[#This Row],[stock_quantity]]=0,"NO STOCK",
IF(Table1[[#This Row],[stock_quantity]]&lt;=10,"LOW STOCK",
"IN STOCK"))</f>
        <v>LOW STOCK</v>
      </c>
      <c r="R1316" s="1">
        <f t="shared" si="82"/>
        <v>0</v>
      </c>
      <c r="T1316" t="b">
        <v>0</v>
      </c>
      <c r="U1316" t="str">
        <f t="shared" si="83"/>
        <v>No Return</v>
      </c>
    </row>
    <row r="1317" spans="1:22" hidden="1" x14ac:dyDescent="0.3">
      <c r="A1317" t="s">
        <v>1370</v>
      </c>
      <c r="B1317" t="s">
        <v>30</v>
      </c>
      <c r="C1317" t="s">
        <v>32</v>
      </c>
      <c r="D1317" t="s">
        <v>17</v>
      </c>
      <c r="E1317" t="str">
        <f t="shared" si="80"/>
        <v>XXL</v>
      </c>
      <c r="F1317" t="s">
        <v>58</v>
      </c>
      <c r="G1317" t="s">
        <v>46</v>
      </c>
      <c r="H1317" s="8">
        <v>84.57</v>
      </c>
      <c r="I1317" s="3">
        <f t="shared" si="81"/>
        <v>5.4000000000000006E-2</v>
      </c>
      <c r="J1317" s="4">
        <v>5.4</v>
      </c>
      <c r="K1317" s="11">
        <f>Table1[[#This Row],[original_price]]* (Table1[[#This Row],[Markdown percentage updated]])</f>
        <v>4.5667800000000005</v>
      </c>
      <c r="L13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17" s="6">
        <v>80</v>
      </c>
      <c r="N13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17" s="7">
        <v>45855</v>
      </c>
      <c r="P1317">
        <v>33</v>
      </c>
      <c r="Q1317" s="16" t="str">
        <f>IF(Table1[[#This Row],[stock_quantity]]=0,"NO STOCK",
IF(Table1[[#This Row],[stock_quantity]]&lt;=10,"LOW STOCK",
"IN STOCK"))</f>
        <v>IN STOCK</v>
      </c>
      <c r="R1317" s="1">
        <f t="shared" si="82"/>
        <v>0</v>
      </c>
      <c r="T1317" t="b">
        <v>0</v>
      </c>
      <c r="U1317" t="str">
        <f t="shared" si="83"/>
        <v>No Return</v>
      </c>
    </row>
    <row r="1318" spans="1:22" hidden="1" x14ac:dyDescent="0.3">
      <c r="A1318" t="s">
        <v>1371</v>
      </c>
      <c r="B1318" t="s">
        <v>38</v>
      </c>
      <c r="C1318" t="s">
        <v>61</v>
      </c>
      <c r="D1318" t="s">
        <v>62</v>
      </c>
      <c r="E1318" t="str">
        <f t="shared" si="80"/>
        <v>L</v>
      </c>
      <c r="F1318" t="s">
        <v>55</v>
      </c>
      <c r="G1318" t="s">
        <v>40</v>
      </c>
      <c r="H1318" s="8">
        <v>52.6</v>
      </c>
      <c r="I1318" s="3">
        <f t="shared" si="81"/>
        <v>0</v>
      </c>
      <c r="J1318" s="4">
        <v>0</v>
      </c>
      <c r="K1318" s="11">
        <f>Table1[[#This Row],[original_price]]* (Table1[[#This Row],[Markdown percentage updated]])</f>
        <v>0</v>
      </c>
      <c r="L13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18" s="6">
        <v>52.6</v>
      </c>
      <c r="N13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18" s="7">
        <v>45875</v>
      </c>
      <c r="P1318">
        <v>35</v>
      </c>
      <c r="Q1318" s="16" t="str">
        <f>IF(Table1[[#This Row],[stock_quantity]]=0,"NO STOCK",
IF(Table1[[#This Row],[stock_quantity]]&lt;=10,"LOW STOCK",
"IN STOCK"))</f>
        <v>IN STOCK</v>
      </c>
      <c r="R1318" s="1">
        <f t="shared" si="82"/>
        <v>1.2</v>
      </c>
      <c r="S1318">
        <v>1.2</v>
      </c>
      <c r="T1318" t="b">
        <v>1</v>
      </c>
      <c r="U1318" s="13" t="str">
        <f t="shared" si="83"/>
        <v>Color Mismatch</v>
      </c>
      <c r="V1318" t="s">
        <v>36</v>
      </c>
    </row>
    <row r="1319" spans="1:22" hidden="1" x14ac:dyDescent="0.3">
      <c r="A1319" t="s">
        <v>1372</v>
      </c>
      <c r="B1319" t="s">
        <v>30</v>
      </c>
      <c r="C1319" t="s">
        <v>22</v>
      </c>
      <c r="D1319" t="s">
        <v>62</v>
      </c>
      <c r="E1319" t="str">
        <f t="shared" si="80"/>
        <v>OS</v>
      </c>
      <c r="F1319" t="s">
        <v>24</v>
      </c>
      <c r="G1319" t="s">
        <v>46</v>
      </c>
      <c r="H1319" s="8">
        <v>106.37</v>
      </c>
      <c r="I1319" s="3">
        <f t="shared" si="81"/>
        <v>0</v>
      </c>
      <c r="J1319" s="4">
        <v>0</v>
      </c>
      <c r="K1319" s="11">
        <f>Table1[[#This Row],[original_price]]* (Table1[[#This Row],[Markdown percentage updated]])</f>
        <v>0</v>
      </c>
      <c r="L13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19" s="6">
        <v>106.37</v>
      </c>
      <c r="N13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19" s="7">
        <v>45875</v>
      </c>
      <c r="P1319">
        <v>30</v>
      </c>
      <c r="Q1319" s="16" t="str">
        <f>IF(Table1[[#This Row],[stock_quantity]]=0,"NO STOCK",
IF(Table1[[#This Row],[stock_quantity]]&lt;=10,"LOW STOCK",
"IN STOCK"))</f>
        <v>IN STOCK</v>
      </c>
      <c r="R1319" s="1">
        <f t="shared" si="82"/>
        <v>1.1000000000000001</v>
      </c>
      <c r="S1319">
        <v>1.1000000000000001</v>
      </c>
      <c r="T1319" t="b">
        <v>0</v>
      </c>
      <c r="U1319" t="str">
        <f t="shared" si="83"/>
        <v>No Return</v>
      </c>
    </row>
    <row r="1320" spans="1:22" hidden="1" x14ac:dyDescent="0.3">
      <c r="A1320" t="s">
        <v>1373</v>
      </c>
      <c r="B1320" t="s">
        <v>21</v>
      </c>
      <c r="C1320" t="s">
        <v>61</v>
      </c>
      <c r="D1320" t="s">
        <v>62</v>
      </c>
      <c r="E1320" t="str">
        <f t="shared" si="80"/>
        <v>S</v>
      </c>
      <c r="F1320" t="s">
        <v>49</v>
      </c>
      <c r="G1320" t="s">
        <v>28</v>
      </c>
      <c r="H1320" s="8">
        <v>96.77</v>
      </c>
      <c r="I1320" s="3">
        <f t="shared" si="81"/>
        <v>0.40399999999999997</v>
      </c>
      <c r="J1320" s="4">
        <v>40.4</v>
      </c>
      <c r="K1320" s="11">
        <f>Table1[[#This Row],[original_price]]* (Table1[[#This Row],[Markdown percentage updated]])</f>
        <v>39.095079999999996</v>
      </c>
      <c r="L13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20" s="6">
        <v>57.67</v>
      </c>
      <c r="N13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20" s="7">
        <v>45875</v>
      </c>
      <c r="P1320">
        <v>31</v>
      </c>
      <c r="Q1320" s="16" t="str">
        <f>IF(Table1[[#This Row],[stock_quantity]]=0,"NO STOCK",
IF(Table1[[#This Row],[stock_quantity]]&lt;=10,"LOW STOCK",
"IN STOCK"))</f>
        <v>IN STOCK</v>
      </c>
      <c r="R1320" s="1">
        <f t="shared" si="82"/>
        <v>4.5</v>
      </c>
      <c r="S1320">
        <v>4.5</v>
      </c>
      <c r="T1320" t="b">
        <v>0</v>
      </c>
      <c r="U1320" t="str">
        <f t="shared" si="83"/>
        <v>No Return</v>
      </c>
    </row>
    <row r="1321" spans="1:22" hidden="1" x14ac:dyDescent="0.3">
      <c r="A1321" t="s">
        <v>1374</v>
      </c>
      <c r="B1321" t="s">
        <v>15</v>
      </c>
      <c r="C1321" t="s">
        <v>32</v>
      </c>
      <c r="D1321" t="s">
        <v>17</v>
      </c>
      <c r="E1321" t="str">
        <f t="shared" si="80"/>
        <v>S</v>
      </c>
      <c r="F1321" t="s">
        <v>24</v>
      </c>
      <c r="G1321" t="s">
        <v>70</v>
      </c>
      <c r="H1321" s="8">
        <v>99.02</v>
      </c>
      <c r="I1321" s="3">
        <f t="shared" si="81"/>
        <v>0</v>
      </c>
      <c r="J1321" s="4">
        <v>0</v>
      </c>
      <c r="K1321" s="11">
        <f>Table1[[#This Row],[original_price]]* (Table1[[#This Row],[Markdown percentage updated]])</f>
        <v>0</v>
      </c>
      <c r="L13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21" s="6">
        <v>99.02</v>
      </c>
      <c r="N13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21" s="7">
        <v>45581</v>
      </c>
      <c r="P1321">
        <v>21</v>
      </c>
      <c r="Q1321" s="16" t="str">
        <f>IF(Table1[[#This Row],[stock_quantity]]=0,"NO STOCK",
IF(Table1[[#This Row],[stock_quantity]]&lt;=10,"LOW STOCK",
"IN STOCK"))</f>
        <v>IN STOCK</v>
      </c>
      <c r="R1321" s="1">
        <f t="shared" si="82"/>
        <v>1.2</v>
      </c>
      <c r="S1321">
        <v>1.2</v>
      </c>
      <c r="T1321" t="b">
        <v>0</v>
      </c>
      <c r="U1321" t="str">
        <f t="shared" si="83"/>
        <v>No Return</v>
      </c>
    </row>
    <row r="1322" spans="1:22" hidden="1" x14ac:dyDescent="0.3">
      <c r="A1322" t="s">
        <v>1375</v>
      </c>
      <c r="B1322" t="s">
        <v>27</v>
      </c>
      <c r="C1322" t="s">
        <v>16</v>
      </c>
      <c r="D1322" t="s">
        <v>17</v>
      </c>
      <c r="E1322" t="str">
        <f t="shared" si="80"/>
        <v>XS</v>
      </c>
      <c r="G1322" t="s">
        <v>66</v>
      </c>
      <c r="H1322" s="8">
        <v>68.89</v>
      </c>
      <c r="I1322" s="3">
        <f t="shared" si="81"/>
        <v>0.36899999999999999</v>
      </c>
      <c r="J1322" s="4">
        <v>36.9</v>
      </c>
      <c r="K1322" s="11">
        <f>Table1[[#This Row],[original_price]]* (Table1[[#This Row],[Markdown percentage updated]])</f>
        <v>25.42041</v>
      </c>
      <c r="L13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22" s="6">
        <v>43.47</v>
      </c>
      <c r="N13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22" s="7">
        <v>45631</v>
      </c>
      <c r="P1322">
        <v>9</v>
      </c>
      <c r="Q1322" s="17" t="str">
        <f>IF(Table1[[#This Row],[stock_quantity]]=0,"NO STOCK",
IF(Table1[[#This Row],[stock_quantity]]&lt;=10,"LOW STOCK",
"IN STOCK"))</f>
        <v>LOW STOCK</v>
      </c>
      <c r="R1322" s="1">
        <f t="shared" si="82"/>
        <v>1.8</v>
      </c>
      <c r="S1322">
        <v>1.8</v>
      </c>
      <c r="T1322" t="b">
        <v>0</v>
      </c>
      <c r="U1322" t="str">
        <f t="shared" si="83"/>
        <v>No Return</v>
      </c>
    </row>
    <row r="1323" spans="1:22" hidden="1" x14ac:dyDescent="0.3">
      <c r="A1323" t="s">
        <v>1376</v>
      </c>
      <c r="B1323" t="s">
        <v>42</v>
      </c>
      <c r="C1323" t="s">
        <v>48</v>
      </c>
      <c r="D1323" t="s">
        <v>17</v>
      </c>
      <c r="E1323" t="str">
        <f t="shared" si="80"/>
        <v>M</v>
      </c>
      <c r="F1323" t="s">
        <v>39</v>
      </c>
      <c r="G1323" t="s">
        <v>25</v>
      </c>
      <c r="H1323" s="8">
        <v>63.91</v>
      </c>
      <c r="I1323" s="3">
        <f t="shared" si="81"/>
        <v>3.5000000000000003E-2</v>
      </c>
      <c r="J1323" s="4">
        <v>3.5</v>
      </c>
      <c r="K1323" s="11">
        <f>Table1[[#This Row],[original_price]]* (Table1[[#This Row],[Markdown percentage updated]])</f>
        <v>2.23685</v>
      </c>
      <c r="L13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23" s="6">
        <v>61.67</v>
      </c>
      <c r="N13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23" s="7">
        <v>45796</v>
      </c>
      <c r="P1323">
        <v>14</v>
      </c>
      <c r="Q1323" s="16" t="str">
        <f>IF(Table1[[#This Row],[stock_quantity]]=0,"NO STOCK",
IF(Table1[[#This Row],[stock_quantity]]&lt;=10,"LOW STOCK",
"IN STOCK"))</f>
        <v>IN STOCK</v>
      </c>
      <c r="R1323" s="1">
        <f t="shared" si="82"/>
        <v>2.1</v>
      </c>
      <c r="S1323">
        <v>2.1</v>
      </c>
      <c r="T1323" t="b">
        <v>0</v>
      </c>
      <c r="U1323" t="str">
        <f t="shared" si="83"/>
        <v>No Return</v>
      </c>
    </row>
    <row r="1324" spans="1:22" hidden="1" x14ac:dyDescent="0.3">
      <c r="A1324" t="s">
        <v>1377</v>
      </c>
      <c r="B1324" t="s">
        <v>30</v>
      </c>
      <c r="C1324" t="s">
        <v>43</v>
      </c>
      <c r="D1324" t="s">
        <v>34</v>
      </c>
      <c r="E1324" t="str">
        <f t="shared" si="80"/>
        <v>OS</v>
      </c>
      <c r="F1324" t="s">
        <v>39</v>
      </c>
      <c r="G1324" t="s">
        <v>64</v>
      </c>
      <c r="H1324" s="8">
        <v>116.38</v>
      </c>
      <c r="I1324" s="3">
        <f t="shared" si="81"/>
        <v>0.114</v>
      </c>
      <c r="J1324" s="4">
        <v>11.4</v>
      </c>
      <c r="K1324" s="11">
        <f>Table1[[#This Row],[original_price]]* (Table1[[#This Row],[Markdown percentage updated]])</f>
        <v>13.26732</v>
      </c>
      <c r="L13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24" s="6">
        <v>103.11</v>
      </c>
      <c r="N13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324" s="7">
        <v>45875</v>
      </c>
      <c r="P1324">
        <v>15</v>
      </c>
      <c r="Q1324" s="16" t="str">
        <f>IF(Table1[[#This Row],[stock_quantity]]=0,"NO STOCK",
IF(Table1[[#This Row],[stock_quantity]]&lt;=10,"LOW STOCK",
"IN STOCK"))</f>
        <v>IN STOCK</v>
      </c>
      <c r="R1324" s="1">
        <f t="shared" si="82"/>
        <v>0</v>
      </c>
      <c r="T1324" t="b">
        <v>0</v>
      </c>
      <c r="U1324" t="str">
        <f t="shared" si="83"/>
        <v>No Return</v>
      </c>
    </row>
    <row r="1325" spans="1:22" hidden="1" x14ac:dyDescent="0.3">
      <c r="A1325" t="s">
        <v>1378</v>
      </c>
      <c r="B1325" t="s">
        <v>38</v>
      </c>
      <c r="C1325" t="s">
        <v>22</v>
      </c>
      <c r="D1325" t="s">
        <v>34</v>
      </c>
      <c r="E1325" t="str">
        <f t="shared" si="80"/>
        <v>S</v>
      </c>
      <c r="F1325" t="s">
        <v>55</v>
      </c>
      <c r="G1325" t="s">
        <v>46</v>
      </c>
      <c r="H1325" s="8">
        <v>71.739999999999995</v>
      </c>
      <c r="I1325" s="3">
        <f t="shared" si="81"/>
        <v>0</v>
      </c>
      <c r="J1325" s="4">
        <v>0</v>
      </c>
      <c r="K1325" s="11">
        <f>Table1[[#This Row],[original_price]]* (Table1[[#This Row],[Markdown percentage updated]])</f>
        <v>0</v>
      </c>
      <c r="L13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25" s="6">
        <v>71.739999999999995</v>
      </c>
      <c r="N13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25" s="7">
        <v>45875</v>
      </c>
      <c r="P1325">
        <v>16</v>
      </c>
      <c r="Q1325" s="16" t="str">
        <f>IF(Table1[[#This Row],[stock_quantity]]=0,"NO STOCK",
IF(Table1[[#This Row],[stock_quantity]]&lt;=10,"LOW STOCK",
"IN STOCK"))</f>
        <v>IN STOCK</v>
      </c>
      <c r="R1325" s="1">
        <f t="shared" si="82"/>
        <v>0</v>
      </c>
      <c r="T1325" t="b">
        <v>0</v>
      </c>
      <c r="U1325" t="str">
        <f t="shared" si="83"/>
        <v>No Return</v>
      </c>
    </row>
    <row r="1326" spans="1:22" hidden="1" x14ac:dyDescent="0.3">
      <c r="A1326" t="s">
        <v>1379</v>
      </c>
      <c r="B1326" t="s">
        <v>38</v>
      </c>
      <c r="C1326" t="s">
        <v>75</v>
      </c>
      <c r="D1326" t="s">
        <v>23</v>
      </c>
      <c r="E1326" t="str">
        <f t="shared" si="80"/>
        <v>XS</v>
      </c>
      <c r="F1326" t="s">
        <v>58</v>
      </c>
      <c r="G1326" t="s">
        <v>56</v>
      </c>
      <c r="H1326" s="8">
        <v>91.11</v>
      </c>
      <c r="I1326" s="3">
        <f t="shared" si="81"/>
        <v>0</v>
      </c>
      <c r="J1326" s="4">
        <v>0</v>
      </c>
      <c r="K1326" s="11">
        <f>Table1[[#This Row],[original_price]]* (Table1[[#This Row],[Markdown percentage updated]])</f>
        <v>0</v>
      </c>
      <c r="L13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26" s="6">
        <v>91.11</v>
      </c>
      <c r="N13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26" s="7">
        <v>45875</v>
      </c>
      <c r="P1326">
        <v>38</v>
      </c>
      <c r="Q1326" s="16" t="str">
        <f>IF(Table1[[#This Row],[stock_quantity]]=0,"NO STOCK",
IF(Table1[[#This Row],[stock_quantity]]&lt;=10,"LOW STOCK",
"IN STOCK"))</f>
        <v>IN STOCK</v>
      </c>
      <c r="R1326" s="1">
        <f t="shared" si="82"/>
        <v>3.3</v>
      </c>
      <c r="S1326">
        <v>3.3</v>
      </c>
      <c r="T1326" t="b">
        <v>0</v>
      </c>
      <c r="U1326" t="str">
        <f t="shared" si="83"/>
        <v>No Return</v>
      </c>
    </row>
    <row r="1327" spans="1:22" hidden="1" x14ac:dyDescent="0.3">
      <c r="A1327" t="s">
        <v>1380</v>
      </c>
      <c r="B1327" t="s">
        <v>27</v>
      </c>
      <c r="C1327" t="s">
        <v>16</v>
      </c>
      <c r="D1327" t="s">
        <v>62</v>
      </c>
      <c r="E1327" t="str">
        <f t="shared" si="80"/>
        <v>XS</v>
      </c>
      <c r="G1327" t="s">
        <v>35</v>
      </c>
      <c r="H1327" s="8">
        <v>46.07</v>
      </c>
      <c r="I1327" s="3">
        <f t="shared" si="81"/>
        <v>0</v>
      </c>
      <c r="J1327" s="4">
        <v>0</v>
      </c>
      <c r="K1327" s="11">
        <f>Table1[[#This Row],[original_price]]* (Table1[[#This Row],[Markdown percentage updated]])</f>
        <v>0</v>
      </c>
      <c r="L13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27" s="6">
        <v>46.07</v>
      </c>
      <c r="N13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27" s="7">
        <v>45875</v>
      </c>
      <c r="P1327">
        <v>25</v>
      </c>
      <c r="Q1327" s="16" t="str">
        <f>IF(Table1[[#This Row],[stock_quantity]]=0,"NO STOCK",
IF(Table1[[#This Row],[stock_quantity]]&lt;=10,"LOW STOCK",
"IN STOCK"))</f>
        <v>IN STOCK</v>
      </c>
      <c r="R1327" s="1">
        <f t="shared" si="82"/>
        <v>2.5</v>
      </c>
      <c r="S1327">
        <v>2.5</v>
      </c>
      <c r="T1327" t="b">
        <v>0</v>
      </c>
      <c r="U1327" t="str">
        <f t="shared" si="83"/>
        <v>No Return</v>
      </c>
    </row>
    <row r="1328" spans="1:22" hidden="1" x14ac:dyDescent="0.3">
      <c r="A1328" t="s">
        <v>1381</v>
      </c>
      <c r="B1328" t="s">
        <v>42</v>
      </c>
      <c r="C1328" t="s">
        <v>43</v>
      </c>
      <c r="D1328" t="s">
        <v>34</v>
      </c>
      <c r="E1328" t="str">
        <f t="shared" si="80"/>
        <v>XS</v>
      </c>
      <c r="F1328" t="s">
        <v>39</v>
      </c>
      <c r="G1328" t="s">
        <v>46</v>
      </c>
      <c r="H1328" s="8">
        <v>156.27000000000001</v>
      </c>
      <c r="I1328" s="3">
        <f t="shared" si="81"/>
        <v>0</v>
      </c>
      <c r="J1328" s="4">
        <v>0</v>
      </c>
      <c r="K1328" s="11">
        <f>Table1[[#This Row],[original_price]]* (Table1[[#This Row],[Markdown percentage updated]])</f>
        <v>0</v>
      </c>
      <c r="L13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28" s="6">
        <v>156.27000000000001</v>
      </c>
      <c r="N13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28" s="7">
        <v>45875</v>
      </c>
      <c r="P1328">
        <v>43</v>
      </c>
      <c r="Q1328" s="16" t="str">
        <f>IF(Table1[[#This Row],[stock_quantity]]=0,"NO STOCK",
IF(Table1[[#This Row],[stock_quantity]]&lt;=10,"LOW STOCK",
"IN STOCK"))</f>
        <v>IN STOCK</v>
      </c>
      <c r="R1328" s="1">
        <f t="shared" si="82"/>
        <v>0</v>
      </c>
      <c r="T1328" t="b">
        <v>0</v>
      </c>
      <c r="U1328" t="str">
        <f t="shared" si="83"/>
        <v>No Return</v>
      </c>
    </row>
    <row r="1329" spans="1:21" hidden="1" x14ac:dyDescent="0.3">
      <c r="A1329" t="s">
        <v>1382</v>
      </c>
      <c r="B1329" t="s">
        <v>21</v>
      </c>
      <c r="C1329" t="s">
        <v>43</v>
      </c>
      <c r="D1329" t="s">
        <v>34</v>
      </c>
      <c r="E1329" t="str">
        <f t="shared" si="80"/>
        <v>S</v>
      </c>
      <c r="F1329" t="s">
        <v>55</v>
      </c>
      <c r="G1329" t="s">
        <v>25</v>
      </c>
      <c r="H1329" s="8">
        <v>56.35</v>
      </c>
      <c r="I1329" s="3">
        <f t="shared" si="81"/>
        <v>0</v>
      </c>
      <c r="J1329" s="4">
        <v>0</v>
      </c>
      <c r="K1329" s="11">
        <f>Table1[[#This Row],[original_price]]* (Table1[[#This Row],[Markdown percentage updated]])</f>
        <v>0</v>
      </c>
      <c r="L13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29" s="6">
        <v>56.35</v>
      </c>
      <c r="N13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29" s="7">
        <v>45875</v>
      </c>
      <c r="P1329">
        <v>31</v>
      </c>
      <c r="Q1329" s="16" t="str">
        <f>IF(Table1[[#This Row],[stock_quantity]]=0,"NO STOCK",
IF(Table1[[#This Row],[stock_quantity]]&lt;=10,"LOW STOCK",
"IN STOCK"))</f>
        <v>IN STOCK</v>
      </c>
      <c r="R1329" s="1">
        <f t="shared" si="82"/>
        <v>1.5</v>
      </c>
      <c r="S1329">
        <v>1.5</v>
      </c>
      <c r="T1329" t="b">
        <v>0</v>
      </c>
      <c r="U1329" t="str">
        <f t="shared" si="83"/>
        <v>No Return</v>
      </c>
    </row>
    <row r="1330" spans="1:21" hidden="1" x14ac:dyDescent="0.3">
      <c r="A1330" t="s">
        <v>1383</v>
      </c>
      <c r="B1330" t="s">
        <v>38</v>
      </c>
      <c r="C1330" t="s">
        <v>16</v>
      </c>
      <c r="D1330" t="s">
        <v>23</v>
      </c>
      <c r="E1330" t="str">
        <f t="shared" si="80"/>
        <v>L</v>
      </c>
      <c r="F1330" t="s">
        <v>55</v>
      </c>
      <c r="G1330" t="s">
        <v>66</v>
      </c>
      <c r="H1330" s="8">
        <v>118.21</v>
      </c>
      <c r="I1330" s="3">
        <f t="shared" si="81"/>
        <v>0.23100000000000001</v>
      </c>
      <c r="J1330" s="4">
        <v>23.1</v>
      </c>
      <c r="K1330" s="11">
        <f>Table1[[#This Row],[original_price]]* (Table1[[#This Row],[Markdown percentage updated]])</f>
        <v>27.306509999999999</v>
      </c>
      <c r="L13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30" s="6">
        <v>90.9</v>
      </c>
      <c r="N13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30" s="7">
        <v>45875</v>
      </c>
      <c r="P1330">
        <v>15</v>
      </c>
      <c r="Q1330" s="16" t="str">
        <f>IF(Table1[[#This Row],[stock_quantity]]=0,"NO STOCK",
IF(Table1[[#This Row],[stock_quantity]]&lt;=10,"LOW STOCK",
"IN STOCK"))</f>
        <v>IN STOCK</v>
      </c>
      <c r="R1330" s="1">
        <f t="shared" si="82"/>
        <v>5</v>
      </c>
      <c r="S1330">
        <v>5</v>
      </c>
      <c r="T1330" t="b">
        <v>0</v>
      </c>
      <c r="U1330" t="str">
        <f t="shared" si="83"/>
        <v>No Return</v>
      </c>
    </row>
    <row r="1331" spans="1:21" hidden="1" x14ac:dyDescent="0.3">
      <c r="A1331" t="s">
        <v>1384</v>
      </c>
      <c r="B1331" t="s">
        <v>21</v>
      </c>
      <c r="C1331" t="s">
        <v>61</v>
      </c>
      <c r="D1331" t="s">
        <v>34</v>
      </c>
      <c r="E1331" t="str">
        <f t="shared" si="80"/>
        <v>OS</v>
      </c>
      <c r="F1331" t="s">
        <v>55</v>
      </c>
      <c r="G1331" t="s">
        <v>56</v>
      </c>
      <c r="H1331" s="8">
        <v>25.86</v>
      </c>
      <c r="I1331" s="3">
        <f t="shared" si="81"/>
        <v>0</v>
      </c>
      <c r="J1331" s="4">
        <v>0</v>
      </c>
      <c r="K1331" s="11">
        <f>Table1[[#This Row],[original_price]]* (Table1[[#This Row],[Markdown percentage updated]])</f>
        <v>0</v>
      </c>
      <c r="L13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31" s="6">
        <v>25.86</v>
      </c>
      <c r="N13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31" s="7">
        <v>45875</v>
      </c>
      <c r="P1331">
        <v>46</v>
      </c>
      <c r="Q1331" s="16" t="str">
        <f>IF(Table1[[#This Row],[stock_quantity]]=0,"NO STOCK",
IF(Table1[[#This Row],[stock_quantity]]&lt;=10,"LOW STOCK",
"IN STOCK"))</f>
        <v>IN STOCK</v>
      </c>
      <c r="R1331" s="1">
        <f t="shared" si="82"/>
        <v>1.5</v>
      </c>
      <c r="S1331">
        <v>1.5</v>
      </c>
      <c r="T1331" t="b">
        <v>0</v>
      </c>
      <c r="U1331" t="str">
        <f t="shared" si="83"/>
        <v>No Return</v>
      </c>
    </row>
    <row r="1332" spans="1:21" hidden="1" x14ac:dyDescent="0.3">
      <c r="A1332" t="s">
        <v>1385</v>
      </c>
      <c r="B1332" t="s">
        <v>21</v>
      </c>
      <c r="C1332" t="s">
        <v>48</v>
      </c>
      <c r="D1332" t="s">
        <v>34</v>
      </c>
      <c r="E1332" t="str">
        <f t="shared" si="80"/>
        <v>XL</v>
      </c>
      <c r="F1332" t="s">
        <v>39</v>
      </c>
      <c r="G1332" t="s">
        <v>46</v>
      </c>
      <c r="H1332" s="8">
        <v>91.67</v>
      </c>
      <c r="I1332" s="3">
        <f t="shared" si="81"/>
        <v>0.23699999999999999</v>
      </c>
      <c r="J1332" s="4">
        <v>23.7</v>
      </c>
      <c r="K1332" s="11">
        <f>Table1[[#This Row],[original_price]]* (Table1[[#This Row],[Markdown percentage updated]])</f>
        <v>21.72579</v>
      </c>
      <c r="L13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32" s="6">
        <v>69.94</v>
      </c>
      <c r="N13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32" s="7">
        <v>45875</v>
      </c>
      <c r="P1332">
        <v>3</v>
      </c>
      <c r="Q1332" s="17" t="str">
        <f>IF(Table1[[#This Row],[stock_quantity]]=0,"NO STOCK",
IF(Table1[[#This Row],[stock_quantity]]&lt;=10,"LOW STOCK",
"IN STOCK"))</f>
        <v>LOW STOCK</v>
      </c>
      <c r="R1332" s="1">
        <f t="shared" si="82"/>
        <v>3.7</v>
      </c>
      <c r="S1332">
        <v>3.7</v>
      </c>
      <c r="T1332" t="b">
        <v>0</v>
      </c>
      <c r="U1332" t="str">
        <f t="shared" si="83"/>
        <v>No Return</v>
      </c>
    </row>
    <row r="1333" spans="1:21" hidden="1" x14ac:dyDescent="0.3">
      <c r="A1333" t="s">
        <v>1386</v>
      </c>
      <c r="B1333" t="s">
        <v>38</v>
      </c>
      <c r="C1333" t="s">
        <v>22</v>
      </c>
      <c r="D1333" t="s">
        <v>34</v>
      </c>
      <c r="E1333" t="str">
        <f t="shared" si="80"/>
        <v>L</v>
      </c>
      <c r="F1333" t="s">
        <v>24</v>
      </c>
      <c r="G1333" t="s">
        <v>44</v>
      </c>
      <c r="H1333" s="8">
        <v>25.29</v>
      </c>
      <c r="I1333" s="3">
        <f t="shared" si="81"/>
        <v>7.9000000000000001E-2</v>
      </c>
      <c r="J1333" s="4">
        <v>7.9</v>
      </c>
      <c r="K1333" s="11">
        <f>Table1[[#This Row],[original_price]]* (Table1[[#This Row],[Markdown percentage updated]])</f>
        <v>1.9979099999999999</v>
      </c>
      <c r="L13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33" s="6">
        <v>23.29</v>
      </c>
      <c r="N13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33" s="7">
        <v>45875</v>
      </c>
      <c r="P1333">
        <v>39</v>
      </c>
      <c r="Q1333" s="16" t="str">
        <f>IF(Table1[[#This Row],[stock_quantity]]=0,"NO STOCK",
IF(Table1[[#This Row],[stock_quantity]]&lt;=10,"LOW STOCK",
"IN STOCK"))</f>
        <v>IN STOCK</v>
      </c>
      <c r="R1333" s="1">
        <f t="shared" si="82"/>
        <v>1.7</v>
      </c>
      <c r="S1333">
        <v>1.7</v>
      </c>
      <c r="T1333" t="b">
        <v>0</v>
      </c>
      <c r="U1333" t="str">
        <f t="shared" si="83"/>
        <v>No Return</v>
      </c>
    </row>
    <row r="1334" spans="1:21" hidden="1" x14ac:dyDescent="0.3">
      <c r="A1334" t="s">
        <v>1387</v>
      </c>
      <c r="B1334" t="s">
        <v>27</v>
      </c>
      <c r="C1334" t="s">
        <v>48</v>
      </c>
      <c r="D1334" t="s">
        <v>23</v>
      </c>
      <c r="E1334" t="str">
        <f t="shared" si="80"/>
        <v>OS</v>
      </c>
      <c r="G1334" t="s">
        <v>64</v>
      </c>
      <c r="H1334" s="8">
        <v>51.61</v>
      </c>
      <c r="I1334" s="3">
        <f t="shared" si="81"/>
        <v>0.32200000000000001</v>
      </c>
      <c r="J1334" s="4">
        <v>32.200000000000003</v>
      </c>
      <c r="K1334" s="11">
        <f>Table1[[#This Row],[original_price]]* (Table1[[#This Row],[Markdown percentage updated]])</f>
        <v>16.61842</v>
      </c>
      <c r="L13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34" s="6">
        <v>34.99</v>
      </c>
      <c r="N13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334" s="7">
        <v>45875</v>
      </c>
      <c r="P1334">
        <v>34</v>
      </c>
      <c r="Q1334" s="16" t="str">
        <f>IF(Table1[[#This Row],[stock_quantity]]=0,"NO STOCK",
IF(Table1[[#This Row],[stock_quantity]]&lt;=10,"LOW STOCK",
"IN STOCK"))</f>
        <v>IN STOCK</v>
      </c>
      <c r="R1334" s="1">
        <f t="shared" si="82"/>
        <v>4.8</v>
      </c>
      <c r="S1334">
        <v>4.8</v>
      </c>
      <c r="T1334" t="b">
        <v>0</v>
      </c>
      <c r="U1334" t="str">
        <f t="shared" si="83"/>
        <v>No Return</v>
      </c>
    </row>
    <row r="1335" spans="1:21" hidden="1" x14ac:dyDescent="0.3">
      <c r="A1335" t="s">
        <v>1388</v>
      </c>
      <c r="B1335" t="s">
        <v>15</v>
      </c>
      <c r="C1335" t="s">
        <v>32</v>
      </c>
      <c r="D1335" t="s">
        <v>62</v>
      </c>
      <c r="E1335" t="str">
        <f t="shared" si="80"/>
        <v>XS</v>
      </c>
      <c r="F1335" t="s">
        <v>18</v>
      </c>
      <c r="G1335" t="s">
        <v>28</v>
      </c>
      <c r="H1335" s="8">
        <v>143.61000000000001</v>
      </c>
      <c r="I1335" s="3">
        <f t="shared" si="81"/>
        <v>0.24600000000000002</v>
      </c>
      <c r="J1335" s="4">
        <v>24.6</v>
      </c>
      <c r="K1335" s="11">
        <f>Table1[[#This Row],[original_price]]* (Table1[[#This Row],[Markdown percentage updated]])</f>
        <v>35.328060000000008</v>
      </c>
      <c r="L13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35" s="6">
        <v>108.28</v>
      </c>
      <c r="N13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35" s="7">
        <v>45875</v>
      </c>
      <c r="P1335">
        <v>50</v>
      </c>
      <c r="Q1335" s="16" t="str">
        <f>IF(Table1[[#This Row],[stock_quantity]]=0,"NO STOCK",
IF(Table1[[#This Row],[stock_quantity]]&lt;=10,"LOW STOCK",
"IN STOCK"))</f>
        <v>IN STOCK</v>
      </c>
      <c r="R1335" s="1">
        <f t="shared" si="82"/>
        <v>4.0999999999999996</v>
      </c>
      <c r="S1335">
        <v>4.0999999999999996</v>
      </c>
      <c r="T1335" t="b">
        <v>0</v>
      </c>
      <c r="U1335" t="str">
        <f t="shared" si="83"/>
        <v>No Return</v>
      </c>
    </row>
    <row r="1336" spans="1:21" hidden="1" x14ac:dyDescent="0.3">
      <c r="A1336" t="s">
        <v>1389</v>
      </c>
      <c r="B1336" t="s">
        <v>38</v>
      </c>
      <c r="C1336" t="s">
        <v>61</v>
      </c>
      <c r="D1336" t="s">
        <v>62</v>
      </c>
      <c r="E1336" t="str">
        <f t="shared" si="80"/>
        <v>XXL</v>
      </c>
      <c r="F1336" t="s">
        <v>24</v>
      </c>
      <c r="G1336" t="s">
        <v>19</v>
      </c>
      <c r="H1336" s="8">
        <v>45.48</v>
      </c>
      <c r="I1336" s="3">
        <f t="shared" si="81"/>
        <v>0</v>
      </c>
      <c r="J1336" s="4">
        <v>0</v>
      </c>
      <c r="K1336" s="11">
        <f>Table1[[#This Row],[original_price]]* (Table1[[#This Row],[Markdown percentage updated]])</f>
        <v>0</v>
      </c>
      <c r="L13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36" s="6">
        <v>45.48</v>
      </c>
      <c r="N13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36" s="7">
        <v>45875</v>
      </c>
      <c r="P1336">
        <v>29</v>
      </c>
      <c r="Q1336" s="16" t="str">
        <f>IF(Table1[[#This Row],[stock_quantity]]=0,"NO STOCK",
IF(Table1[[#This Row],[stock_quantity]]&lt;=10,"LOW STOCK",
"IN STOCK"))</f>
        <v>IN STOCK</v>
      </c>
      <c r="R1336" s="1">
        <f t="shared" si="82"/>
        <v>2.2999999999999998</v>
      </c>
      <c r="S1336">
        <v>2.2999999999999998</v>
      </c>
      <c r="T1336" t="b">
        <v>0</v>
      </c>
      <c r="U1336" t="str">
        <f t="shared" si="83"/>
        <v>No Return</v>
      </c>
    </row>
    <row r="1337" spans="1:21" hidden="1" x14ac:dyDescent="0.3">
      <c r="A1337" t="s">
        <v>1390</v>
      </c>
      <c r="B1337" t="s">
        <v>30</v>
      </c>
      <c r="C1337" t="s">
        <v>16</v>
      </c>
      <c r="D1337" t="s">
        <v>62</v>
      </c>
      <c r="E1337" t="str">
        <f t="shared" si="80"/>
        <v>OS</v>
      </c>
      <c r="G1337" t="s">
        <v>35</v>
      </c>
      <c r="H1337" s="8">
        <v>177.79</v>
      </c>
      <c r="I1337" s="3">
        <f t="shared" si="81"/>
        <v>0.107</v>
      </c>
      <c r="J1337" s="4">
        <v>10.7</v>
      </c>
      <c r="K1337" s="11">
        <f>Table1[[#This Row],[original_price]]* (Table1[[#This Row],[Markdown percentage updated]])</f>
        <v>19.023529999999997</v>
      </c>
      <c r="L13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37" s="6">
        <v>158.77000000000001</v>
      </c>
      <c r="N13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337" s="7">
        <v>45875</v>
      </c>
      <c r="P1337">
        <v>37</v>
      </c>
      <c r="Q1337" s="16" t="str">
        <f>IF(Table1[[#This Row],[stock_quantity]]=0,"NO STOCK",
IF(Table1[[#This Row],[stock_quantity]]&lt;=10,"LOW STOCK",
"IN STOCK"))</f>
        <v>IN STOCK</v>
      </c>
      <c r="R1337" s="1">
        <f t="shared" si="82"/>
        <v>0</v>
      </c>
      <c r="T1337" t="b">
        <v>0</v>
      </c>
      <c r="U1337" t="str">
        <f t="shared" si="83"/>
        <v>No Return</v>
      </c>
    </row>
    <row r="1338" spans="1:21" hidden="1" x14ac:dyDescent="0.3">
      <c r="A1338" t="s">
        <v>1391</v>
      </c>
      <c r="B1338" t="s">
        <v>15</v>
      </c>
      <c r="C1338" t="s">
        <v>61</v>
      </c>
      <c r="D1338" t="s">
        <v>34</v>
      </c>
      <c r="E1338" t="str">
        <f t="shared" si="80"/>
        <v>XXL</v>
      </c>
      <c r="F1338" t="s">
        <v>55</v>
      </c>
      <c r="G1338" t="s">
        <v>66</v>
      </c>
      <c r="H1338" s="8">
        <v>145.1</v>
      </c>
      <c r="I1338" s="3">
        <f t="shared" si="81"/>
        <v>0.34200000000000003</v>
      </c>
      <c r="J1338" s="4">
        <v>34.200000000000003</v>
      </c>
      <c r="K1338" s="11">
        <f>Table1[[#This Row],[original_price]]* (Table1[[#This Row],[Markdown percentage updated]])</f>
        <v>49.624200000000002</v>
      </c>
      <c r="L13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38" s="6">
        <v>95.48</v>
      </c>
      <c r="N13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38" s="7">
        <v>45875</v>
      </c>
      <c r="P1338">
        <v>14</v>
      </c>
      <c r="Q1338" s="16" t="str">
        <f>IF(Table1[[#This Row],[stock_quantity]]=0,"NO STOCK",
IF(Table1[[#This Row],[stock_quantity]]&lt;=10,"LOW STOCK",
"IN STOCK"))</f>
        <v>IN STOCK</v>
      </c>
      <c r="R1338" s="1">
        <f t="shared" si="82"/>
        <v>0</v>
      </c>
      <c r="T1338" t="b">
        <v>0</v>
      </c>
      <c r="U1338" t="str">
        <f t="shared" si="83"/>
        <v>No Return</v>
      </c>
    </row>
    <row r="1339" spans="1:21" hidden="1" x14ac:dyDescent="0.3">
      <c r="A1339" t="s">
        <v>1392</v>
      </c>
      <c r="B1339" t="s">
        <v>30</v>
      </c>
      <c r="C1339" t="s">
        <v>53</v>
      </c>
      <c r="D1339" t="s">
        <v>62</v>
      </c>
      <c r="E1339" t="str">
        <f t="shared" si="80"/>
        <v>XS</v>
      </c>
      <c r="F1339" t="s">
        <v>49</v>
      </c>
      <c r="G1339" t="s">
        <v>64</v>
      </c>
      <c r="H1339" s="8">
        <v>190.78</v>
      </c>
      <c r="I1339" s="3">
        <f t="shared" si="81"/>
        <v>0</v>
      </c>
      <c r="J1339" s="4">
        <v>0</v>
      </c>
      <c r="K1339" s="11">
        <f>Table1[[#This Row],[original_price]]* (Table1[[#This Row],[Markdown percentage updated]])</f>
        <v>0</v>
      </c>
      <c r="L13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39" s="6">
        <v>190.78</v>
      </c>
      <c r="N13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39" s="7">
        <v>45875</v>
      </c>
      <c r="P1339">
        <v>39</v>
      </c>
      <c r="Q1339" s="16" t="str">
        <f>IF(Table1[[#This Row],[stock_quantity]]=0,"NO STOCK",
IF(Table1[[#This Row],[stock_quantity]]&lt;=10,"LOW STOCK",
"IN STOCK"))</f>
        <v>IN STOCK</v>
      </c>
      <c r="R1339" s="1">
        <f t="shared" si="82"/>
        <v>3.7</v>
      </c>
      <c r="S1339">
        <v>3.7</v>
      </c>
      <c r="T1339" t="b">
        <v>0</v>
      </c>
      <c r="U1339" t="str">
        <f t="shared" si="83"/>
        <v>No Return</v>
      </c>
    </row>
    <row r="1340" spans="1:21" hidden="1" x14ac:dyDescent="0.3">
      <c r="A1340" t="s">
        <v>1393</v>
      </c>
      <c r="B1340" t="s">
        <v>27</v>
      </c>
      <c r="C1340" t="s">
        <v>75</v>
      </c>
      <c r="D1340" t="s">
        <v>34</v>
      </c>
      <c r="E1340" t="str">
        <f t="shared" si="80"/>
        <v>XS</v>
      </c>
      <c r="G1340" t="s">
        <v>44</v>
      </c>
      <c r="H1340" s="8">
        <v>44.73</v>
      </c>
      <c r="I1340" s="3">
        <f t="shared" si="81"/>
        <v>0</v>
      </c>
      <c r="J1340" s="4">
        <v>0</v>
      </c>
      <c r="K1340" s="11">
        <f>Table1[[#This Row],[original_price]]* (Table1[[#This Row],[Markdown percentage updated]])</f>
        <v>0</v>
      </c>
      <c r="L13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40" s="6">
        <v>44.73</v>
      </c>
      <c r="N13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40" s="7">
        <v>45875</v>
      </c>
      <c r="P1340">
        <v>25</v>
      </c>
      <c r="Q1340" s="16" t="str">
        <f>IF(Table1[[#This Row],[stock_quantity]]=0,"NO STOCK",
IF(Table1[[#This Row],[stock_quantity]]&lt;=10,"LOW STOCK",
"IN STOCK"))</f>
        <v>IN STOCK</v>
      </c>
      <c r="R1340" s="1">
        <f t="shared" si="82"/>
        <v>1.1000000000000001</v>
      </c>
      <c r="S1340">
        <v>1.1000000000000001</v>
      </c>
      <c r="T1340" t="b">
        <v>0</v>
      </c>
      <c r="U1340" t="str">
        <f t="shared" si="83"/>
        <v>No Return</v>
      </c>
    </row>
    <row r="1341" spans="1:21" hidden="1" x14ac:dyDescent="0.3">
      <c r="A1341" t="s">
        <v>1394</v>
      </c>
      <c r="B1341" t="s">
        <v>30</v>
      </c>
      <c r="C1341" t="s">
        <v>32</v>
      </c>
      <c r="D1341" t="s">
        <v>23</v>
      </c>
      <c r="E1341" t="str">
        <f t="shared" si="80"/>
        <v>OS</v>
      </c>
      <c r="F1341" t="s">
        <v>49</v>
      </c>
      <c r="G1341" t="s">
        <v>35</v>
      </c>
      <c r="H1341" s="8">
        <v>65.48</v>
      </c>
      <c r="I1341" s="3">
        <f t="shared" si="81"/>
        <v>0</v>
      </c>
      <c r="J1341" s="4">
        <v>0</v>
      </c>
      <c r="K1341" s="11">
        <f>Table1[[#This Row],[original_price]]* (Table1[[#This Row],[Markdown percentage updated]])</f>
        <v>0</v>
      </c>
      <c r="L13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41" s="6">
        <v>65.48</v>
      </c>
      <c r="N13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41" s="7">
        <v>45875</v>
      </c>
      <c r="P1341">
        <v>7</v>
      </c>
      <c r="Q1341" s="17" t="str">
        <f>IF(Table1[[#This Row],[stock_quantity]]=0,"NO STOCK",
IF(Table1[[#This Row],[stock_quantity]]&lt;=10,"LOW STOCK",
"IN STOCK"))</f>
        <v>LOW STOCK</v>
      </c>
      <c r="R1341" s="1">
        <f t="shared" si="82"/>
        <v>4.5999999999999996</v>
      </c>
      <c r="S1341">
        <v>4.5999999999999996</v>
      </c>
      <c r="T1341" t="b">
        <v>0</v>
      </c>
      <c r="U1341" t="str">
        <f t="shared" si="83"/>
        <v>No Return</v>
      </c>
    </row>
    <row r="1342" spans="1:21" hidden="1" x14ac:dyDescent="0.3">
      <c r="A1342" t="s">
        <v>1395</v>
      </c>
      <c r="B1342" t="s">
        <v>30</v>
      </c>
      <c r="C1342" t="s">
        <v>61</v>
      </c>
      <c r="D1342" t="s">
        <v>17</v>
      </c>
      <c r="E1342" t="str">
        <f t="shared" si="80"/>
        <v>XS</v>
      </c>
      <c r="F1342" t="s">
        <v>55</v>
      </c>
      <c r="G1342" t="s">
        <v>66</v>
      </c>
      <c r="H1342" s="8">
        <v>86.1</v>
      </c>
      <c r="I1342" s="3">
        <f t="shared" si="81"/>
        <v>0</v>
      </c>
      <c r="J1342" s="4">
        <v>0</v>
      </c>
      <c r="K1342" s="11">
        <f>Table1[[#This Row],[original_price]]* (Table1[[#This Row],[Markdown percentage updated]])</f>
        <v>0</v>
      </c>
      <c r="L13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42" s="6">
        <v>86.1</v>
      </c>
      <c r="N13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42" s="7">
        <v>45653</v>
      </c>
      <c r="P1342">
        <v>4</v>
      </c>
      <c r="Q1342" s="17" t="str">
        <f>IF(Table1[[#This Row],[stock_quantity]]=0,"NO STOCK",
IF(Table1[[#This Row],[stock_quantity]]&lt;=10,"LOW STOCK",
"IN STOCK"))</f>
        <v>LOW STOCK</v>
      </c>
      <c r="R1342" s="1">
        <f t="shared" si="82"/>
        <v>2.4</v>
      </c>
      <c r="S1342">
        <v>2.4</v>
      </c>
      <c r="T1342" t="b">
        <v>0</v>
      </c>
      <c r="U1342" t="str">
        <f t="shared" si="83"/>
        <v>No Return</v>
      </c>
    </row>
    <row r="1343" spans="1:21" hidden="1" x14ac:dyDescent="0.3">
      <c r="A1343" t="s">
        <v>1396</v>
      </c>
      <c r="B1343" t="s">
        <v>38</v>
      </c>
      <c r="C1343" t="s">
        <v>22</v>
      </c>
      <c r="D1343" t="s">
        <v>23</v>
      </c>
      <c r="E1343" t="str">
        <f t="shared" si="80"/>
        <v>XL</v>
      </c>
      <c r="F1343" t="s">
        <v>55</v>
      </c>
      <c r="G1343" t="s">
        <v>46</v>
      </c>
      <c r="H1343" s="8">
        <v>100.14</v>
      </c>
      <c r="I1343" s="3">
        <f t="shared" si="81"/>
        <v>0</v>
      </c>
      <c r="J1343" s="4">
        <v>0</v>
      </c>
      <c r="K1343" s="11">
        <f>Table1[[#This Row],[original_price]]* (Table1[[#This Row],[Markdown percentage updated]])</f>
        <v>0</v>
      </c>
      <c r="L13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43" s="6">
        <v>100.14</v>
      </c>
      <c r="N13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43" s="7">
        <v>45875</v>
      </c>
      <c r="P1343">
        <v>48</v>
      </c>
      <c r="Q1343" s="16" t="str">
        <f>IF(Table1[[#This Row],[stock_quantity]]=0,"NO STOCK",
IF(Table1[[#This Row],[stock_quantity]]&lt;=10,"LOW STOCK",
"IN STOCK"))</f>
        <v>IN STOCK</v>
      </c>
      <c r="R1343" s="1">
        <f t="shared" si="82"/>
        <v>4.2</v>
      </c>
      <c r="S1343">
        <v>4.2</v>
      </c>
      <c r="T1343" t="b">
        <v>0</v>
      </c>
      <c r="U1343" t="str">
        <f t="shared" si="83"/>
        <v>No Return</v>
      </c>
    </row>
    <row r="1344" spans="1:21" hidden="1" x14ac:dyDescent="0.3">
      <c r="A1344" t="s">
        <v>1397</v>
      </c>
      <c r="B1344" t="s">
        <v>15</v>
      </c>
      <c r="C1344" t="s">
        <v>32</v>
      </c>
      <c r="D1344" t="s">
        <v>23</v>
      </c>
      <c r="E1344" t="str">
        <f t="shared" si="80"/>
        <v>L</v>
      </c>
      <c r="G1344" t="s">
        <v>19</v>
      </c>
      <c r="H1344" s="8">
        <v>203.4</v>
      </c>
      <c r="I1344" s="3">
        <f t="shared" si="81"/>
        <v>0</v>
      </c>
      <c r="J1344" s="4">
        <v>0</v>
      </c>
      <c r="K1344" s="11">
        <f>Table1[[#This Row],[original_price]]* (Table1[[#This Row],[Markdown percentage updated]])</f>
        <v>0</v>
      </c>
      <c r="L13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44" s="6">
        <v>203.4</v>
      </c>
      <c r="N13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44" s="7">
        <v>45875</v>
      </c>
      <c r="P1344">
        <v>18</v>
      </c>
      <c r="Q1344" s="16" t="str">
        <f>IF(Table1[[#This Row],[stock_quantity]]=0,"NO STOCK",
IF(Table1[[#This Row],[stock_quantity]]&lt;=10,"LOW STOCK",
"IN STOCK"))</f>
        <v>IN STOCK</v>
      </c>
      <c r="R1344" s="1">
        <f t="shared" si="82"/>
        <v>1.8</v>
      </c>
      <c r="S1344">
        <v>1.8</v>
      </c>
      <c r="T1344" t="b">
        <v>0</v>
      </c>
      <c r="U1344" t="str">
        <f t="shared" si="83"/>
        <v>No Return</v>
      </c>
    </row>
    <row r="1345" spans="1:22" hidden="1" x14ac:dyDescent="0.3">
      <c r="A1345" t="s">
        <v>1398</v>
      </c>
      <c r="B1345" t="s">
        <v>21</v>
      </c>
      <c r="C1345" t="s">
        <v>61</v>
      </c>
      <c r="D1345" t="s">
        <v>23</v>
      </c>
      <c r="E1345" t="str">
        <f t="shared" si="80"/>
        <v>XS</v>
      </c>
      <c r="F1345" t="s">
        <v>55</v>
      </c>
      <c r="G1345" t="s">
        <v>35</v>
      </c>
      <c r="H1345" s="8">
        <v>95.22</v>
      </c>
      <c r="I1345" s="3">
        <f t="shared" si="81"/>
        <v>0.24399999999999999</v>
      </c>
      <c r="J1345" s="4">
        <v>24.4</v>
      </c>
      <c r="K1345" s="11">
        <f>Table1[[#This Row],[original_price]]* (Table1[[#This Row],[Markdown percentage updated]])</f>
        <v>23.23368</v>
      </c>
      <c r="L13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45" s="6">
        <v>71.989999999999995</v>
      </c>
      <c r="N13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45" s="7">
        <v>45875</v>
      </c>
      <c r="P1345">
        <v>26</v>
      </c>
      <c r="Q1345" s="16" t="str">
        <f>IF(Table1[[#This Row],[stock_quantity]]=0,"NO STOCK",
IF(Table1[[#This Row],[stock_quantity]]&lt;=10,"LOW STOCK",
"IN STOCK"))</f>
        <v>IN STOCK</v>
      </c>
      <c r="R1345" s="1">
        <f t="shared" si="82"/>
        <v>2.2999999999999998</v>
      </c>
      <c r="S1345">
        <v>2.2999999999999998</v>
      </c>
      <c r="T1345" t="b">
        <v>0</v>
      </c>
      <c r="U1345" t="str">
        <f t="shared" si="83"/>
        <v>No Return</v>
      </c>
    </row>
    <row r="1346" spans="1:22" hidden="1" x14ac:dyDescent="0.3">
      <c r="A1346" t="s">
        <v>1399</v>
      </c>
      <c r="B1346" t="s">
        <v>42</v>
      </c>
      <c r="C1346" t="s">
        <v>48</v>
      </c>
      <c r="D1346" t="s">
        <v>34</v>
      </c>
      <c r="E1346" t="str">
        <f t="shared" ref="E1346:E1409" si="84">IF(ISBLANK(F1349),"OS",F1349)</f>
        <v>XS</v>
      </c>
      <c r="F1346" t="s">
        <v>18</v>
      </c>
      <c r="G1346" t="s">
        <v>19</v>
      </c>
      <c r="H1346" s="8">
        <v>173.88</v>
      </c>
      <c r="I1346" s="3">
        <f t="shared" ref="I1346:I1409" si="85">J1346/100</f>
        <v>0.316</v>
      </c>
      <c r="J1346" s="4">
        <v>31.6</v>
      </c>
      <c r="K1346" s="11">
        <f>Table1[[#This Row],[original_price]]* (Table1[[#This Row],[Markdown percentage updated]])</f>
        <v>54.946080000000002</v>
      </c>
      <c r="L13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46" s="6">
        <v>118.93</v>
      </c>
      <c r="N13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46" s="7">
        <v>45875</v>
      </c>
      <c r="P1346">
        <v>5</v>
      </c>
      <c r="Q1346" s="17" t="str">
        <f>IF(Table1[[#This Row],[stock_quantity]]=0,"NO STOCK",
IF(Table1[[#This Row],[stock_quantity]]&lt;=10,"LOW STOCK",
"IN STOCK"))</f>
        <v>LOW STOCK</v>
      </c>
      <c r="R1346" s="1">
        <f t="shared" si="82"/>
        <v>3.2</v>
      </c>
      <c r="S1346">
        <v>3.2</v>
      </c>
      <c r="T1346" t="b">
        <v>0</v>
      </c>
      <c r="U1346" t="str">
        <f t="shared" si="83"/>
        <v>No Return</v>
      </c>
    </row>
    <row r="1347" spans="1:22" hidden="1" x14ac:dyDescent="0.3">
      <c r="A1347" t="s">
        <v>1400</v>
      </c>
      <c r="B1347" t="s">
        <v>42</v>
      </c>
      <c r="C1347" t="s">
        <v>48</v>
      </c>
      <c r="D1347" t="s">
        <v>23</v>
      </c>
      <c r="E1347" t="str">
        <f t="shared" si="84"/>
        <v>XL</v>
      </c>
      <c r="F1347" t="s">
        <v>24</v>
      </c>
      <c r="G1347" t="s">
        <v>56</v>
      </c>
      <c r="H1347" s="8">
        <v>160.05000000000001</v>
      </c>
      <c r="I1347" s="3">
        <f t="shared" si="85"/>
        <v>0</v>
      </c>
      <c r="J1347" s="4">
        <v>0</v>
      </c>
      <c r="K1347" s="11">
        <f>Table1[[#This Row],[original_price]]* (Table1[[#This Row],[Markdown percentage updated]])</f>
        <v>0</v>
      </c>
      <c r="L13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47" s="6">
        <v>160.05000000000001</v>
      </c>
      <c r="N13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47" s="7">
        <v>45875</v>
      </c>
      <c r="P1347">
        <v>23</v>
      </c>
      <c r="Q1347" s="16" t="str">
        <f>IF(Table1[[#This Row],[stock_quantity]]=0,"NO STOCK",
IF(Table1[[#This Row],[stock_quantity]]&lt;=10,"LOW STOCK",
"IN STOCK"))</f>
        <v>IN STOCK</v>
      </c>
      <c r="R1347" s="1">
        <f t="shared" ref="R1347:R1410" si="86">IF(ISBLANK(S1347), 0, S1347)</f>
        <v>4</v>
      </c>
      <c r="S1347">
        <v>4</v>
      </c>
      <c r="T1347" t="b">
        <v>0</v>
      </c>
      <c r="U1347" t="str">
        <f t="shared" ref="U1347:U1410" si="87">IF(V1347="","No Return",V1347)</f>
        <v>No Return</v>
      </c>
    </row>
    <row r="1348" spans="1:22" hidden="1" x14ac:dyDescent="0.3">
      <c r="A1348" t="s">
        <v>1401</v>
      </c>
      <c r="B1348" t="s">
        <v>21</v>
      </c>
      <c r="C1348" t="s">
        <v>75</v>
      </c>
      <c r="D1348" t="s">
        <v>23</v>
      </c>
      <c r="E1348" t="str">
        <f t="shared" si="84"/>
        <v>XXL</v>
      </c>
      <c r="F1348" t="s">
        <v>55</v>
      </c>
      <c r="G1348" t="s">
        <v>44</v>
      </c>
      <c r="H1348" s="8">
        <v>59.53</v>
      </c>
      <c r="I1348" s="3">
        <f t="shared" si="85"/>
        <v>0</v>
      </c>
      <c r="J1348" s="4">
        <v>0</v>
      </c>
      <c r="K1348" s="11">
        <f>Table1[[#This Row],[original_price]]* (Table1[[#This Row],[Markdown percentage updated]])</f>
        <v>0</v>
      </c>
      <c r="L13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48" s="6">
        <v>59.53</v>
      </c>
      <c r="N13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48" s="7">
        <v>45875</v>
      </c>
      <c r="P1348">
        <v>28</v>
      </c>
      <c r="Q1348" s="16" t="str">
        <f>IF(Table1[[#This Row],[stock_quantity]]=0,"NO STOCK",
IF(Table1[[#This Row],[stock_quantity]]&lt;=10,"LOW STOCK",
"IN STOCK"))</f>
        <v>IN STOCK</v>
      </c>
      <c r="R1348" s="1">
        <f t="shared" si="86"/>
        <v>1.5</v>
      </c>
      <c r="S1348">
        <v>1.5</v>
      </c>
      <c r="T1348" t="b">
        <v>0</v>
      </c>
      <c r="U1348" t="str">
        <f t="shared" si="87"/>
        <v>No Return</v>
      </c>
    </row>
    <row r="1349" spans="1:22" hidden="1" x14ac:dyDescent="0.3">
      <c r="A1349" t="s">
        <v>1402</v>
      </c>
      <c r="B1349" t="s">
        <v>42</v>
      </c>
      <c r="C1349" t="s">
        <v>43</v>
      </c>
      <c r="D1349" t="s">
        <v>34</v>
      </c>
      <c r="E1349" t="str">
        <f t="shared" si="84"/>
        <v>M</v>
      </c>
      <c r="F1349" t="s">
        <v>55</v>
      </c>
      <c r="G1349" t="s">
        <v>44</v>
      </c>
      <c r="H1349" s="8">
        <v>155.32</v>
      </c>
      <c r="I1349" s="3">
        <f t="shared" si="85"/>
        <v>0</v>
      </c>
      <c r="J1349" s="4">
        <v>0</v>
      </c>
      <c r="K1349" s="11">
        <f>Table1[[#This Row],[original_price]]* (Table1[[#This Row],[Markdown percentage updated]])</f>
        <v>0</v>
      </c>
      <c r="L13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49" s="6">
        <v>155.32</v>
      </c>
      <c r="N13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49" s="7">
        <v>45875</v>
      </c>
      <c r="P1349">
        <v>19</v>
      </c>
      <c r="Q1349" s="16" t="str">
        <f>IF(Table1[[#This Row],[stock_quantity]]=0,"NO STOCK",
IF(Table1[[#This Row],[stock_quantity]]&lt;=10,"LOW STOCK",
"IN STOCK"))</f>
        <v>IN STOCK</v>
      </c>
      <c r="R1349" s="1">
        <f t="shared" si="86"/>
        <v>4.0999999999999996</v>
      </c>
      <c r="S1349">
        <v>4.0999999999999996</v>
      </c>
      <c r="T1349" t="b">
        <v>0</v>
      </c>
      <c r="U1349" t="str">
        <f t="shared" si="87"/>
        <v>No Return</v>
      </c>
    </row>
    <row r="1350" spans="1:22" hidden="1" x14ac:dyDescent="0.3">
      <c r="A1350" t="s">
        <v>1403</v>
      </c>
      <c r="B1350" t="s">
        <v>38</v>
      </c>
      <c r="C1350" t="s">
        <v>75</v>
      </c>
      <c r="D1350" t="s">
        <v>17</v>
      </c>
      <c r="E1350" t="str">
        <f t="shared" si="84"/>
        <v>M</v>
      </c>
      <c r="F1350" t="s">
        <v>18</v>
      </c>
      <c r="G1350" t="s">
        <v>28</v>
      </c>
      <c r="H1350" s="8">
        <v>29.65</v>
      </c>
      <c r="I1350" s="3">
        <f t="shared" si="85"/>
        <v>0.41</v>
      </c>
      <c r="J1350" s="4">
        <v>41</v>
      </c>
      <c r="K1350" s="11">
        <f>Table1[[#This Row],[original_price]]* (Table1[[#This Row],[Markdown percentage updated]])</f>
        <v>12.156499999999999</v>
      </c>
      <c r="L13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50" s="6">
        <v>17.489999999999998</v>
      </c>
      <c r="N13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350" s="7">
        <v>45530</v>
      </c>
      <c r="P1350">
        <v>21</v>
      </c>
      <c r="Q1350" s="16" t="str">
        <f>IF(Table1[[#This Row],[stock_quantity]]=0,"NO STOCK",
IF(Table1[[#This Row],[stock_quantity]]&lt;=10,"LOW STOCK",
"IN STOCK"))</f>
        <v>IN STOCK</v>
      </c>
      <c r="R1350" s="1">
        <f t="shared" si="86"/>
        <v>4.5</v>
      </c>
      <c r="S1350">
        <v>4.5</v>
      </c>
      <c r="T1350" t="b">
        <v>1</v>
      </c>
      <c r="U1350" s="13" t="str">
        <f t="shared" si="87"/>
        <v>Quality Issue</v>
      </c>
      <c r="V1350" t="s">
        <v>83</v>
      </c>
    </row>
    <row r="1351" spans="1:22" hidden="1" x14ac:dyDescent="0.3">
      <c r="A1351" t="s">
        <v>1404</v>
      </c>
      <c r="B1351" t="s">
        <v>15</v>
      </c>
      <c r="C1351" t="s">
        <v>43</v>
      </c>
      <c r="D1351" t="s">
        <v>23</v>
      </c>
      <c r="E1351" t="str">
        <f t="shared" si="84"/>
        <v>XXL</v>
      </c>
      <c r="F1351" t="s">
        <v>49</v>
      </c>
      <c r="G1351" t="s">
        <v>70</v>
      </c>
      <c r="H1351" s="8">
        <v>237.53</v>
      </c>
      <c r="I1351" s="3">
        <f t="shared" si="85"/>
        <v>0.23199999999999998</v>
      </c>
      <c r="J1351" s="4">
        <v>23.2</v>
      </c>
      <c r="K1351" s="11">
        <f>Table1[[#This Row],[original_price]]* (Table1[[#This Row],[Markdown percentage updated]])</f>
        <v>55.106959999999994</v>
      </c>
      <c r="L13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51" s="6">
        <v>182.42</v>
      </c>
      <c r="N13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51" s="7">
        <v>45875</v>
      </c>
      <c r="P1351">
        <v>23</v>
      </c>
      <c r="Q1351" s="16" t="str">
        <f>IF(Table1[[#This Row],[stock_quantity]]=0,"NO STOCK",
IF(Table1[[#This Row],[stock_quantity]]&lt;=10,"LOW STOCK",
"IN STOCK"))</f>
        <v>IN STOCK</v>
      </c>
      <c r="R1351" s="1">
        <f t="shared" si="86"/>
        <v>2.2000000000000002</v>
      </c>
      <c r="S1351">
        <v>2.2000000000000002</v>
      </c>
      <c r="T1351" t="b">
        <v>0</v>
      </c>
      <c r="U1351" t="str">
        <f t="shared" si="87"/>
        <v>No Return</v>
      </c>
    </row>
    <row r="1352" spans="1:22" hidden="1" x14ac:dyDescent="0.3">
      <c r="A1352" t="s">
        <v>1405</v>
      </c>
      <c r="B1352" t="s">
        <v>15</v>
      </c>
      <c r="C1352" t="s">
        <v>53</v>
      </c>
      <c r="D1352" t="s">
        <v>62</v>
      </c>
      <c r="E1352" t="str">
        <f t="shared" si="84"/>
        <v>OS</v>
      </c>
      <c r="F1352" t="s">
        <v>58</v>
      </c>
      <c r="G1352" t="s">
        <v>25</v>
      </c>
      <c r="H1352" s="8">
        <v>81.67</v>
      </c>
      <c r="I1352" s="3">
        <f t="shared" si="85"/>
        <v>0</v>
      </c>
      <c r="J1352" s="4">
        <v>0</v>
      </c>
      <c r="K1352" s="11">
        <f>Table1[[#This Row],[original_price]]* (Table1[[#This Row],[Markdown percentage updated]])</f>
        <v>0</v>
      </c>
      <c r="L13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52" s="6">
        <v>81.67</v>
      </c>
      <c r="N13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52" s="7">
        <v>45875</v>
      </c>
      <c r="P1352">
        <v>34</v>
      </c>
      <c r="Q1352" s="16" t="str">
        <f>IF(Table1[[#This Row],[stock_quantity]]=0,"NO STOCK",
IF(Table1[[#This Row],[stock_quantity]]&lt;=10,"LOW STOCK",
"IN STOCK"))</f>
        <v>IN STOCK</v>
      </c>
      <c r="R1352" s="1">
        <f t="shared" si="86"/>
        <v>3.1</v>
      </c>
      <c r="S1352">
        <v>3.1</v>
      </c>
      <c r="T1352" t="b">
        <v>1</v>
      </c>
      <c r="U1352" s="13" t="str">
        <f t="shared" si="87"/>
        <v>Damaged</v>
      </c>
      <c r="V1352" t="s">
        <v>78</v>
      </c>
    </row>
    <row r="1353" spans="1:22" hidden="1" x14ac:dyDescent="0.3">
      <c r="A1353" t="s">
        <v>1406</v>
      </c>
      <c r="B1353" t="s">
        <v>38</v>
      </c>
      <c r="C1353" t="s">
        <v>32</v>
      </c>
      <c r="D1353" t="s">
        <v>17</v>
      </c>
      <c r="E1353" t="str">
        <f t="shared" si="84"/>
        <v>XXL</v>
      </c>
      <c r="F1353" t="s">
        <v>58</v>
      </c>
      <c r="G1353" t="s">
        <v>56</v>
      </c>
      <c r="H1353" s="8">
        <v>37.07</v>
      </c>
      <c r="I1353" s="3">
        <f t="shared" si="85"/>
        <v>0</v>
      </c>
      <c r="J1353" s="4">
        <v>0</v>
      </c>
      <c r="K1353" s="11">
        <f>Table1[[#This Row],[original_price]]* (Table1[[#This Row],[Markdown percentage updated]])</f>
        <v>0</v>
      </c>
      <c r="L13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53" s="6">
        <v>37.07</v>
      </c>
      <c r="N13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53" s="7">
        <v>45778</v>
      </c>
      <c r="P1353">
        <v>13</v>
      </c>
      <c r="Q1353" s="16" t="str">
        <f>IF(Table1[[#This Row],[stock_quantity]]=0,"NO STOCK",
IF(Table1[[#This Row],[stock_quantity]]&lt;=10,"LOW STOCK",
"IN STOCK"))</f>
        <v>IN STOCK</v>
      </c>
      <c r="R1353" s="1">
        <f t="shared" si="86"/>
        <v>0</v>
      </c>
      <c r="T1353" t="b">
        <v>0</v>
      </c>
      <c r="U1353" t="str">
        <f t="shared" si="87"/>
        <v>No Return</v>
      </c>
    </row>
    <row r="1354" spans="1:22" hidden="1" x14ac:dyDescent="0.3">
      <c r="A1354" t="s">
        <v>1407</v>
      </c>
      <c r="B1354" t="s">
        <v>21</v>
      </c>
      <c r="C1354" t="s">
        <v>22</v>
      </c>
      <c r="D1354" t="s">
        <v>34</v>
      </c>
      <c r="E1354" t="str">
        <f t="shared" si="84"/>
        <v>XL</v>
      </c>
      <c r="F1354" t="s">
        <v>49</v>
      </c>
      <c r="G1354" t="s">
        <v>66</v>
      </c>
      <c r="H1354" s="8">
        <v>80.97</v>
      </c>
      <c r="I1354" s="3">
        <f t="shared" si="85"/>
        <v>0</v>
      </c>
      <c r="J1354" s="4">
        <v>0</v>
      </c>
      <c r="K1354" s="11">
        <f>Table1[[#This Row],[original_price]]* (Table1[[#This Row],[Markdown percentage updated]])</f>
        <v>0</v>
      </c>
      <c r="L13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54" s="6">
        <v>80.97</v>
      </c>
      <c r="N13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54" s="7">
        <v>45875</v>
      </c>
      <c r="P1354">
        <v>13</v>
      </c>
      <c r="Q1354" s="16" t="str">
        <f>IF(Table1[[#This Row],[stock_quantity]]=0,"NO STOCK",
IF(Table1[[#This Row],[stock_quantity]]&lt;=10,"LOW STOCK",
"IN STOCK"))</f>
        <v>IN STOCK</v>
      </c>
      <c r="R1354" s="1">
        <f t="shared" si="86"/>
        <v>0</v>
      </c>
      <c r="T1354" t="b">
        <v>0</v>
      </c>
      <c r="U1354" t="str">
        <f t="shared" si="87"/>
        <v>No Return</v>
      </c>
    </row>
    <row r="1355" spans="1:22" hidden="1" x14ac:dyDescent="0.3">
      <c r="A1355" t="s">
        <v>1408</v>
      </c>
      <c r="B1355" t="s">
        <v>27</v>
      </c>
      <c r="C1355" t="s">
        <v>16</v>
      </c>
      <c r="D1355" t="s">
        <v>17</v>
      </c>
      <c r="E1355" t="str">
        <f t="shared" si="84"/>
        <v>XS</v>
      </c>
      <c r="G1355" t="s">
        <v>40</v>
      </c>
      <c r="H1355" s="8">
        <v>77.680000000000007</v>
      </c>
      <c r="I1355" s="3">
        <f t="shared" si="85"/>
        <v>0.29899999999999999</v>
      </c>
      <c r="J1355" s="4">
        <v>29.9</v>
      </c>
      <c r="K1355" s="11">
        <f>Table1[[#This Row],[original_price]]* (Table1[[#This Row],[Markdown percentage updated]])</f>
        <v>23.226320000000001</v>
      </c>
      <c r="L13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55" s="6">
        <v>54.45</v>
      </c>
      <c r="N13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55" s="7">
        <v>45862</v>
      </c>
      <c r="P1355">
        <v>33</v>
      </c>
      <c r="Q1355" s="16" t="str">
        <f>IF(Table1[[#This Row],[stock_quantity]]=0,"NO STOCK",
IF(Table1[[#This Row],[stock_quantity]]&lt;=10,"LOW STOCK",
"IN STOCK"))</f>
        <v>IN STOCK</v>
      </c>
      <c r="R1355" s="1">
        <f t="shared" si="86"/>
        <v>4</v>
      </c>
      <c r="S1355">
        <v>4</v>
      </c>
      <c r="T1355" t="b">
        <v>1</v>
      </c>
      <c r="U1355" s="13" t="str">
        <f t="shared" si="87"/>
        <v>Damaged</v>
      </c>
      <c r="V1355" t="s">
        <v>78</v>
      </c>
    </row>
    <row r="1356" spans="1:22" hidden="1" x14ac:dyDescent="0.3">
      <c r="A1356" t="s">
        <v>1409</v>
      </c>
      <c r="B1356" t="s">
        <v>21</v>
      </c>
      <c r="C1356" t="s">
        <v>32</v>
      </c>
      <c r="D1356" t="s">
        <v>62</v>
      </c>
      <c r="E1356" t="str">
        <f t="shared" si="84"/>
        <v>XL</v>
      </c>
      <c r="F1356" t="s">
        <v>49</v>
      </c>
      <c r="G1356" t="s">
        <v>46</v>
      </c>
      <c r="H1356" s="8">
        <v>117.58</v>
      </c>
      <c r="I1356" s="3">
        <f t="shared" si="85"/>
        <v>0.01</v>
      </c>
      <c r="J1356" s="4">
        <v>1</v>
      </c>
      <c r="K1356" s="11">
        <f>Table1[[#This Row],[original_price]]* (Table1[[#This Row],[Markdown percentage updated]])</f>
        <v>1.1758</v>
      </c>
      <c r="L13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56" s="6">
        <v>116.4</v>
      </c>
      <c r="N13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56" s="7">
        <v>45875</v>
      </c>
      <c r="P1356">
        <v>27</v>
      </c>
      <c r="Q1356" s="16" t="str">
        <f>IF(Table1[[#This Row],[stock_quantity]]=0,"NO STOCK",
IF(Table1[[#This Row],[stock_quantity]]&lt;=10,"LOW STOCK",
"IN STOCK"))</f>
        <v>IN STOCK</v>
      </c>
      <c r="R1356" s="1">
        <f t="shared" si="86"/>
        <v>3.3</v>
      </c>
      <c r="S1356">
        <v>3.3</v>
      </c>
      <c r="T1356" t="b">
        <v>0</v>
      </c>
      <c r="U1356" t="str">
        <f t="shared" si="87"/>
        <v>No Return</v>
      </c>
    </row>
    <row r="1357" spans="1:22" hidden="1" x14ac:dyDescent="0.3">
      <c r="A1357" t="s">
        <v>1410</v>
      </c>
      <c r="B1357" t="s">
        <v>15</v>
      </c>
      <c r="C1357" t="s">
        <v>43</v>
      </c>
      <c r="D1357" t="s">
        <v>34</v>
      </c>
      <c r="E1357" t="str">
        <f t="shared" si="84"/>
        <v>OS</v>
      </c>
      <c r="F1357" t="s">
        <v>18</v>
      </c>
      <c r="G1357" t="s">
        <v>44</v>
      </c>
      <c r="H1357" s="8">
        <v>130.09</v>
      </c>
      <c r="I1357" s="3">
        <f t="shared" si="85"/>
        <v>0.28300000000000003</v>
      </c>
      <c r="J1357" s="4">
        <v>28.3</v>
      </c>
      <c r="K1357" s="11">
        <f>Table1[[#This Row],[original_price]]* (Table1[[#This Row],[Markdown percentage updated]])</f>
        <v>36.815470000000005</v>
      </c>
      <c r="L13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57" s="6">
        <v>93.27</v>
      </c>
      <c r="N13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57" s="7">
        <v>45875</v>
      </c>
      <c r="P1357">
        <v>41</v>
      </c>
      <c r="Q1357" s="16" t="str">
        <f>IF(Table1[[#This Row],[stock_quantity]]=0,"NO STOCK",
IF(Table1[[#This Row],[stock_quantity]]&lt;=10,"LOW STOCK",
"IN STOCK"))</f>
        <v>IN STOCK</v>
      </c>
      <c r="R1357" s="1">
        <f t="shared" si="86"/>
        <v>2.2999999999999998</v>
      </c>
      <c r="S1357">
        <v>2.2999999999999998</v>
      </c>
      <c r="T1357" t="b">
        <v>0</v>
      </c>
      <c r="U1357" t="str">
        <f t="shared" si="87"/>
        <v>No Return</v>
      </c>
    </row>
    <row r="1358" spans="1:22" hidden="1" x14ac:dyDescent="0.3">
      <c r="A1358" t="s">
        <v>1411</v>
      </c>
      <c r="B1358" t="s">
        <v>21</v>
      </c>
      <c r="C1358" t="s">
        <v>22</v>
      </c>
      <c r="D1358" t="s">
        <v>34</v>
      </c>
      <c r="E1358" t="str">
        <f t="shared" si="84"/>
        <v>XL</v>
      </c>
      <c r="F1358" t="s">
        <v>55</v>
      </c>
      <c r="G1358" t="s">
        <v>66</v>
      </c>
      <c r="H1358" s="8">
        <v>63.69</v>
      </c>
      <c r="I1358" s="3">
        <f t="shared" si="85"/>
        <v>0</v>
      </c>
      <c r="J1358" s="4">
        <v>0</v>
      </c>
      <c r="K1358" s="11">
        <f>Table1[[#This Row],[original_price]]* (Table1[[#This Row],[Markdown percentage updated]])</f>
        <v>0</v>
      </c>
      <c r="L13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58" s="6">
        <v>63.69</v>
      </c>
      <c r="N13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58" s="7">
        <v>45875</v>
      </c>
      <c r="P1358">
        <v>11</v>
      </c>
      <c r="Q1358" s="16" t="str">
        <f>IF(Table1[[#This Row],[stock_quantity]]=0,"NO STOCK",
IF(Table1[[#This Row],[stock_quantity]]&lt;=10,"LOW STOCK",
"IN STOCK"))</f>
        <v>IN STOCK</v>
      </c>
      <c r="R1358" s="1">
        <f t="shared" si="86"/>
        <v>3</v>
      </c>
      <c r="S1358">
        <v>3</v>
      </c>
      <c r="T1358" t="b">
        <v>0</v>
      </c>
      <c r="U1358" t="str">
        <f t="shared" si="87"/>
        <v>No Return</v>
      </c>
    </row>
    <row r="1359" spans="1:22" x14ac:dyDescent="0.3">
      <c r="A1359" t="s">
        <v>1412</v>
      </c>
      <c r="B1359" t="s">
        <v>15</v>
      </c>
      <c r="C1359" t="s">
        <v>32</v>
      </c>
      <c r="D1359" t="s">
        <v>17</v>
      </c>
      <c r="E1359" t="str">
        <f t="shared" si="84"/>
        <v>XXL</v>
      </c>
      <c r="F1359" t="s">
        <v>18</v>
      </c>
      <c r="G1359" t="s">
        <v>19</v>
      </c>
      <c r="H1359" s="8">
        <v>135.02000000000001</v>
      </c>
      <c r="I1359" s="3">
        <f t="shared" si="85"/>
        <v>0</v>
      </c>
      <c r="J1359" s="4">
        <v>0</v>
      </c>
      <c r="K1359" s="11">
        <f>Table1[[#This Row],[original_price]]* (Table1[[#This Row],[Markdown percentage updated]])</f>
        <v>0</v>
      </c>
      <c r="L13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59" s="6">
        <v>135.02000000000001</v>
      </c>
      <c r="N13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59" s="7">
        <v>45868</v>
      </c>
      <c r="P1359">
        <v>25</v>
      </c>
      <c r="Q1359" s="16" t="str">
        <f>IF(Table1[[#This Row],[stock_quantity]]=0,"NO STOCK",
IF(Table1[[#This Row],[stock_quantity]]&lt;=10,"LOW STOCK",
"IN STOCK"))</f>
        <v>IN STOCK</v>
      </c>
      <c r="R1359" s="1">
        <f t="shared" si="86"/>
        <v>3.4</v>
      </c>
      <c r="S1359">
        <v>3.4</v>
      </c>
      <c r="T1359" t="b">
        <v>1</v>
      </c>
      <c r="U1359" s="13" t="str">
        <f t="shared" si="87"/>
        <v>Changed Mind</v>
      </c>
      <c r="V1359" t="s">
        <v>115</v>
      </c>
    </row>
    <row r="1360" spans="1:22" hidden="1" x14ac:dyDescent="0.3">
      <c r="A1360" t="s">
        <v>1413</v>
      </c>
      <c r="B1360" t="s">
        <v>27</v>
      </c>
      <c r="C1360" t="s">
        <v>48</v>
      </c>
      <c r="D1360" t="s">
        <v>23</v>
      </c>
      <c r="E1360" t="str">
        <f t="shared" si="84"/>
        <v>S</v>
      </c>
      <c r="G1360" t="s">
        <v>56</v>
      </c>
      <c r="H1360" s="8">
        <v>45.37</v>
      </c>
      <c r="I1360" s="3">
        <f t="shared" si="85"/>
        <v>0</v>
      </c>
      <c r="J1360" s="4">
        <v>0</v>
      </c>
      <c r="K1360" s="11">
        <f>Table1[[#This Row],[original_price]]* (Table1[[#This Row],[Markdown percentage updated]])</f>
        <v>0</v>
      </c>
      <c r="L13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60" s="6">
        <v>45.37</v>
      </c>
      <c r="N13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60" s="7">
        <v>45875</v>
      </c>
      <c r="P1360">
        <v>19</v>
      </c>
      <c r="Q1360" s="16" t="str">
        <f>IF(Table1[[#This Row],[stock_quantity]]=0,"NO STOCK",
IF(Table1[[#This Row],[stock_quantity]]&lt;=10,"LOW STOCK",
"IN STOCK"))</f>
        <v>IN STOCK</v>
      </c>
      <c r="R1360" s="1">
        <f t="shared" si="86"/>
        <v>1.1000000000000001</v>
      </c>
      <c r="S1360">
        <v>1.1000000000000001</v>
      </c>
      <c r="T1360" t="b">
        <v>0</v>
      </c>
      <c r="U1360" t="str">
        <f t="shared" si="87"/>
        <v>No Return</v>
      </c>
    </row>
    <row r="1361" spans="1:22" hidden="1" x14ac:dyDescent="0.3">
      <c r="A1361" t="s">
        <v>1414</v>
      </c>
      <c r="B1361" t="s">
        <v>38</v>
      </c>
      <c r="C1361" t="s">
        <v>16</v>
      </c>
      <c r="D1361" t="s">
        <v>23</v>
      </c>
      <c r="E1361" t="str">
        <f t="shared" si="84"/>
        <v>S</v>
      </c>
      <c r="F1361" t="s">
        <v>18</v>
      </c>
      <c r="G1361" t="s">
        <v>70</v>
      </c>
      <c r="H1361" s="8">
        <v>51.17</v>
      </c>
      <c r="I1361" s="3">
        <f t="shared" si="85"/>
        <v>0.08</v>
      </c>
      <c r="J1361" s="4">
        <v>8</v>
      </c>
      <c r="K1361" s="11">
        <f>Table1[[#This Row],[original_price]]* (Table1[[#This Row],[Markdown percentage updated]])</f>
        <v>4.0936000000000003</v>
      </c>
      <c r="L13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61" s="6">
        <v>47.08</v>
      </c>
      <c r="N13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61" s="7">
        <v>45875</v>
      </c>
      <c r="P1361">
        <v>7</v>
      </c>
      <c r="Q1361" s="17" t="str">
        <f>IF(Table1[[#This Row],[stock_quantity]]=0,"NO STOCK",
IF(Table1[[#This Row],[stock_quantity]]&lt;=10,"LOW STOCK",
"IN STOCK"))</f>
        <v>LOW STOCK</v>
      </c>
      <c r="R1361" s="1">
        <f t="shared" si="86"/>
        <v>0</v>
      </c>
      <c r="T1361" t="b">
        <v>0</v>
      </c>
      <c r="U1361" t="str">
        <f t="shared" si="87"/>
        <v>No Return</v>
      </c>
    </row>
    <row r="1362" spans="1:22" hidden="1" x14ac:dyDescent="0.3">
      <c r="A1362" t="s">
        <v>1415</v>
      </c>
      <c r="B1362" t="s">
        <v>42</v>
      </c>
      <c r="C1362" t="s">
        <v>75</v>
      </c>
      <c r="D1362" t="s">
        <v>62</v>
      </c>
      <c r="E1362" t="str">
        <f t="shared" si="84"/>
        <v>XS</v>
      </c>
      <c r="F1362" t="s">
        <v>49</v>
      </c>
      <c r="G1362" t="s">
        <v>70</v>
      </c>
      <c r="H1362" s="8">
        <v>49.34</v>
      </c>
      <c r="I1362" s="3">
        <f t="shared" si="85"/>
        <v>5.5E-2</v>
      </c>
      <c r="J1362" s="4">
        <v>5.5</v>
      </c>
      <c r="K1362" s="11">
        <f>Table1[[#This Row],[original_price]]* (Table1[[#This Row],[Markdown percentage updated]])</f>
        <v>2.7137000000000002</v>
      </c>
      <c r="L13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62" s="6">
        <v>46.63</v>
      </c>
      <c r="N13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62" s="7">
        <v>45875</v>
      </c>
      <c r="P1362">
        <v>10</v>
      </c>
      <c r="Q1362" s="17" t="str">
        <f>IF(Table1[[#This Row],[stock_quantity]]=0,"NO STOCK",
IF(Table1[[#This Row],[stock_quantity]]&lt;=10,"LOW STOCK",
"IN STOCK"))</f>
        <v>LOW STOCK</v>
      </c>
      <c r="R1362" s="1">
        <f t="shared" si="86"/>
        <v>4.3</v>
      </c>
      <c r="S1362">
        <v>4.3</v>
      </c>
      <c r="T1362" t="b">
        <v>0</v>
      </c>
      <c r="U1362" t="str">
        <f t="shared" si="87"/>
        <v>No Return</v>
      </c>
    </row>
    <row r="1363" spans="1:22" hidden="1" x14ac:dyDescent="0.3">
      <c r="A1363" t="s">
        <v>1416</v>
      </c>
      <c r="B1363" t="s">
        <v>30</v>
      </c>
      <c r="C1363" t="s">
        <v>22</v>
      </c>
      <c r="D1363" t="s">
        <v>17</v>
      </c>
      <c r="E1363" t="str">
        <f t="shared" si="84"/>
        <v>XL</v>
      </c>
      <c r="F1363" t="s">
        <v>39</v>
      </c>
      <c r="G1363" t="s">
        <v>46</v>
      </c>
      <c r="H1363" s="8">
        <v>119.78</v>
      </c>
      <c r="I1363" s="3">
        <f t="shared" si="85"/>
        <v>0</v>
      </c>
      <c r="J1363" s="4">
        <v>0</v>
      </c>
      <c r="K1363" s="11">
        <f>Table1[[#This Row],[original_price]]* (Table1[[#This Row],[Markdown percentage updated]])</f>
        <v>0</v>
      </c>
      <c r="L13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63" s="6">
        <v>119.78</v>
      </c>
      <c r="N13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63" s="7">
        <v>45818</v>
      </c>
      <c r="P1363">
        <v>40</v>
      </c>
      <c r="Q1363" s="16" t="str">
        <f>IF(Table1[[#This Row],[stock_quantity]]=0,"NO STOCK",
IF(Table1[[#This Row],[stock_quantity]]&lt;=10,"LOW STOCK",
"IN STOCK"))</f>
        <v>IN STOCK</v>
      </c>
      <c r="R1363" s="1">
        <f t="shared" si="86"/>
        <v>0</v>
      </c>
      <c r="T1363" t="b">
        <v>0</v>
      </c>
      <c r="U1363" t="str">
        <f t="shared" si="87"/>
        <v>No Return</v>
      </c>
    </row>
    <row r="1364" spans="1:22" hidden="1" x14ac:dyDescent="0.3">
      <c r="A1364" t="s">
        <v>1417</v>
      </c>
      <c r="B1364" t="s">
        <v>21</v>
      </c>
      <c r="C1364" t="s">
        <v>32</v>
      </c>
      <c r="D1364" t="s">
        <v>17</v>
      </c>
      <c r="E1364" t="str">
        <f t="shared" si="84"/>
        <v>S</v>
      </c>
      <c r="F1364" t="s">
        <v>39</v>
      </c>
      <c r="G1364" t="s">
        <v>40</v>
      </c>
      <c r="H1364" s="8">
        <v>77.3</v>
      </c>
      <c r="I1364" s="3">
        <f t="shared" si="85"/>
        <v>0.35100000000000003</v>
      </c>
      <c r="J1364" s="4">
        <v>35.1</v>
      </c>
      <c r="K1364" s="11">
        <f>Table1[[#This Row],[original_price]]* (Table1[[#This Row],[Markdown percentage updated]])</f>
        <v>27.132300000000001</v>
      </c>
      <c r="L13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64" s="6">
        <v>50.17</v>
      </c>
      <c r="N13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64" s="7">
        <v>45864</v>
      </c>
      <c r="P1364">
        <v>16</v>
      </c>
      <c r="Q1364" s="16" t="str">
        <f>IF(Table1[[#This Row],[stock_quantity]]=0,"NO STOCK",
IF(Table1[[#This Row],[stock_quantity]]&lt;=10,"LOW STOCK",
"IN STOCK"))</f>
        <v>IN STOCK</v>
      </c>
      <c r="R1364" s="1">
        <f t="shared" si="86"/>
        <v>0</v>
      </c>
      <c r="T1364" t="b">
        <v>0</v>
      </c>
      <c r="U1364" t="str">
        <f t="shared" si="87"/>
        <v>No Return</v>
      </c>
    </row>
    <row r="1365" spans="1:22" hidden="1" x14ac:dyDescent="0.3">
      <c r="A1365" t="s">
        <v>1418</v>
      </c>
      <c r="B1365" t="s">
        <v>21</v>
      </c>
      <c r="C1365" t="s">
        <v>61</v>
      </c>
      <c r="D1365" t="s">
        <v>34</v>
      </c>
      <c r="E1365" t="str">
        <f t="shared" si="84"/>
        <v>S</v>
      </c>
      <c r="F1365" t="s">
        <v>55</v>
      </c>
      <c r="G1365" t="s">
        <v>19</v>
      </c>
      <c r="H1365" s="8">
        <v>72.69</v>
      </c>
      <c r="I1365" s="3">
        <f t="shared" si="85"/>
        <v>0</v>
      </c>
      <c r="J1365" s="4">
        <v>0</v>
      </c>
      <c r="K1365" s="11">
        <f>Table1[[#This Row],[original_price]]* (Table1[[#This Row],[Markdown percentage updated]])</f>
        <v>0</v>
      </c>
      <c r="L13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65" s="6">
        <v>72.69</v>
      </c>
      <c r="N13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65" s="7">
        <v>45875</v>
      </c>
      <c r="P1365">
        <v>6</v>
      </c>
      <c r="Q1365" s="17" t="str">
        <f>IF(Table1[[#This Row],[stock_quantity]]=0,"NO STOCK",
IF(Table1[[#This Row],[stock_quantity]]&lt;=10,"LOW STOCK",
"IN STOCK"))</f>
        <v>LOW STOCK</v>
      </c>
      <c r="R1365" s="1">
        <f t="shared" si="86"/>
        <v>0</v>
      </c>
      <c r="T1365" t="b">
        <v>0</v>
      </c>
      <c r="U1365" t="str">
        <f t="shared" si="87"/>
        <v>No Return</v>
      </c>
    </row>
    <row r="1366" spans="1:22" hidden="1" x14ac:dyDescent="0.3">
      <c r="A1366" t="s">
        <v>1419</v>
      </c>
      <c r="B1366" t="s">
        <v>30</v>
      </c>
      <c r="C1366" t="s">
        <v>61</v>
      </c>
      <c r="D1366" t="s">
        <v>34</v>
      </c>
      <c r="E1366" t="str">
        <f t="shared" si="84"/>
        <v>L</v>
      </c>
      <c r="F1366" t="s">
        <v>18</v>
      </c>
      <c r="G1366" t="s">
        <v>70</v>
      </c>
      <c r="H1366" s="8">
        <v>117.57</v>
      </c>
      <c r="I1366" s="3">
        <f t="shared" si="85"/>
        <v>0</v>
      </c>
      <c r="J1366" s="4">
        <v>0</v>
      </c>
      <c r="K1366" s="11">
        <f>Table1[[#This Row],[original_price]]* (Table1[[#This Row],[Markdown percentage updated]])</f>
        <v>0</v>
      </c>
      <c r="L13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66" s="6">
        <v>117.57</v>
      </c>
      <c r="N13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66" s="7">
        <v>45875</v>
      </c>
      <c r="P1366">
        <v>30</v>
      </c>
      <c r="Q1366" s="16" t="str">
        <f>IF(Table1[[#This Row],[stock_quantity]]=0,"NO STOCK",
IF(Table1[[#This Row],[stock_quantity]]&lt;=10,"LOW STOCK",
"IN STOCK"))</f>
        <v>IN STOCK</v>
      </c>
      <c r="R1366" s="1">
        <f t="shared" si="86"/>
        <v>4.8</v>
      </c>
      <c r="S1366">
        <v>4.8</v>
      </c>
      <c r="T1366" t="b">
        <v>0</v>
      </c>
      <c r="U1366" t="str">
        <f t="shared" si="87"/>
        <v>No Return</v>
      </c>
    </row>
    <row r="1367" spans="1:22" hidden="1" x14ac:dyDescent="0.3">
      <c r="A1367" t="s">
        <v>1420</v>
      </c>
      <c r="B1367" t="s">
        <v>15</v>
      </c>
      <c r="C1367" t="s">
        <v>75</v>
      </c>
      <c r="D1367" t="s">
        <v>17</v>
      </c>
      <c r="E1367" t="str">
        <f t="shared" si="84"/>
        <v>XL</v>
      </c>
      <c r="F1367" t="s">
        <v>39</v>
      </c>
      <c r="G1367" t="s">
        <v>46</v>
      </c>
      <c r="H1367" s="8">
        <v>161.25</v>
      </c>
      <c r="I1367" s="3">
        <f t="shared" si="85"/>
        <v>0.48399999999999999</v>
      </c>
      <c r="J1367" s="4">
        <v>48.4</v>
      </c>
      <c r="K1367" s="11">
        <f>Table1[[#This Row],[original_price]]* (Table1[[#This Row],[Markdown percentage updated]])</f>
        <v>78.045000000000002</v>
      </c>
      <c r="L13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67" s="6">
        <v>83.2</v>
      </c>
      <c r="N13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67" s="7">
        <v>45607</v>
      </c>
      <c r="P1367">
        <v>32</v>
      </c>
      <c r="Q1367" s="16" t="str">
        <f>IF(Table1[[#This Row],[stock_quantity]]=0,"NO STOCK",
IF(Table1[[#This Row],[stock_quantity]]&lt;=10,"LOW STOCK",
"IN STOCK"))</f>
        <v>IN STOCK</v>
      </c>
      <c r="R1367" s="1">
        <f t="shared" si="86"/>
        <v>0</v>
      </c>
      <c r="T1367" t="b">
        <v>0</v>
      </c>
      <c r="U1367" t="str">
        <f t="shared" si="87"/>
        <v>No Return</v>
      </c>
    </row>
    <row r="1368" spans="1:22" hidden="1" x14ac:dyDescent="0.3">
      <c r="A1368" t="s">
        <v>1421</v>
      </c>
      <c r="B1368" t="s">
        <v>30</v>
      </c>
      <c r="C1368" t="s">
        <v>53</v>
      </c>
      <c r="D1368" t="s">
        <v>34</v>
      </c>
      <c r="E1368" t="str">
        <f t="shared" si="84"/>
        <v>S</v>
      </c>
      <c r="F1368" t="s">
        <v>39</v>
      </c>
      <c r="G1368" t="s">
        <v>66</v>
      </c>
      <c r="H1368" s="8">
        <v>158.01</v>
      </c>
      <c r="I1368" s="3">
        <f t="shared" si="85"/>
        <v>0</v>
      </c>
      <c r="J1368" s="4">
        <v>0</v>
      </c>
      <c r="K1368" s="11">
        <f>Table1[[#This Row],[original_price]]* (Table1[[#This Row],[Markdown percentage updated]])</f>
        <v>0</v>
      </c>
      <c r="L13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68" s="6">
        <v>158.01</v>
      </c>
      <c r="N13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68" s="7">
        <v>45875</v>
      </c>
      <c r="P1368">
        <v>19</v>
      </c>
      <c r="Q1368" s="16" t="str">
        <f>IF(Table1[[#This Row],[stock_quantity]]=0,"NO STOCK",
IF(Table1[[#This Row],[stock_quantity]]&lt;=10,"LOW STOCK",
"IN STOCK"))</f>
        <v>IN STOCK</v>
      </c>
      <c r="R1368" s="1">
        <f t="shared" si="86"/>
        <v>2.6</v>
      </c>
      <c r="S1368">
        <v>2.6</v>
      </c>
      <c r="T1368" t="b">
        <v>0</v>
      </c>
      <c r="U1368" t="str">
        <f t="shared" si="87"/>
        <v>No Return</v>
      </c>
    </row>
    <row r="1369" spans="1:22" hidden="1" x14ac:dyDescent="0.3">
      <c r="A1369" t="s">
        <v>1422</v>
      </c>
      <c r="B1369" t="s">
        <v>21</v>
      </c>
      <c r="C1369" t="s">
        <v>53</v>
      </c>
      <c r="D1369" t="s">
        <v>62</v>
      </c>
      <c r="E1369" t="str">
        <f t="shared" si="84"/>
        <v>M</v>
      </c>
      <c r="F1369" t="s">
        <v>24</v>
      </c>
      <c r="G1369" t="s">
        <v>44</v>
      </c>
      <c r="H1369" s="8">
        <v>60.92</v>
      </c>
      <c r="I1369" s="3">
        <f t="shared" si="85"/>
        <v>0</v>
      </c>
      <c r="J1369" s="4">
        <v>0</v>
      </c>
      <c r="K1369" s="11">
        <f>Table1[[#This Row],[original_price]]* (Table1[[#This Row],[Markdown percentage updated]])</f>
        <v>0</v>
      </c>
      <c r="L13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69" s="6">
        <v>60.92</v>
      </c>
      <c r="N13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69" s="7">
        <v>45875</v>
      </c>
      <c r="P1369">
        <v>25</v>
      </c>
      <c r="Q1369" s="16" t="str">
        <f>IF(Table1[[#This Row],[stock_quantity]]=0,"NO STOCK",
IF(Table1[[#This Row],[stock_quantity]]&lt;=10,"LOW STOCK",
"IN STOCK"))</f>
        <v>IN STOCK</v>
      </c>
      <c r="R1369" s="1">
        <f t="shared" si="86"/>
        <v>0</v>
      </c>
      <c r="T1369" t="b">
        <v>1</v>
      </c>
      <c r="U1369" s="13" t="str">
        <f t="shared" si="87"/>
        <v>Quality Issue</v>
      </c>
      <c r="V1369" t="s">
        <v>83</v>
      </c>
    </row>
    <row r="1370" spans="1:22" hidden="1" x14ac:dyDescent="0.3">
      <c r="A1370" t="s">
        <v>1423</v>
      </c>
      <c r="B1370" t="s">
        <v>30</v>
      </c>
      <c r="C1370" t="s">
        <v>48</v>
      </c>
      <c r="D1370" t="s">
        <v>62</v>
      </c>
      <c r="E1370" t="str">
        <f t="shared" si="84"/>
        <v>OS</v>
      </c>
      <c r="F1370" t="s">
        <v>18</v>
      </c>
      <c r="G1370" t="s">
        <v>40</v>
      </c>
      <c r="H1370" s="8">
        <v>122.03</v>
      </c>
      <c r="I1370" s="3">
        <f t="shared" si="85"/>
        <v>0.252</v>
      </c>
      <c r="J1370" s="4">
        <v>25.2</v>
      </c>
      <c r="K1370" s="11">
        <f>Table1[[#This Row],[original_price]]* (Table1[[#This Row],[Markdown percentage updated]])</f>
        <v>30.751560000000001</v>
      </c>
      <c r="L13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370" s="6">
        <v>91.28</v>
      </c>
      <c r="N13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70" s="7">
        <v>45875</v>
      </c>
      <c r="P1370">
        <v>21</v>
      </c>
      <c r="Q1370" s="16" t="str">
        <f>IF(Table1[[#This Row],[stock_quantity]]=0,"NO STOCK",
IF(Table1[[#This Row],[stock_quantity]]&lt;=10,"LOW STOCK",
"IN STOCK"))</f>
        <v>IN STOCK</v>
      </c>
      <c r="R1370" s="1">
        <f t="shared" si="86"/>
        <v>4.7</v>
      </c>
      <c r="S1370">
        <v>4.7</v>
      </c>
      <c r="T1370" t="b">
        <v>0</v>
      </c>
      <c r="U1370" t="str">
        <f t="shared" si="87"/>
        <v>No Return</v>
      </c>
    </row>
    <row r="1371" spans="1:22" hidden="1" x14ac:dyDescent="0.3">
      <c r="A1371" t="s">
        <v>1424</v>
      </c>
      <c r="B1371" t="s">
        <v>30</v>
      </c>
      <c r="C1371" t="s">
        <v>43</v>
      </c>
      <c r="D1371" t="s">
        <v>17</v>
      </c>
      <c r="E1371" t="str">
        <f t="shared" si="84"/>
        <v>S</v>
      </c>
      <c r="F1371" t="s">
        <v>39</v>
      </c>
      <c r="G1371" t="s">
        <v>70</v>
      </c>
      <c r="H1371" s="8">
        <v>109.15</v>
      </c>
      <c r="I1371" s="3">
        <f t="shared" si="85"/>
        <v>0</v>
      </c>
      <c r="J1371" s="4">
        <v>0</v>
      </c>
      <c r="K1371" s="11">
        <f>Table1[[#This Row],[original_price]]* (Table1[[#This Row],[Markdown percentage updated]])</f>
        <v>0</v>
      </c>
      <c r="L13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71" s="6">
        <v>109.15</v>
      </c>
      <c r="N13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71" s="7">
        <v>45607</v>
      </c>
      <c r="P1371">
        <v>11</v>
      </c>
      <c r="Q1371" s="16" t="str">
        <f>IF(Table1[[#This Row],[stock_quantity]]=0,"NO STOCK",
IF(Table1[[#This Row],[stock_quantity]]&lt;=10,"LOW STOCK",
"IN STOCK"))</f>
        <v>IN STOCK</v>
      </c>
      <c r="R1371" s="1">
        <f t="shared" si="86"/>
        <v>0</v>
      </c>
      <c r="T1371" t="b">
        <v>0</v>
      </c>
      <c r="U1371" t="str">
        <f t="shared" si="87"/>
        <v>No Return</v>
      </c>
    </row>
    <row r="1372" spans="1:22" hidden="1" x14ac:dyDescent="0.3">
      <c r="A1372" t="s">
        <v>1425</v>
      </c>
      <c r="B1372" t="s">
        <v>38</v>
      </c>
      <c r="C1372" t="s">
        <v>53</v>
      </c>
      <c r="D1372" t="s">
        <v>34</v>
      </c>
      <c r="E1372" t="str">
        <f t="shared" si="84"/>
        <v>OS</v>
      </c>
      <c r="F1372" t="s">
        <v>58</v>
      </c>
      <c r="G1372" t="s">
        <v>56</v>
      </c>
      <c r="H1372" s="8">
        <v>60.97</v>
      </c>
      <c r="I1372" s="3">
        <f t="shared" si="85"/>
        <v>0</v>
      </c>
      <c r="J1372" s="4">
        <v>0</v>
      </c>
      <c r="K1372" s="11">
        <f>Table1[[#This Row],[original_price]]* (Table1[[#This Row],[Markdown percentage updated]])</f>
        <v>0</v>
      </c>
      <c r="L13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72" s="6">
        <v>60.97</v>
      </c>
      <c r="N13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72" s="7">
        <v>45875</v>
      </c>
      <c r="P1372">
        <v>29</v>
      </c>
      <c r="Q1372" s="16" t="str">
        <f>IF(Table1[[#This Row],[stock_quantity]]=0,"NO STOCK",
IF(Table1[[#This Row],[stock_quantity]]&lt;=10,"LOW STOCK",
"IN STOCK"))</f>
        <v>IN STOCK</v>
      </c>
      <c r="R1372" s="1">
        <f t="shared" si="86"/>
        <v>4.5</v>
      </c>
      <c r="S1372">
        <v>4.5</v>
      </c>
      <c r="T1372" t="b">
        <v>0</v>
      </c>
      <c r="U1372" t="str">
        <f t="shared" si="87"/>
        <v>No Return</v>
      </c>
    </row>
    <row r="1373" spans="1:22" hidden="1" x14ac:dyDescent="0.3">
      <c r="A1373" t="s">
        <v>1426</v>
      </c>
      <c r="B1373" t="s">
        <v>27</v>
      </c>
      <c r="C1373" t="s">
        <v>22</v>
      </c>
      <c r="D1373" t="s">
        <v>62</v>
      </c>
      <c r="E1373" t="str">
        <f t="shared" si="84"/>
        <v>OS</v>
      </c>
      <c r="G1373" t="s">
        <v>25</v>
      </c>
      <c r="H1373" s="8">
        <v>64.87</v>
      </c>
      <c r="I1373" s="3">
        <f t="shared" si="85"/>
        <v>0.35299999999999998</v>
      </c>
      <c r="J1373" s="4">
        <v>35.299999999999997</v>
      </c>
      <c r="K1373" s="11">
        <f>Table1[[#This Row],[original_price]]* (Table1[[#This Row],[Markdown percentage updated]])</f>
        <v>22.89911</v>
      </c>
      <c r="L13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73" s="6">
        <v>41.97</v>
      </c>
      <c r="N13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73" s="7">
        <v>45875</v>
      </c>
      <c r="P1373">
        <v>12</v>
      </c>
      <c r="Q1373" s="16" t="str">
        <f>IF(Table1[[#This Row],[stock_quantity]]=0,"NO STOCK",
IF(Table1[[#This Row],[stock_quantity]]&lt;=10,"LOW STOCK",
"IN STOCK"))</f>
        <v>IN STOCK</v>
      </c>
      <c r="R1373" s="1">
        <f t="shared" si="86"/>
        <v>4.2</v>
      </c>
      <c r="S1373">
        <v>4.2</v>
      </c>
      <c r="T1373" t="b">
        <v>1</v>
      </c>
      <c r="U1373" s="13" t="str">
        <f t="shared" si="87"/>
        <v>Size Issue</v>
      </c>
      <c r="V1373" t="s">
        <v>73</v>
      </c>
    </row>
    <row r="1374" spans="1:22" hidden="1" x14ac:dyDescent="0.3">
      <c r="A1374" t="s">
        <v>1427</v>
      </c>
      <c r="B1374" t="s">
        <v>30</v>
      </c>
      <c r="C1374" t="s">
        <v>43</v>
      </c>
      <c r="D1374" t="s">
        <v>34</v>
      </c>
      <c r="E1374" t="str">
        <f t="shared" si="84"/>
        <v>M</v>
      </c>
      <c r="F1374" t="s">
        <v>39</v>
      </c>
      <c r="G1374" t="s">
        <v>25</v>
      </c>
      <c r="H1374" s="8">
        <v>151.35</v>
      </c>
      <c r="I1374" s="3">
        <f t="shared" si="85"/>
        <v>0</v>
      </c>
      <c r="J1374" s="4">
        <v>0</v>
      </c>
      <c r="K1374" s="11">
        <f>Table1[[#This Row],[original_price]]* (Table1[[#This Row],[Markdown percentage updated]])</f>
        <v>0</v>
      </c>
      <c r="L13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74" s="6">
        <v>151.35</v>
      </c>
      <c r="N13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74" s="7">
        <v>45875</v>
      </c>
      <c r="P1374">
        <v>18</v>
      </c>
      <c r="Q1374" s="16" t="str">
        <f>IF(Table1[[#This Row],[stock_quantity]]=0,"NO STOCK",
IF(Table1[[#This Row],[stock_quantity]]&lt;=10,"LOW STOCK",
"IN STOCK"))</f>
        <v>IN STOCK</v>
      </c>
      <c r="R1374" s="1">
        <f t="shared" si="86"/>
        <v>0</v>
      </c>
      <c r="T1374" t="b">
        <v>0</v>
      </c>
      <c r="U1374" t="str">
        <f t="shared" si="87"/>
        <v>No Return</v>
      </c>
    </row>
    <row r="1375" spans="1:22" hidden="1" x14ac:dyDescent="0.3">
      <c r="A1375" t="s">
        <v>1428</v>
      </c>
      <c r="B1375" t="s">
        <v>27</v>
      </c>
      <c r="C1375" t="s">
        <v>61</v>
      </c>
      <c r="D1375" t="s">
        <v>23</v>
      </c>
      <c r="E1375" t="str">
        <f t="shared" si="84"/>
        <v>XL</v>
      </c>
      <c r="G1375" t="s">
        <v>44</v>
      </c>
      <c r="H1375" s="8">
        <v>72.900000000000006</v>
      </c>
      <c r="I1375" s="3">
        <f t="shared" si="85"/>
        <v>0.44</v>
      </c>
      <c r="J1375" s="4">
        <v>44</v>
      </c>
      <c r="K1375" s="11">
        <f>Table1[[#This Row],[original_price]]* (Table1[[#This Row],[Markdown percentage updated]])</f>
        <v>32.076000000000001</v>
      </c>
      <c r="L13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75" s="6">
        <v>40.82</v>
      </c>
      <c r="N13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75" s="7">
        <v>45875</v>
      </c>
      <c r="P1375">
        <v>25</v>
      </c>
      <c r="Q1375" s="16" t="str">
        <f>IF(Table1[[#This Row],[stock_quantity]]=0,"NO STOCK",
IF(Table1[[#This Row],[stock_quantity]]&lt;=10,"LOW STOCK",
"IN STOCK"))</f>
        <v>IN STOCK</v>
      </c>
      <c r="R1375" s="1">
        <f t="shared" si="86"/>
        <v>3</v>
      </c>
      <c r="S1375">
        <v>3</v>
      </c>
      <c r="T1375" t="b">
        <v>0</v>
      </c>
      <c r="U1375" t="str">
        <f t="shared" si="87"/>
        <v>No Return</v>
      </c>
    </row>
    <row r="1376" spans="1:22" hidden="1" x14ac:dyDescent="0.3">
      <c r="A1376" t="s">
        <v>1429</v>
      </c>
      <c r="B1376" t="s">
        <v>27</v>
      </c>
      <c r="C1376" t="s">
        <v>61</v>
      </c>
      <c r="D1376" t="s">
        <v>23</v>
      </c>
      <c r="E1376" t="str">
        <f t="shared" si="84"/>
        <v>L</v>
      </c>
      <c r="G1376" t="s">
        <v>66</v>
      </c>
      <c r="H1376" s="8">
        <v>79.48</v>
      </c>
      <c r="I1376" s="3">
        <f t="shared" si="85"/>
        <v>0</v>
      </c>
      <c r="J1376" s="4">
        <v>0</v>
      </c>
      <c r="K1376" s="11">
        <f>Table1[[#This Row],[original_price]]* (Table1[[#This Row],[Markdown percentage updated]])</f>
        <v>0</v>
      </c>
      <c r="L13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76" s="6">
        <v>79.48</v>
      </c>
      <c r="N13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76" s="7">
        <v>45875</v>
      </c>
      <c r="P1376">
        <v>2</v>
      </c>
      <c r="Q1376" s="17" t="str">
        <f>IF(Table1[[#This Row],[stock_quantity]]=0,"NO STOCK",
IF(Table1[[#This Row],[stock_quantity]]&lt;=10,"LOW STOCK",
"IN STOCK"))</f>
        <v>LOW STOCK</v>
      </c>
      <c r="R1376" s="1">
        <f t="shared" si="86"/>
        <v>3.3</v>
      </c>
      <c r="S1376">
        <v>3.3</v>
      </c>
      <c r="T1376" t="b">
        <v>0</v>
      </c>
      <c r="U1376" t="str">
        <f t="shared" si="87"/>
        <v>No Return</v>
      </c>
    </row>
    <row r="1377" spans="1:22" hidden="1" x14ac:dyDescent="0.3">
      <c r="A1377" t="s">
        <v>1430</v>
      </c>
      <c r="B1377" t="s">
        <v>30</v>
      </c>
      <c r="C1377" t="s">
        <v>43</v>
      </c>
      <c r="D1377" t="s">
        <v>34</v>
      </c>
      <c r="E1377" t="str">
        <f t="shared" si="84"/>
        <v>OS</v>
      </c>
      <c r="F1377" t="s">
        <v>58</v>
      </c>
      <c r="G1377" t="s">
        <v>56</v>
      </c>
      <c r="H1377" s="8">
        <v>122.77</v>
      </c>
      <c r="I1377" s="3">
        <f t="shared" si="85"/>
        <v>0.59799999999999998</v>
      </c>
      <c r="J1377" s="4">
        <v>59.8</v>
      </c>
      <c r="K1377" s="11">
        <f>Table1[[#This Row],[original_price]]* (Table1[[#This Row],[Markdown percentage updated]])</f>
        <v>73.416460000000001</v>
      </c>
      <c r="L13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77" s="6">
        <v>49.35</v>
      </c>
      <c r="N13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77" s="7">
        <v>45875</v>
      </c>
      <c r="P1377">
        <v>33</v>
      </c>
      <c r="Q1377" s="16" t="str">
        <f>IF(Table1[[#This Row],[stock_quantity]]=0,"NO STOCK",
IF(Table1[[#This Row],[stock_quantity]]&lt;=10,"LOW STOCK",
"IN STOCK"))</f>
        <v>IN STOCK</v>
      </c>
      <c r="R1377" s="1">
        <f t="shared" si="86"/>
        <v>4</v>
      </c>
      <c r="S1377">
        <v>4</v>
      </c>
      <c r="T1377" t="b">
        <v>0</v>
      </c>
      <c r="U1377" t="str">
        <f t="shared" si="87"/>
        <v>No Return</v>
      </c>
    </row>
    <row r="1378" spans="1:22" hidden="1" x14ac:dyDescent="0.3">
      <c r="A1378" t="s">
        <v>1431</v>
      </c>
      <c r="B1378" t="s">
        <v>38</v>
      </c>
      <c r="C1378" t="s">
        <v>75</v>
      </c>
      <c r="D1378" t="s">
        <v>62</v>
      </c>
      <c r="E1378" t="str">
        <f t="shared" si="84"/>
        <v>XL</v>
      </c>
      <c r="F1378" t="s">
        <v>18</v>
      </c>
      <c r="G1378" t="s">
        <v>28</v>
      </c>
      <c r="H1378" s="8">
        <v>79.61</v>
      </c>
      <c r="I1378" s="3">
        <f t="shared" si="85"/>
        <v>0</v>
      </c>
      <c r="J1378" s="4">
        <v>0</v>
      </c>
      <c r="K1378" s="11">
        <f>Table1[[#This Row],[original_price]]* (Table1[[#This Row],[Markdown percentage updated]])</f>
        <v>0</v>
      </c>
      <c r="L13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78" s="6">
        <v>79.61</v>
      </c>
      <c r="N13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78" s="7">
        <v>45875</v>
      </c>
      <c r="P1378">
        <v>29</v>
      </c>
      <c r="Q1378" s="16" t="str">
        <f>IF(Table1[[#This Row],[stock_quantity]]=0,"NO STOCK",
IF(Table1[[#This Row],[stock_quantity]]&lt;=10,"LOW STOCK",
"IN STOCK"))</f>
        <v>IN STOCK</v>
      </c>
      <c r="R1378" s="1">
        <f t="shared" si="86"/>
        <v>3.7</v>
      </c>
      <c r="S1378">
        <v>3.7</v>
      </c>
      <c r="T1378" t="b">
        <v>0</v>
      </c>
      <c r="U1378" t="str">
        <f t="shared" si="87"/>
        <v>No Return</v>
      </c>
    </row>
    <row r="1379" spans="1:22" hidden="1" x14ac:dyDescent="0.3">
      <c r="A1379" t="s">
        <v>1432</v>
      </c>
      <c r="B1379" t="s">
        <v>38</v>
      </c>
      <c r="C1379" t="s">
        <v>22</v>
      </c>
      <c r="D1379" t="s">
        <v>23</v>
      </c>
      <c r="E1379" t="str">
        <f t="shared" si="84"/>
        <v>XS</v>
      </c>
      <c r="F1379" t="s">
        <v>24</v>
      </c>
      <c r="G1379" t="s">
        <v>35</v>
      </c>
      <c r="H1379" s="8">
        <v>60.13</v>
      </c>
      <c r="I1379" s="3">
        <f t="shared" si="85"/>
        <v>0</v>
      </c>
      <c r="J1379" s="4">
        <v>0</v>
      </c>
      <c r="K1379" s="11">
        <f>Table1[[#This Row],[original_price]]* (Table1[[#This Row],[Markdown percentage updated]])</f>
        <v>0</v>
      </c>
      <c r="L13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79" s="6">
        <v>60.13</v>
      </c>
      <c r="N13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79" s="7">
        <v>45875</v>
      </c>
      <c r="P1379">
        <v>27</v>
      </c>
      <c r="Q1379" s="16" t="str">
        <f>IF(Table1[[#This Row],[stock_quantity]]=0,"NO STOCK",
IF(Table1[[#This Row],[stock_quantity]]&lt;=10,"LOW STOCK",
"IN STOCK"))</f>
        <v>IN STOCK</v>
      </c>
      <c r="R1379" s="1">
        <f t="shared" si="86"/>
        <v>0</v>
      </c>
      <c r="T1379" t="b">
        <v>0</v>
      </c>
      <c r="U1379" t="str">
        <f t="shared" si="87"/>
        <v>No Return</v>
      </c>
    </row>
    <row r="1380" spans="1:22" hidden="1" x14ac:dyDescent="0.3">
      <c r="A1380" t="s">
        <v>1433</v>
      </c>
      <c r="B1380" t="s">
        <v>27</v>
      </c>
      <c r="C1380" t="s">
        <v>61</v>
      </c>
      <c r="D1380" t="s">
        <v>23</v>
      </c>
      <c r="E1380" t="str">
        <f t="shared" si="84"/>
        <v>S</v>
      </c>
      <c r="G1380" t="s">
        <v>40</v>
      </c>
      <c r="H1380" s="8">
        <v>72.260000000000005</v>
      </c>
      <c r="I1380" s="3">
        <f t="shared" si="85"/>
        <v>0.41</v>
      </c>
      <c r="J1380" s="4">
        <v>41</v>
      </c>
      <c r="K1380" s="11">
        <f>Table1[[#This Row],[original_price]]* (Table1[[#This Row],[Markdown percentage updated]])</f>
        <v>29.6266</v>
      </c>
      <c r="L13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80" s="6">
        <v>42.63</v>
      </c>
      <c r="N13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80" s="7">
        <v>45875</v>
      </c>
      <c r="P1380">
        <v>43</v>
      </c>
      <c r="Q1380" s="16" t="str">
        <f>IF(Table1[[#This Row],[stock_quantity]]=0,"NO STOCK",
IF(Table1[[#This Row],[stock_quantity]]&lt;=10,"LOW STOCK",
"IN STOCK"))</f>
        <v>IN STOCK</v>
      </c>
      <c r="R1380" s="1">
        <f t="shared" si="86"/>
        <v>3.5</v>
      </c>
      <c r="S1380">
        <v>3.5</v>
      </c>
      <c r="T1380" t="b">
        <v>0</v>
      </c>
      <c r="U1380" t="str">
        <f t="shared" si="87"/>
        <v>No Return</v>
      </c>
    </row>
    <row r="1381" spans="1:22" hidden="1" x14ac:dyDescent="0.3">
      <c r="A1381" t="s">
        <v>1434</v>
      </c>
      <c r="B1381" t="s">
        <v>38</v>
      </c>
      <c r="C1381" t="s">
        <v>43</v>
      </c>
      <c r="D1381" t="s">
        <v>62</v>
      </c>
      <c r="E1381" t="str">
        <f t="shared" si="84"/>
        <v>S</v>
      </c>
      <c r="F1381" t="s">
        <v>18</v>
      </c>
      <c r="G1381" t="s">
        <v>46</v>
      </c>
      <c r="H1381" s="8">
        <v>66.38</v>
      </c>
      <c r="I1381" s="3">
        <f t="shared" si="85"/>
        <v>0.17</v>
      </c>
      <c r="J1381" s="4">
        <v>17</v>
      </c>
      <c r="K1381" s="11">
        <f>Table1[[#This Row],[original_price]]* (Table1[[#This Row],[Markdown percentage updated]])</f>
        <v>11.284599999999999</v>
      </c>
      <c r="L13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81" s="6">
        <v>55.1</v>
      </c>
      <c r="N13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381" s="7">
        <v>45875</v>
      </c>
      <c r="P1381">
        <v>24</v>
      </c>
      <c r="Q1381" s="16" t="str">
        <f>IF(Table1[[#This Row],[stock_quantity]]=0,"NO STOCK",
IF(Table1[[#This Row],[stock_quantity]]&lt;=10,"LOW STOCK",
"IN STOCK"))</f>
        <v>IN STOCK</v>
      </c>
      <c r="R1381" s="1">
        <f t="shared" si="86"/>
        <v>4.9000000000000004</v>
      </c>
      <c r="S1381">
        <v>4.9000000000000004</v>
      </c>
      <c r="T1381" t="b">
        <v>1</v>
      </c>
      <c r="U1381" s="13" t="str">
        <f t="shared" si="87"/>
        <v>Size Issue</v>
      </c>
      <c r="V1381" t="s">
        <v>73</v>
      </c>
    </row>
    <row r="1382" spans="1:22" hidden="1" x14ac:dyDescent="0.3">
      <c r="A1382" t="s">
        <v>1435</v>
      </c>
      <c r="B1382" t="s">
        <v>15</v>
      </c>
      <c r="C1382" t="s">
        <v>53</v>
      </c>
      <c r="D1382" t="s">
        <v>17</v>
      </c>
      <c r="E1382" t="str">
        <f t="shared" si="84"/>
        <v>M</v>
      </c>
      <c r="F1382" t="s">
        <v>55</v>
      </c>
      <c r="G1382" t="s">
        <v>56</v>
      </c>
      <c r="H1382" s="8">
        <v>100.27</v>
      </c>
      <c r="I1382" s="3">
        <f t="shared" si="85"/>
        <v>0</v>
      </c>
      <c r="J1382" s="4">
        <v>0</v>
      </c>
      <c r="K1382" s="11">
        <f>Table1[[#This Row],[original_price]]* (Table1[[#This Row],[Markdown percentage updated]])</f>
        <v>0</v>
      </c>
      <c r="L13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82" s="6">
        <v>100.27</v>
      </c>
      <c r="N13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82" s="7">
        <v>45719</v>
      </c>
      <c r="P1382">
        <v>37</v>
      </c>
      <c r="Q1382" s="16" t="str">
        <f>IF(Table1[[#This Row],[stock_quantity]]=0,"NO STOCK",
IF(Table1[[#This Row],[stock_quantity]]&lt;=10,"LOW STOCK",
"IN STOCK"))</f>
        <v>IN STOCK</v>
      </c>
      <c r="R1382" s="1">
        <f t="shared" si="86"/>
        <v>3.1</v>
      </c>
      <c r="S1382">
        <v>3.1</v>
      </c>
      <c r="T1382" t="b">
        <v>0</v>
      </c>
      <c r="U1382" t="str">
        <f t="shared" si="87"/>
        <v>No Return</v>
      </c>
    </row>
    <row r="1383" spans="1:22" hidden="1" x14ac:dyDescent="0.3">
      <c r="A1383" t="s">
        <v>1436</v>
      </c>
      <c r="B1383" t="s">
        <v>42</v>
      </c>
      <c r="C1383" t="s">
        <v>16</v>
      </c>
      <c r="D1383" t="s">
        <v>62</v>
      </c>
      <c r="E1383" t="str">
        <f t="shared" si="84"/>
        <v>XS</v>
      </c>
      <c r="F1383" t="s">
        <v>39</v>
      </c>
      <c r="G1383" t="s">
        <v>56</v>
      </c>
      <c r="H1383" s="8">
        <v>116.09</v>
      </c>
      <c r="I1383" s="3">
        <f t="shared" si="85"/>
        <v>0.52800000000000002</v>
      </c>
      <c r="J1383" s="4">
        <v>52.8</v>
      </c>
      <c r="K1383" s="11">
        <f>Table1[[#This Row],[original_price]]* (Table1[[#This Row],[Markdown percentage updated]])</f>
        <v>61.295520000000003</v>
      </c>
      <c r="L13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83" s="6">
        <v>54.79</v>
      </c>
      <c r="N13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83" s="7">
        <v>45875</v>
      </c>
      <c r="P1383">
        <v>22</v>
      </c>
      <c r="Q1383" s="16" t="str">
        <f>IF(Table1[[#This Row],[stock_quantity]]=0,"NO STOCK",
IF(Table1[[#This Row],[stock_quantity]]&lt;=10,"LOW STOCK",
"IN STOCK"))</f>
        <v>IN STOCK</v>
      </c>
      <c r="R1383" s="1">
        <f t="shared" si="86"/>
        <v>0</v>
      </c>
      <c r="T1383" t="b">
        <v>0</v>
      </c>
      <c r="U1383" t="str">
        <f t="shared" si="87"/>
        <v>No Return</v>
      </c>
    </row>
    <row r="1384" spans="1:22" hidden="1" x14ac:dyDescent="0.3">
      <c r="A1384" t="s">
        <v>1437</v>
      </c>
      <c r="B1384" t="s">
        <v>15</v>
      </c>
      <c r="C1384" t="s">
        <v>43</v>
      </c>
      <c r="D1384" t="s">
        <v>34</v>
      </c>
      <c r="E1384" t="str">
        <f t="shared" si="84"/>
        <v>S</v>
      </c>
      <c r="F1384" t="s">
        <v>39</v>
      </c>
      <c r="G1384" t="s">
        <v>35</v>
      </c>
      <c r="H1384" s="8">
        <v>80.709999999999994</v>
      </c>
      <c r="I1384" s="3">
        <f t="shared" si="85"/>
        <v>9.0000000000000011E-3</v>
      </c>
      <c r="J1384" s="4">
        <v>0.9</v>
      </c>
      <c r="K1384" s="11">
        <f>Table1[[#This Row],[original_price]]* (Table1[[#This Row],[Markdown percentage updated]])</f>
        <v>0.72638999999999998</v>
      </c>
      <c r="L13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84" s="6">
        <v>79.98</v>
      </c>
      <c r="N13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84" s="7">
        <v>45875</v>
      </c>
      <c r="P1384">
        <v>11</v>
      </c>
      <c r="Q1384" s="16" t="str">
        <f>IF(Table1[[#This Row],[stock_quantity]]=0,"NO STOCK",
IF(Table1[[#This Row],[stock_quantity]]&lt;=10,"LOW STOCK",
"IN STOCK"))</f>
        <v>IN STOCK</v>
      </c>
      <c r="R1384" s="1">
        <f t="shared" si="86"/>
        <v>1.1000000000000001</v>
      </c>
      <c r="S1384">
        <v>1.1000000000000001</v>
      </c>
      <c r="T1384" t="b">
        <v>0</v>
      </c>
      <c r="U1384" t="str">
        <f t="shared" si="87"/>
        <v>No Return</v>
      </c>
    </row>
    <row r="1385" spans="1:22" hidden="1" x14ac:dyDescent="0.3">
      <c r="A1385" t="s">
        <v>1438</v>
      </c>
      <c r="B1385" t="s">
        <v>42</v>
      </c>
      <c r="C1385" t="s">
        <v>32</v>
      </c>
      <c r="D1385" t="s">
        <v>62</v>
      </c>
      <c r="E1385" t="str">
        <f t="shared" si="84"/>
        <v>S</v>
      </c>
      <c r="F1385" t="s">
        <v>58</v>
      </c>
      <c r="G1385" t="s">
        <v>44</v>
      </c>
      <c r="H1385" s="8">
        <v>175.11</v>
      </c>
      <c r="I1385" s="3">
        <f t="shared" si="85"/>
        <v>0</v>
      </c>
      <c r="J1385" s="4">
        <v>0</v>
      </c>
      <c r="K1385" s="11">
        <f>Table1[[#This Row],[original_price]]* (Table1[[#This Row],[Markdown percentage updated]])</f>
        <v>0</v>
      </c>
      <c r="L13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85" s="6">
        <v>175.11</v>
      </c>
      <c r="N13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85" s="7">
        <v>45875</v>
      </c>
      <c r="P1385">
        <v>39</v>
      </c>
      <c r="Q1385" s="16" t="str">
        <f>IF(Table1[[#This Row],[stock_quantity]]=0,"NO STOCK",
IF(Table1[[#This Row],[stock_quantity]]&lt;=10,"LOW STOCK",
"IN STOCK"))</f>
        <v>IN STOCK</v>
      </c>
      <c r="R1385" s="1">
        <f t="shared" si="86"/>
        <v>2.9</v>
      </c>
      <c r="S1385">
        <v>2.9</v>
      </c>
      <c r="T1385" t="b">
        <v>0</v>
      </c>
      <c r="U1385" t="str">
        <f t="shared" si="87"/>
        <v>No Return</v>
      </c>
    </row>
    <row r="1386" spans="1:22" hidden="1" x14ac:dyDescent="0.3">
      <c r="A1386" t="s">
        <v>1439</v>
      </c>
      <c r="B1386" t="s">
        <v>42</v>
      </c>
      <c r="C1386" t="s">
        <v>43</v>
      </c>
      <c r="D1386" t="s">
        <v>34</v>
      </c>
      <c r="E1386" t="str">
        <f t="shared" si="84"/>
        <v>L</v>
      </c>
      <c r="F1386" t="s">
        <v>55</v>
      </c>
      <c r="G1386" t="s">
        <v>70</v>
      </c>
      <c r="H1386" s="8">
        <v>122.35</v>
      </c>
      <c r="I1386" s="3">
        <f t="shared" si="85"/>
        <v>0.37</v>
      </c>
      <c r="J1386" s="4">
        <v>37</v>
      </c>
      <c r="K1386" s="11">
        <f>Table1[[#This Row],[original_price]]* (Table1[[#This Row],[Markdown percentage updated]])</f>
        <v>45.269500000000001</v>
      </c>
      <c r="L13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86" s="6">
        <v>77.08</v>
      </c>
      <c r="N13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86" s="7">
        <v>45875</v>
      </c>
      <c r="P1386">
        <v>25</v>
      </c>
      <c r="Q1386" s="16" t="str">
        <f>IF(Table1[[#This Row],[stock_quantity]]=0,"NO STOCK",
IF(Table1[[#This Row],[stock_quantity]]&lt;=10,"LOW STOCK",
"IN STOCK"))</f>
        <v>IN STOCK</v>
      </c>
      <c r="R1386" s="1">
        <f t="shared" si="86"/>
        <v>0</v>
      </c>
      <c r="T1386" t="b">
        <v>0</v>
      </c>
      <c r="U1386" t="str">
        <f t="shared" si="87"/>
        <v>No Return</v>
      </c>
    </row>
    <row r="1387" spans="1:22" hidden="1" x14ac:dyDescent="0.3">
      <c r="A1387" t="s">
        <v>1440</v>
      </c>
      <c r="B1387" t="s">
        <v>30</v>
      </c>
      <c r="C1387" t="s">
        <v>22</v>
      </c>
      <c r="D1387" t="s">
        <v>23</v>
      </c>
      <c r="E1387" t="str">
        <f t="shared" si="84"/>
        <v>M</v>
      </c>
      <c r="F1387" t="s">
        <v>39</v>
      </c>
      <c r="G1387" t="s">
        <v>44</v>
      </c>
      <c r="H1387" s="8">
        <v>127.99</v>
      </c>
      <c r="I1387" s="3">
        <f t="shared" si="85"/>
        <v>0</v>
      </c>
      <c r="J1387" s="4">
        <v>0</v>
      </c>
      <c r="K1387" s="11">
        <f>Table1[[#This Row],[original_price]]* (Table1[[#This Row],[Markdown percentage updated]])</f>
        <v>0</v>
      </c>
      <c r="L13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87" s="6">
        <v>127.99</v>
      </c>
      <c r="N13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87" s="7">
        <v>45875</v>
      </c>
      <c r="P1387">
        <v>14</v>
      </c>
      <c r="Q1387" s="16" t="str">
        <f>IF(Table1[[#This Row],[stock_quantity]]=0,"NO STOCK",
IF(Table1[[#This Row],[stock_quantity]]&lt;=10,"LOW STOCK",
"IN STOCK"))</f>
        <v>IN STOCK</v>
      </c>
      <c r="R1387" s="1">
        <f t="shared" si="86"/>
        <v>2.7</v>
      </c>
      <c r="S1387">
        <v>2.7</v>
      </c>
      <c r="T1387" t="b">
        <v>0</v>
      </c>
      <c r="U1387" t="str">
        <f t="shared" si="87"/>
        <v>No Return</v>
      </c>
    </row>
    <row r="1388" spans="1:22" hidden="1" x14ac:dyDescent="0.3">
      <c r="A1388" t="s">
        <v>1441</v>
      </c>
      <c r="B1388" t="s">
        <v>38</v>
      </c>
      <c r="C1388" t="s">
        <v>16</v>
      </c>
      <c r="D1388" t="s">
        <v>62</v>
      </c>
      <c r="E1388" t="str">
        <f t="shared" si="84"/>
        <v>S</v>
      </c>
      <c r="F1388" t="s">
        <v>39</v>
      </c>
      <c r="G1388" t="s">
        <v>70</v>
      </c>
      <c r="H1388" s="8">
        <v>101.07</v>
      </c>
      <c r="I1388" s="3">
        <f t="shared" si="85"/>
        <v>4.5999999999999999E-2</v>
      </c>
      <c r="J1388" s="4">
        <v>4.5999999999999996</v>
      </c>
      <c r="K1388" s="11">
        <f>Table1[[#This Row],[original_price]]* (Table1[[#This Row],[Markdown percentage updated]])</f>
        <v>4.6492199999999997</v>
      </c>
      <c r="L13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388" s="6">
        <v>96.42</v>
      </c>
      <c r="N13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388" s="7">
        <v>45875</v>
      </c>
      <c r="P1388">
        <v>19</v>
      </c>
      <c r="Q1388" s="16" t="str">
        <f>IF(Table1[[#This Row],[stock_quantity]]=0,"NO STOCK",
IF(Table1[[#This Row],[stock_quantity]]&lt;=10,"LOW STOCK",
"IN STOCK"))</f>
        <v>IN STOCK</v>
      </c>
      <c r="R1388" s="1">
        <f t="shared" si="86"/>
        <v>4.7</v>
      </c>
      <c r="S1388">
        <v>4.7</v>
      </c>
      <c r="T1388" t="b">
        <v>0</v>
      </c>
      <c r="U1388" t="str">
        <f t="shared" si="87"/>
        <v>No Return</v>
      </c>
    </row>
    <row r="1389" spans="1:22" hidden="1" x14ac:dyDescent="0.3">
      <c r="A1389" t="s">
        <v>1442</v>
      </c>
      <c r="B1389" t="s">
        <v>38</v>
      </c>
      <c r="C1389" t="s">
        <v>75</v>
      </c>
      <c r="D1389" t="s">
        <v>23</v>
      </c>
      <c r="E1389" t="str">
        <f t="shared" si="84"/>
        <v>XXL</v>
      </c>
      <c r="F1389" t="s">
        <v>24</v>
      </c>
      <c r="G1389" t="s">
        <v>70</v>
      </c>
      <c r="H1389" s="8">
        <v>41.83</v>
      </c>
      <c r="I1389" s="3">
        <f t="shared" si="85"/>
        <v>0.441</v>
      </c>
      <c r="J1389" s="4">
        <v>44.1</v>
      </c>
      <c r="K1389" s="11">
        <f>Table1[[#This Row],[original_price]]* (Table1[[#This Row],[Markdown percentage updated]])</f>
        <v>18.447029999999998</v>
      </c>
      <c r="L13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89" s="6">
        <v>23.38</v>
      </c>
      <c r="N13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389" s="7">
        <v>45875</v>
      </c>
      <c r="P1389">
        <v>6</v>
      </c>
      <c r="Q1389" s="17" t="str">
        <f>IF(Table1[[#This Row],[stock_quantity]]=0,"NO STOCK",
IF(Table1[[#This Row],[stock_quantity]]&lt;=10,"LOW STOCK",
"IN STOCK"))</f>
        <v>LOW STOCK</v>
      </c>
      <c r="R1389" s="1">
        <f t="shared" si="86"/>
        <v>2.4</v>
      </c>
      <c r="S1389">
        <v>2.4</v>
      </c>
      <c r="T1389" t="b">
        <v>0</v>
      </c>
      <c r="U1389" t="str">
        <f t="shared" si="87"/>
        <v>No Return</v>
      </c>
    </row>
    <row r="1390" spans="1:22" hidden="1" x14ac:dyDescent="0.3">
      <c r="A1390" t="s">
        <v>1443</v>
      </c>
      <c r="B1390" t="s">
        <v>30</v>
      </c>
      <c r="C1390" t="s">
        <v>48</v>
      </c>
      <c r="D1390" t="s">
        <v>17</v>
      </c>
      <c r="E1390" t="str">
        <f t="shared" si="84"/>
        <v>XS</v>
      </c>
      <c r="F1390" t="s">
        <v>58</v>
      </c>
      <c r="G1390" t="s">
        <v>46</v>
      </c>
      <c r="H1390" s="8">
        <v>147.52000000000001</v>
      </c>
      <c r="I1390" s="3">
        <f t="shared" si="85"/>
        <v>0</v>
      </c>
      <c r="J1390" s="4">
        <v>0</v>
      </c>
      <c r="K1390" s="11">
        <f>Table1[[#This Row],[original_price]]* (Table1[[#This Row],[Markdown percentage updated]])</f>
        <v>0</v>
      </c>
      <c r="L13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90" s="6">
        <v>147.52000000000001</v>
      </c>
      <c r="N13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90" s="7">
        <v>45665</v>
      </c>
      <c r="P1390">
        <v>41</v>
      </c>
      <c r="Q1390" s="16" t="str">
        <f>IF(Table1[[#This Row],[stock_quantity]]=0,"NO STOCK",
IF(Table1[[#This Row],[stock_quantity]]&lt;=10,"LOW STOCK",
"IN STOCK"))</f>
        <v>IN STOCK</v>
      </c>
      <c r="R1390" s="1">
        <f t="shared" si="86"/>
        <v>4</v>
      </c>
      <c r="S1390">
        <v>4</v>
      </c>
      <c r="T1390" t="b">
        <v>0</v>
      </c>
      <c r="U1390" t="str">
        <f t="shared" si="87"/>
        <v>No Return</v>
      </c>
    </row>
    <row r="1391" spans="1:22" hidden="1" x14ac:dyDescent="0.3">
      <c r="A1391" t="s">
        <v>1444</v>
      </c>
      <c r="B1391" t="s">
        <v>21</v>
      </c>
      <c r="C1391" t="s">
        <v>32</v>
      </c>
      <c r="D1391" t="s">
        <v>34</v>
      </c>
      <c r="E1391" t="str">
        <f t="shared" si="84"/>
        <v>S</v>
      </c>
      <c r="F1391" t="s">
        <v>39</v>
      </c>
      <c r="G1391" t="s">
        <v>40</v>
      </c>
      <c r="H1391" s="8">
        <v>85.94</v>
      </c>
      <c r="I1391" s="3">
        <f t="shared" si="85"/>
        <v>0</v>
      </c>
      <c r="J1391" s="4">
        <v>0</v>
      </c>
      <c r="K1391" s="11">
        <f>Table1[[#This Row],[original_price]]* (Table1[[#This Row],[Markdown percentage updated]])</f>
        <v>0</v>
      </c>
      <c r="L13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91" s="6">
        <v>85.94</v>
      </c>
      <c r="N13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91" s="7">
        <v>45875</v>
      </c>
      <c r="P1391">
        <v>49</v>
      </c>
      <c r="Q1391" s="16" t="str">
        <f>IF(Table1[[#This Row],[stock_quantity]]=0,"NO STOCK",
IF(Table1[[#This Row],[stock_quantity]]&lt;=10,"LOW STOCK",
"IN STOCK"))</f>
        <v>IN STOCK</v>
      </c>
      <c r="R1391" s="1">
        <f t="shared" si="86"/>
        <v>1.5</v>
      </c>
      <c r="S1391">
        <v>1.5</v>
      </c>
      <c r="T1391" t="b">
        <v>0</v>
      </c>
      <c r="U1391" t="str">
        <f t="shared" si="87"/>
        <v>No Return</v>
      </c>
    </row>
    <row r="1392" spans="1:22" hidden="1" x14ac:dyDescent="0.3">
      <c r="A1392" t="s">
        <v>1445</v>
      </c>
      <c r="B1392" t="s">
        <v>42</v>
      </c>
      <c r="C1392" t="s">
        <v>61</v>
      </c>
      <c r="D1392" t="s">
        <v>23</v>
      </c>
      <c r="E1392" t="str">
        <f t="shared" si="84"/>
        <v>XS</v>
      </c>
      <c r="F1392" t="s">
        <v>49</v>
      </c>
      <c r="G1392" t="s">
        <v>46</v>
      </c>
      <c r="H1392" s="8">
        <v>115.61</v>
      </c>
      <c r="I1392" s="3">
        <f t="shared" si="85"/>
        <v>0</v>
      </c>
      <c r="J1392" s="4">
        <v>0</v>
      </c>
      <c r="K1392" s="11">
        <f>Table1[[#This Row],[original_price]]* (Table1[[#This Row],[Markdown percentage updated]])</f>
        <v>0</v>
      </c>
      <c r="L13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92" s="6">
        <v>115.61</v>
      </c>
      <c r="N13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92" s="7">
        <v>45875</v>
      </c>
      <c r="P1392">
        <v>35</v>
      </c>
      <c r="Q1392" s="16" t="str">
        <f>IF(Table1[[#This Row],[stock_quantity]]=0,"NO STOCK",
IF(Table1[[#This Row],[stock_quantity]]&lt;=10,"LOW STOCK",
"IN STOCK"))</f>
        <v>IN STOCK</v>
      </c>
      <c r="R1392" s="1">
        <f t="shared" si="86"/>
        <v>1.8</v>
      </c>
      <c r="S1392">
        <v>1.8</v>
      </c>
      <c r="T1392" t="b">
        <v>0</v>
      </c>
      <c r="U1392" t="str">
        <f t="shared" si="87"/>
        <v>No Return</v>
      </c>
    </row>
    <row r="1393" spans="1:22" hidden="1" x14ac:dyDescent="0.3">
      <c r="A1393" t="s">
        <v>1446</v>
      </c>
      <c r="B1393" t="s">
        <v>15</v>
      </c>
      <c r="C1393" t="s">
        <v>53</v>
      </c>
      <c r="D1393" t="s">
        <v>23</v>
      </c>
      <c r="E1393" t="str">
        <f t="shared" si="84"/>
        <v>XL</v>
      </c>
      <c r="F1393" t="s">
        <v>55</v>
      </c>
      <c r="G1393" t="s">
        <v>25</v>
      </c>
      <c r="H1393" s="8">
        <v>90.58</v>
      </c>
      <c r="I1393" s="3">
        <f t="shared" si="85"/>
        <v>0</v>
      </c>
      <c r="J1393" s="4">
        <v>0</v>
      </c>
      <c r="K1393" s="11">
        <f>Table1[[#This Row],[original_price]]* (Table1[[#This Row],[Markdown percentage updated]])</f>
        <v>0</v>
      </c>
      <c r="L13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93" s="6">
        <v>90.58</v>
      </c>
      <c r="N13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93" s="7">
        <v>45875</v>
      </c>
      <c r="P1393">
        <v>1</v>
      </c>
      <c r="Q1393" s="17" t="str">
        <f>IF(Table1[[#This Row],[stock_quantity]]=0,"NO STOCK",
IF(Table1[[#This Row],[stock_quantity]]&lt;=10,"LOW STOCK",
"IN STOCK"))</f>
        <v>LOW STOCK</v>
      </c>
      <c r="R1393" s="1">
        <f t="shared" si="86"/>
        <v>1</v>
      </c>
      <c r="S1393">
        <v>1</v>
      </c>
      <c r="T1393" t="b">
        <v>0</v>
      </c>
      <c r="U1393" t="str">
        <f t="shared" si="87"/>
        <v>No Return</v>
      </c>
    </row>
    <row r="1394" spans="1:22" hidden="1" x14ac:dyDescent="0.3">
      <c r="A1394" t="s">
        <v>1447</v>
      </c>
      <c r="B1394" t="s">
        <v>21</v>
      </c>
      <c r="C1394" t="s">
        <v>61</v>
      </c>
      <c r="D1394" t="s">
        <v>17</v>
      </c>
      <c r="E1394" t="str">
        <f t="shared" si="84"/>
        <v>S</v>
      </c>
      <c r="F1394" t="s">
        <v>39</v>
      </c>
      <c r="G1394" t="s">
        <v>19</v>
      </c>
      <c r="H1394" s="8">
        <v>64.84</v>
      </c>
      <c r="I1394" s="3">
        <f t="shared" si="85"/>
        <v>0</v>
      </c>
      <c r="J1394" s="4">
        <v>0</v>
      </c>
      <c r="K1394" s="11">
        <f>Table1[[#This Row],[original_price]]* (Table1[[#This Row],[Markdown percentage updated]])</f>
        <v>0</v>
      </c>
      <c r="L13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94" s="6">
        <v>64.84</v>
      </c>
      <c r="N13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94" s="7">
        <v>45591</v>
      </c>
      <c r="P1394">
        <v>25</v>
      </c>
      <c r="Q1394" s="16" t="str">
        <f>IF(Table1[[#This Row],[stock_quantity]]=0,"NO STOCK",
IF(Table1[[#This Row],[stock_quantity]]&lt;=10,"LOW STOCK",
"IN STOCK"))</f>
        <v>IN STOCK</v>
      </c>
      <c r="R1394" s="1">
        <f t="shared" si="86"/>
        <v>3.9</v>
      </c>
      <c r="S1394">
        <v>3.9</v>
      </c>
      <c r="T1394" t="b">
        <v>0</v>
      </c>
      <c r="U1394" t="str">
        <f t="shared" si="87"/>
        <v>No Return</v>
      </c>
    </row>
    <row r="1395" spans="1:22" x14ac:dyDescent="0.3">
      <c r="A1395" t="s">
        <v>1448</v>
      </c>
      <c r="B1395" t="s">
        <v>38</v>
      </c>
      <c r="C1395" t="s">
        <v>32</v>
      </c>
      <c r="D1395" t="s">
        <v>62</v>
      </c>
      <c r="E1395" t="str">
        <f t="shared" si="84"/>
        <v>L</v>
      </c>
      <c r="F1395" t="s">
        <v>55</v>
      </c>
      <c r="G1395" t="s">
        <v>28</v>
      </c>
      <c r="H1395" s="8">
        <v>37.270000000000003</v>
      </c>
      <c r="I1395" s="3">
        <f t="shared" si="85"/>
        <v>0</v>
      </c>
      <c r="J1395" s="4">
        <v>0</v>
      </c>
      <c r="K1395" s="11">
        <f>Table1[[#This Row],[original_price]]* (Table1[[#This Row],[Markdown percentage updated]])</f>
        <v>0</v>
      </c>
      <c r="L13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95" s="6">
        <v>37.270000000000003</v>
      </c>
      <c r="N13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95" s="7">
        <v>45875</v>
      </c>
      <c r="P1395">
        <v>27</v>
      </c>
      <c r="Q1395" s="16" t="str">
        <f>IF(Table1[[#This Row],[stock_quantity]]=0,"NO STOCK",
IF(Table1[[#This Row],[stock_quantity]]&lt;=10,"LOW STOCK",
"IN STOCK"))</f>
        <v>IN STOCK</v>
      </c>
      <c r="R1395" s="1">
        <f t="shared" si="86"/>
        <v>2.8</v>
      </c>
      <c r="S1395">
        <v>2.8</v>
      </c>
      <c r="T1395" t="b">
        <v>1</v>
      </c>
      <c r="U1395" s="13" t="str">
        <f t="shared" si="87"/>
        <v>Changed Mind</v>
      </c>
      <c r="V1395" t="s">
        <v>115</v>
      </c>
    </row>
    <row r="1396" spans="1:22" hidden="1" x14ac:dyDescent="0.3">
      <c r="A1396" t="s">
        <v>1449</v>
      </c>
      <c r="B1396" t="s">
        <v>21</v>
      </c>
      <c r="C1396" t="s">
        <v>61</v>
      </c>
      <c r="D1396" t="s">
        <v>62</v>
      </c>
      <c r="E1396" t="str">
        <f t="shared" si="84"/>
        <v>XS</v>
      </c>
      <c r="F1396" t="s">
        <v>18</v>
      </c>
      <c r="G1396" t="s">
        <v>44</v>
      </c>
      <c r="H1396" s="8">
        <v>90.48</v>
      </c>
      <c r="I1396" s="3">
        <f t="shared" si="85"/>
        <v>0.55200000000000005</v>
      </c>
      <c r="J1396" s="4">
        <v>55.2</v>
      </c>
      <c r="K1396" s="11">
        <f>Table1[[#This Row],[original_price]]* (Table1[[#This Row],[Markdown percentage updated]])</f>
        <v>49.944960000000009</v>
      </c>
      <c r="L13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96" s="6">
        <v>40.54</v>
      </c>
      <c r="N13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96" s="7">
        <v>45875</v>
      </c>
      <c r="P1396">
        <v>26</v>
      </c>
      <c r="Q1396" s="16" t="str">
        <f>IF(Table1[[#This Row],[stock_quantity]]=0,"NO STOCK",
IF(Table1[[#This Row],[stock_quantity]]&lt;=10,"LOW STOCK",
"IN STOCK"))</f>
        <v>IN STOCK</v>
      </c>
      <c r="R1396" s="1">
        <f t="shared" si="86"/>
        <v>3</v>
      </c>
      <c r="S1396">
        <v>3</v>
      </c>
      <c r="T1396" t="b">
        <v>0</v>
      </c>
      <c r="U1396" t="str">
        <f t="shared" si="87"/>
        <v>No Return</v>
      </c>
    </row>
    <row r="1397" spans="1:22" hidden="1" x14ac:dyDescent="0.3">
      <c r="A1397" t="s">
        <v>1450</v>
      </c>
      <c r="B1397" t="s">
        <v>30</v>
      </c>
      <c r="C1397" t="s">
        <v>61</v>
      </c>
      <c r="D1397" t="s">
        <v>62</v>
      </c>
      <c r="E1397" t="str">
        <f t="shared" si="84"/>
        <v>M</v>
      </c>
      <c r="F1397" t="s">
        <v>39</v>
      </c>
      <c r="G1397" t="s">
        <v>46</v>
      </c>
      <c r="H1397" s="8">
        <v>159.62</v>
      </c>
      <c r="I1397" s="3">
        <f t="shared" si="85"/>
        <v>0.58399999999999996</v>
      </c>
      <c r="J1397" s="4">
        <v>58.4</v>
      </c>
      <c r="K1397" s="11">
        <f>Table1[[#This Row],[original_price]]* (Table1[[#This Row],[Markdown percentage updated]])</f>
        <v>93.21808</v>
      </c>
      <c r="L13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97" s="6">
        <v>66.400000000000006</v>
      </c>
      <c r="N13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97" s="7">
        <v>45875</v>
      </c>
      <c r="P1397">
        <v>45</v>
      </c>
      <c r="Q1397" s="16" t="str">
        <f>IF(Table1[[#This Row],[stock_quantity]]=0,"NO STOCK",
IF(Table1[[#This Row],[stock_quantity]]&lt;=10,"LOW STOCK",
"IN STOCK"))</f>
        <v>IN STOCK</v>
      </c>
      <c r="R1397" s="1">
        <f t="shared" si="86"/>
        <v>1.1000000000000001</v>
      </c>
      <c r="S1397">
        <v>1.1000000000000001</v>
      </c>
      <c r="T1397" t="b">
        <v>0</v>
      </c>
      <c r="U1397" t="str">
        <f t="shared" si="87"/>
        <v>No Return</v>
      </c>
    </row>
    <row r="1398" spans="1:22" hidden="1" x14ac:dyDescent="0.3">
      <c r="A1398" t="s">
        <v>1451</v>
      </c>
      <c r="B1398" t="s">
        <v>30</v>
      </c>
      <c r="C1398" t="s">
        <v>53</v>
      </c>
      <c r="D1398" t="s">
        <v>62</v>
      </c>
      <c r="E1398" t="str">
        <f t="shared" si="84"/>
        <v>M</v>
      </c>
      <c r="F1398" t="s">
        <v>24</v>
      </c>
      <c r="G1398" t="s">
        <v>40</v>
      </c>
      <c r="H1398" s="8">
        <v>81.459999999999994</v>
      </c>
      <c r="I1398" s="3">
        <f t="shared" si="85"/>
        <v>0.58799999999999997</v>
      </c>
      <c r="J1398" s="4">
        <v>58.8</v>
      </c>
      <c r="K1398" s="11">
        <f>Table1[[#This Row],[original_price]]* (Table1[[#This Row],[Markdown percentage updated]])</f>
        <v>47.898479999999992</v>
      </c>
      <c r="L13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398" s="6">
        <v>33.56</v>
      </c>
      <c r="N13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398" s="7">
        <v>45875</v>
      </c>
      <c r="P1398">
        <v>37</v>
      </c>
      <c r="Q1398" s="16" t="str">
        <f>IF(Table1[[#This Row],[stock_quantity]]=0,"NO STOCK",
IF(Table1[[#This Row],[stock_quantity]]&lt;=10,"LOW STOCK",
"IN STOCK"))</f>
        <v>IN STOCK</v>
      </c>
      <c r="R1398" s="1">
        <f t="shared" si="86"/>
        <v>4.5999999999999996</v>
      </c>
      <c r="S1398">
        <v>4.5999999999999996</v>
      </c>
      <c r="T1398" t="b">
        <v>0</v>
      </c>
      <c r="U1398" t="str">
        <f t="shared" si="87"/>
        <v>No Return</v>
      </c>
    </row>
    <row r="1399" spans="1:22" hidden="1" x14ac:dyDescent="0.3">
      <c r="A1399" t="s">
        <v>1452</v>
      </c>
      <c r="B1399" t="s">
        <v>30</v>
      </c>
      <c r="C1399" t="s">
        <v>75</v>
      </c>
      <c r="D1399" t="s">
        <v>23</v>
      </c>
      <c r="E1399" t="str">
        <f t="shared" si="84"/>
        <v>M</v>
      </c>
      <c r="F1399" t="s">
        <v>55</v>
      </c>
      <c r="G1399" t="s">
        <v>35</v>
      </c>
      <c r="H1399" s="8">
        <v>93.63</v>
      </c>
      <c r="I1399" s="3">
        <f t="shared" si="85"/>
        <v>0</v>
      </c>
      <c r="J1399" s="4">
        <v>0</v>
      </c>
      <c r="K1399" s="11">
        <f>Table1[[#This Row],[original_price]]* (Table1[[#This Row],[Markdown percentage updated]])</f>
        <v>0</v>
      </c>
      <c r="L13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399" s="6">
        <v>93.63</v>
      </c>
      <c r="N13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399" s="7">
        <v>45875</v>
      </c>
      <c r="P1399">
        <v>47</v>
      </c>
      <c r="Q1399" s="16" t="str">
        <f>IF(Table1[[#This Row],[stock_quantity]]=0,"NO STOCK",
IF(Table1[[#This Row],[stock_quantity]]&lt;=10,"LOW STOCK",
"IN STOCK"))</f>
        <v>IN STOCK</v>
      </c>
      <c r="R1399" s="1">
        <f t="shared" si="86"/>
        <v>4.0999999999999996</v>
      </c>
      <c r="S1399">
        <v>4.0999999999999996</v>
      </c>
      <c r="T1399" t="b">
        <v>0</v>
      </c>
      <c r="U1399" t="str">
        <f t="shared" si="87"/>
        <v>No Return</v>
      </c>
    </row>
    <row r="1400" spans="1:22" hidden="1" x14ac:dyDescent="0.3">
      <c r="A1400" t="s">
        <v>1453</v>
      </c>
      <c r="B1400" t="s">
        <v>21</v>
      </c>
      <c r="C1400" t="s">
        <v>53</v>
      </c>
      <c r="D1400" t="s">
        <v>62</v>
      </c>
      <c r="E1400" t="str">
        <f t="shared" si="84"/>
        <v>XXL</v>
      </c>
      <c r="F1400" t="s">
        <v>58</v>
      </c>
      <c r="G1400" t="s">
        <v>70</v>
      </c>
      <c r="H1400" s="8">
        <v>95.55</v>
      </c>
      <c r="I1400" s="3">
        <f t="shared" si="85"/>
        <v>0</v>
      </c>
      <c r="J1400" s="4">
        <v>0</v>
      </c>
      <c r="K1400" s="11">
        <f>Table1[[#This Row],[original_price]]* (Table1[[#This Row],[Markdown percentage updated]])</f>
        <v>0</v>
      </c>
      <c r="L14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00" s="6">
        <v>95.55</v>
      </c>
      <c r="N14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00" s="7">
        <v>45875</v>
      </c>
      <c r="P1400">
        <v>25</v>
      </c>
      <c r="Q1400" s="16" t="str">
        <f>IF(Table1[[#This Row],[stock_quantity]]=0,"NO STOCK",
IF(Table1[[#This Row],[stock_quantity]]&lt;=10,"LOW STOCK",
"IN STOCK"))</f>
        <v>IN STOCK</v>
      </c>
      <c r="R1400" s="1">
        <f t="shared" si="86"/>
        <v>4.7</v>
      </c>
      <c r="S1400">
        <v>4.7</v>
      </c>
      <c r="T1400" t="b">
        <v>0</v>
      </c>
      <c r="U1400" t="str">
        <f t="shared" si="87"/>
        <v>No Return</v>
      </c>
    </row>
    <row r="1401" spans="1:22" hidden="1" x14ac:dyDescent="0.3">
      <c r="A1401" t="s">
        <v>1454</v>
      </c>
      <c r="B1401" t="s">
        <v>15</v>
      </c>
      <c r="C1401" t="s">
        <v>16</v>
      </c>
      <c r="D1401" t="s">
        <v>23</v>
      </c>
      <c r="E1401" t="str">
        <f t="shared" si="84"/>
        <v>L</v>
      </c>
      <c r="F1401" t="s">
        <v>58</v>
      </c>
      <c r="G1401" t="s">
        <v>35</v>
      </c>
      <c r="H1401" s="8">
        <v>146.44999999999999</v>
      </c>
      <c r="I1401" s="3">
        <f t="shared" si="85"/>
        <v>0</v>
      </c>
      <c r="J1401" s="4">
        <v>0</v>
      </c>
      <c r="K1401" s="11">
        <f>Table1[[#This Row],[original_price]]* (Table1[[#This Row],[Markdown percentage updated]])</f>
        <v>0</v>
      </c>
      <c r="L14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01" s="6">
        <v>146.44999999999999</v>
      </c>
      <c r="N14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01" s="7">
        <v>45875</v>
      </c>
      <c r="P1401">
        <v>45</v>
      </c>
      <c r="Q1401" s="16" t="str">
        <f>IF(Table1[[#This Row],[stock_quantity]]=0,"NO STOCK",
IF(Table1[[#This Row],[stock_quantity]]&lt;=10,"LOW STOCK",
"IN STOCK"))</f>
        <v>IN STOCK</v>
      </c>
      <c r="R1401" s="1">
        <f t="shared" si="86"/>
        <v>3.4</v>
      </c>
      <c r="S1401">
        <v>3.4</v>
      </c>
      <c r="T1401" t="b">
        <v>0</v>
      </c>
      <c r="U1401" t="str">
        <f t="shared" si="87"/>
        <v>No Return</v>
      </c>
    </row>
    <row r="1402" spans="1:22" hidden="1" x14ac:dyDescent="0.3">
      <c r="A1402" t="s">
        <v>1455</v>
      </c>
      <c r="B1402" t="s">
        <v>30</v>
      </c>
      <c r="C1402" t="s">
        <v>32</v>
      </c>
      <c r="D1402" t="s">
        <v>17</v>
      </c>
      <c r="E1402" t="str">
        <f t="shared" si="84"/>
        <v>S</v>
      </c>
      <c r="F1402" t="s">
        <v>58</v>
      </c>
      <c r="G1402" t="s">
        <v>44</v>
      </c>
      <c r="H1402" s="8">
        <v>96.9</v>
      </c>
      <c r="I1402" s="3">
        <f t="shared" si="85"/>
        <v>0</v>
      </c>
      <c r="J1402" s="4">
        <v>0</v>
      </c>
      <c r="K1402" s="11">
        <f>Table1[[#This Row],[original_price]]* (Table1[[#This Row],[Markdown percentage updated]])</f>
        <v>0</v>
      </c>
      <c r="L14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02" s="6">
        <v>96.9</v>
      </c>
      <c r="N14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02" s="7">
        <v>45691</v>
      </c>
      <c r="P1402">
        <v>24</v>
      </c>
      <c r="Q1402" s="16" t="str">
        <f>IF(Table1[[#This Row],[stock_quantity]]=0,"NO STOCK",
IF(Table1[[#This Row],[stock_quantity]]&lt;=10,"LOW STOCK",
"IN STOCK"))</f>
        <v>IN STOCK</v>
      </c>
      <c r="R1402" s="1">
        <f t="shared" si="86"/>
        <v>4.3</v>
      </c>
      <c r="S1402">
        <v>4.3</v>
      </c>
      <c r="T1402" t="b">
        <v>0</v>
      </c>
      <c r="U1402" t="str">
        <f t="shared" si="87"/>
        <v>No Return</v>
      </c>
    </row>
    <row r="1403" spans="1:22" hidden="1" x14ac:dyDescent="0.3">
      <c r="A1403" t="s">
        <v>1456</v>
      </c>
      <c r="B1403" t="s">
        <v>21</v>
      </c>
      <c r="C1403" t="s">
        <v>32</v>
      </c>
      <c r="D1403" t="s">
        <v>34</v>
      </c>
      <c r="E1403" t="str">
        <f t="shared" si="84"/>
        <v>OS</v>
      </c>
      <c r="F1403" t="s">
        <v>49</v>
      </c>
      <c r="G1403" t="s">
        <v>70</v>
      </c>
      <c r="H1403" s="8">
        <v>71.83</v>
      </c>
      <c r="I1403" s="3">
        <f t="shared" si="85"/>
        <v>0</v>
      </c>
      <c r="J1403" s="4">
        <v>0</v>
      </c>
      <c r="K1403" s="11">
        <f>Table1[[#This Row],[original_price]]* (Table1[[#This Row],[Markdown percentage updated]])</f>
        <v>0</v>
      </c>
      <c r="L14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03" s="6">
        <v>71.83</v>
      </c>
      <c r="N14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03" s="7">
        <v>45875</v>
      </c>
      <c r="P1403">
        <v>46</v>
      </c>
      <c r="Q1403" s="16" t="str">
        <f>IF(Table1[[#This Row],[stock_quantity]]=0,"NO STOCK",
IF(Table1[[#This Row],[stock_quantity]]&lt;=10,"LOW STOCK",
"IN STOCK"))</f>
        <v>IN STOCK</v>
      </c>
      <c r="R1403" s="1">
        <f t="shared" si="86"/>
        <v>4.5</v>
      </c>
      <c r="S1403">
        <v>4.5</v>
      </c>
      <c r="T1403" t="b">
        <v>0</v>
      </c>
      <c r="U1403" t="str">
        <f t="shared" si="87"/>
        <v>No Return</v>
      </c>
    </row>
    <row r="1404" spans="1:22" hidden="1" x14ac:dyDescent="0.3">
      <c r="A1404" t="s">
        <v>1457</v>
      </c>
      <c r="B1404" t="s">
        <v>21</v>
      </c>
      <c r="C1404" t="s">
        <v>48</v>
      </c>
      <c r="D1404" t="s">
        <v>62</v>
      </c>
      <c r="E1404" t="str">
        <f t="shared" si="84"/>
        <v>OS</v>
      </c>
      <c r="F1404" t="s">
        <v>24</v>
      </c>
      <c r="G1404" t="s">
        <v>64</v>
      </c>
      <c r="H1404" s="8">
        <v>29.17</v>
      </c>
      <c r="I1404" s="3">
        <f t="shared" si="85"/>
        <v>0</v>
      </c>
      <c r="J1404" s="4">
        <v>0</v>
      </c>
      <c r="K1404" s="11">
        <f>Table1[[#This Row],[original_price]]* (Table1[[#This Row],[Markdown percentage updated]])</f>
        <v>0</v>
      </c>
      <c r="L14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04" s="6">
        <v>29.17</v>
      </c>
      <c r="N14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04" s="7">
        <v>45875</v>
      </c>
      <c r="P1404">
        <v>17</v>
      </c>
      <c r="Q1404" s="16" t="str">
        <f>IF(Table1[[#This Row],[stock_quantity]]=0,"NO STOCK",
IF(Table1[[#This Row],[stock_quantity]]&lt;=10,"LOW STOCK",
"IN STOCK"))</f>
        <v>IN STOCK</v>
      </c>
      <c r="R1404" s="1">
        <f t="shared" si="86"/>
        <v>1.6</v>
      </c>
      <c r="S1404">
        <v>1.6</v>
      </c>
      <c r="T1404" t="b">
        <v>0</v>
      </c>
      <c r="U1404" t="str">
        <f t="shared" si="87"/>
        <v>No Return</v>
      </c>
    </row>
    <row r="1405" spans="1:22" hidden="1" x14ac:dyDescent="0.3">
      <c r="A1405" t="s">
        <v>1458</v>
      </c>
      <c r="B1405" t="s">
        <v>21</v>
      </c>
      <c r="C1405" t="s">
        <v>48</v>
      </c>
      <c r="D1405" t="s">
        <v>17</v>
      </c>
      <c r="E1405" t="str">
        <f t="shared" si="84"/>
        <v>OS</v>
      </c>
      <c r="F1405" t="s">
        <v>39</v>
      </c>
      <c r="G1405" t="s">
        <v>46</v>
      </c>
      <c r="H1405" s="8">
        <v>31.3</v>
      </c>
      <c r="I1405" s="3">
        <f t="shared" si="85"/>
        <v>0.436</v>
      </c>
      <c r="J1405" s="4">
        <v>43.6</v>
      </c>
      <c r="K1405" s="11">
        <f>Table1[[#This Row],[original_price]]* (Table1[[#This Row],[Markdown percentage updated]])</f>
        <v>13.646800000000001</v>
      </c>
      <c r="L14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05" s="6">
        <v>17.649999999999999</v>
      </c>
      <c r="N14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405" s="7">
        <v>45722</v>
      </c>
      <c r="P1405">
        <v>21</v>
      </c>
      <c r="Q1405" s="16" t="str">
        <f>IF(Table1[[#This Row],[stock_quantity]]=0,"NO STOCK",
IF(Table1[[#This Row],[stock_quantity]]&lt;=10,"LOW STOCK",
"IN STOCK"))</f>
        <v>IN STOCK</v>
      </c>
      <c r="R1405" s="1">
        <f t="shared" si="86"/>
        <v>4.4000000000000004</v>
      </c>
      <c r="S1405">
        <v>4.4000000000000004</v>
      </c>
      <c r="T1405" t="b">
        <v>0</v>
      </c>
      <c r="U1405" t="str">
        <f t="shared" si="87"/>
        <v>No Return</v>
      </c>
    </row>
    <row r="1406" spans="1:22" hidden="1" x14ac:dyDescent="0.3">
      <c r="A1406" t="s">
        <v>1459</v>
      </c>
      <c r="B1406" t="s">
        <v>27</v>
      </c>
      <c r="C1406" t="s">
        <v>16</v>
      </c>
      <c r="D1406" t="s">
        <v>34</v>
      </c>
      <c r="E1406" t="str">
        <f t="shared" si="84"/>
        <v>L</v>
      </c>
      <c r="G1406" t="s">
        <v>46</v>
      </c>
      <c r="H1406" s="8">
        <v>73.569999999999993</v>
      </c>
      <c r="I1406" s="3">
        <f t="shared" si="85"/>
        <v>0</v>
      </c>
      <c r="J1406" s="4">
        <v>0</v>
      </c>
      <c r="K1406" s="11">
        <f>Table1[[#This Row],[original_price]]* (Table1[[#This Row],[Markdown percentage updated]])</f>
        <v>0</v>
      </c>
      <c r="L14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06" s="6">
        <v>73.569999999999993</v>
      </c>
      <c r="N14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06" s="7">
        <v>45875</v>
      </c>
      <c r="P1406">
        <v>22</v>
      </c>
      <c r="Q1406" s="16" t="str">
        <f>IF(Table1[[#This Row],[stock_quantity]]=0,"NO STOCK",
IF(Table1[[#This Row],[stock_quantity]]&lt;=10,"LOW STOCK",
"IN STOCK"))</f>
        <v>IN STOCK</v>
      </c>
      <c r="R1406" s="1">
        <f t="shared" si="86"/>
        <v>1.1000000000000001</v>
      </c>
      <c r="S1406">
        <v>1.1000000000000001</v>
      </c>
      <c r="T1406" t="b">
        <v>0</v>
      </c>
      <c r="U1406" t="str">
        <f t="shared" si="87"/>
        <v>No Return</v>
      </c>
    </row>
    <row r="1407" spans="1:22" hidden="1" x14ac:dyDescent="0.3">
      <c r="A1407" t="s">
        <v>1460</v>
      </c>
      <c r="B1407" t="s">
        <v>30</v>
      </c>
      <c r="C1407" t="s">
        <v>43</v>
      </c>
      <c r="D1407" t="s">
        <v>62</v>
      </c>
      <c r="E1407" t="str">
        <f t="shared" si="84"/>
        <v>L</v>
      </c>
      <c r="G1407" t="s">
        <v>25</v>
      </c>
      <c r="H1407" s="8">
        <v>75.95</v>
      </c>
      <c r="I1407" s="3">
        <f t="shared" si="85"/>
        <v>0</v>
      </c>
      <c r="J1407" s="4">
        <v>0</v>
      </c>
      <c r="K1407" s="11">
        <f>Table1[[#This Row],[original_price]]* (Table1[[#This Row],[Markdown percentage updated]])</f>
        <v>0</v>
      </c>
      <c r="L14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07" s="6">
        <v>75.95</v>
      </c>
      <c r="N14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07" s="7">
        <v>45875</v>
      </c>
      <c r="P1407">
        <v>14</v>
      </c>
      <c r="Q1407" s="16" t="str">
        <f>IF(Table1[[#This Row],[stock_quantity]]=0,"NO STOCK",
IF(Table1[[#This Row],[stock_quantity]]&lt;=10,"LOW STOCK",
"IN STOCK"))</f>
        <v>IN STOCK</v>
      </c>
      <c r="R1407" s="1">
        <f t="shared" si="86"/>
        <v>0</v>
      </c>
      <c r="T1407" t="b">
        <v>0</v>
      </c>
      <c r="U1407" t="str">
        <f t="shared" si="87"/>
        <v>No Return</v>
      </c>
    </row>
    <row r="1408" spans="1:22" hidden="1" x14ac:dyDescent="0.3">
      <c r="A1408" t="s">
        <v>1461</v>
      </c>
      <c r="B1408" t="s">
        <v>27</v>
      </c>
      <c r="C1408" t="s">
        <v>48</v>
      </c>
      <c r="D1408" t="s">
        <v>17</v>
      </c>
      <c r="E1408" t="str">
        <f t="shared" si="84"/>
        <v>S</v>
      </c>
      <c r="G1408" t="s">
        <v>46</v>
      </c>
      <c r="H1408" s="8">
        <v>79.040000000000006</v>
      </c>
      <c r="I1408" s="3">
        <f t="shared" si="85"/>
        <v>0</v>
      </c>
      <c r="J1408" s="4">
        <v>0</v>
      </c>
      <c r="K1408" s="11">
        <f>Table1[[#This Row],[original_price]]* (Table1[[#This Row],[Markdown percentage updated]])</f>
        <v>0</v>
      </c>
      <c r="L14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08" s="6">
        <v>79.040000000000006</v>
      </c>
      <c r="N14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08" s="7">
        <v>45568</v>
      </c>
      <c r="P1408">
        <v>28</v>
      </c>
      <c r="Q1408" s="16" t="str">
        <f>IF(Table1[[#This Row],[stock_quantity]]=0,"NO STOCK",
IF(Table1[[#This Row],[stock_quantity]]&lt;=10,"LOW STOCK",
"IN STOCK"))</f>
        <v>IN STOCK</v>
      </c>
      <c r="R1408" s="1">
        <f t="shared" si="86"/>
        <v>4.7</v>
      </c>
      <c r="S1408">
        <v>4.7</v>
      </c>
      <c r="T1408" t="b">
        <v>0</v>
      </c>
      <c r="U1408" t="str">
        <f t="shared" si="87"/>
        <v>No Return</v>
      </c>
    </row>
    <row r="1409" spans="1:22" hidden="1" x14ac:dyDescent="0.3">
      <c r="A1409" t="s">
        <v>1462</v>
      </c>
      <c r="B1409" t="s">
        <v>21</v>
      </c>
      <c r="C1409" t="s">
        <v>43</v>
      </c>
      <c r="D1409" t="s">
        <v>34</v>
      </c>
      <c r="E1409" t="str">
        <f t="shared" si="84"/>
        <v>M</v>
      </c>
      <c r="F1409" t="s">
        <v>24</v>
      </c>
      <c r="G1409" t="s">
        <v>35</v>
      </c>
      <c r="H1409" s="8">
        <v>26.85</v>
      </c>
      <c r="I1409" s="3">
        <f t="shared" si="85"/>
        <v>0</v>
      </c>
      <c r="J1409" s="4">
        <v>0</v>
      </c>
      <c r="K1409" s="11">
        <f>Table1[[#This Row],[original_price]]* (Table1[[#This Row],[Markdown percentage updated]])</f>
        <v>0</v>
      </c>
      <c r="L14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09" s="6">
        <v>26.85</v>
      </c>
      <c r="N14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09" s="7">
        <v>45875</v>
      </c>
      <c r="P1409">
        <v>26</v>
      </c>
      <c r="Q1409" s="16" t="str">
        <f>IF(Table1[[#This Row],[stock_quantity]]=0,"NO STOCK",
IF(Table1[[#This Row],[stock_quantity]]&lt;=10,"LOW STOCK",
"IN STOCK"))</f>
        <v>IN STOCK</v>
      </c>
      <c r="R1409" s="1">
        <f t="shared" si="86"/>
        <v>0</v>
      </c>
      <c r="T1409" t="b">
        <v>0</v>
      </c>
      <c r="U1409" t="str">
        <f t="shared" si="87"/>
        <v>No Return</v>
      </c>
    </row>
    <row r="1410" spans="1:22" hidden="1" x14ac:dyDescent="0.3">
      <c r="A1410" t="s">
        <v>1463</v>
      </c>
      <c r="B1410" t="s">
        <v>42</v>
      </c>
      <c r="C1410" t="s">
        <v>53</v>
      </c>
      <c r="D1410" t="s">
        <v>17</v>
      </c>
      <c r="E1410" t="str">
        <f t="shared" ref="E1410:E1473" si="88">IF(ISBLANK(F1413),"OS",F1413)</f>
        <v>XL</v>
      </c>
      <c r="F1410" t="s">
        <v>24</v>
      </c>
      <c r="G1410" t="s">
        <v>40</v>
      </c>
      <c r="H1410" s="8">
        <v>126.21</v>
      </c>
      <c r="I1410" s="3">
        <f t="shared" ref="I1410:I1473" si="89">J1410/100</f>
        <v>0.29199999999999998</v>
      </c>
      <c r="J1410" s="4">
        <v>29.2</v>
      </c>
      <c r="K1410" s="11">
        <f>Table1[[#This Row],[original_price]]* (Table1[[#This Row],[Markdown percentage updated]])</f>
        <v>36.853319999999997</v>
      </c>
      <c r="L14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410" s="6">
        <v>89.36</v>
      </c>
      <c r="N14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10" s="7">
        <v>45519</v>
      </c>
      <c r="P1410">
        <v>25</v>
      </c>
      <c r="Q1410" s="16" t="str">
        <f>IF(Table1[[#This Row],[stock_quantity]]=0,"NO STOCK",
IF(Table1[[#This Row],[stock_quantity]]&lt;=10,"LOW STOCK",
"IN STOCK"))</f>
        <v>IN STOCK</v>
      </c>
      <c r="R1410" s="1">
        <f t="shared" si="86"/>
        <v>1.1000000000000001</v>
      </c>
      <c r="S1410">
        <v>1.1000000000000001</v>
      </c>
      <c r="T1410" t="b">
        <v>0</v>
      </c>
      <c r="U1410" t="str">
        <f t="shared" si="87"/>
        <v>No Return</v>
      </c>
    </row>
    <row r="1411" spans="1:22" hidden="1" x14ac:dyDescent="0.3">
      <c r="A1411" t="s">
        <v>1464</v>
      </c>
      <c r="B1411" t="s">
        <v>30</v>
      </c>
      <c r="C1411" t="s">
        <v>43</v>
      </c>
      <c r="D1411" t="s">
        <v>34</v>
      </c>
      <c r="E1411" t="str">
        <f t="shared" si="88"/>
        <v>L</v>
      </c>
      <c r="F1411" t="s">
        <v>39</v>
      </c>
      <c r="G1411" t="s">
        <v>64</v>
      </c>
      <c r="H1411" s="8">
        <v>71.459999999999994</v>
      </c>
      <c r="I1411" s="3">
        <f t="shared" si="89"/>
        <v>0</v>
      </c>
      <c r="J1411" s="4">
        <v>0</v>
      </c>
      <c r="K1411" s="11">
        <f>Table1[[#This Row],[original_price]]* (Table1[[#This Row],[Markdown percentage updated]])</f>
        <v>0</v>
      </c>
      <c r="L14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11" s="6">
        <v>71.459999999999994</v>
      </c>
      <c r="N14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11" s="7">
        <v>45875</v>
      </c>
      <c r="P1411">
        <v>2</v>
      </c>
      <c r="Q1411" s="17" t="str">
        <f>IF(Table1[[#This Row],[stock_quantity]]=0,"NO STOCK",
IF(Table1[[#This Row],[stock_quantity]]&lt;=10,"LOW STOCK",
"IN STOCK"))</f>
        <v>LOW STOCK</v>
      </c>
      <c r="R1411" s="1">
        <f t="shared" ref="R1411:R1474" si="90">IF(ISBLANK(S1411), 0, S1411)</f>
        <v>3.1</v>
      </c>
      <c r="S1411">
        <v>3.1</v>
      </c>
      <c r="T1411" t="b">
        <v>0</v>
      </c>
      <c r="U1411" t="str">
        <f t="shared" ref="U1411:U1474" si="91">IF(V1411="","No Return",V1411)</f>
        <v>No Return</v>
      </c>
    </row>
    <row r="1412" spans="1:22" hidden="1" x14ac:dyDescent="0.3">
      <c r="A1412" t="s">
        <v>1465</v>
      </c>
      <c r="B1412" t="s">
        <v>42</v>
      </c>
      <c r="C1412" t="s">
        <v>43</v>
      </c>
      <c r="D1412" t="s">
        <v>23</v>
      </c>
      <c r="E1412" t="str">
        <f t="shared" si="88"/>
        <v>OS</v>
      </c>
      <c r="F1412" t="s">
        <v>58</v>
      </c>
      <c r="G1412" t="s">
        <v>56</v>
      </c>
      <c r="H1412" s="8">
        <v>65.069999999999993</v>
      </c>
      <c r="I1412" s="3">
        <f t="shared" si="89"/>
        <v>0.14800000000000002</v>
      </c>
      <c r="J1412" s="4">
        <v>14.8</v>
      </c>
      <c r="K1412" s="11">
        <f>Table1[[#This Row],[original_price]]* (Table1[[#This Row],[Markdown percentage updated]])</f>
        <v>9.6303599999999996</v>
      </c>
      <c r="L14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12" s="6">
        <v>55.44</v>
      </c>
      <c r="N14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412" s="7">
        <v>45875</v>
      </c>
      <c r="P1412">
        <v>21</v>
      </c>
      <c r="Q1412" s="16" t="str">
        <f>IF(Table1[[#This Row],[stock_quantity]]=0,"NO STOCK",
IF(Table1[[#This Row],[stock_quantity]]&lt;=10,"LOW STOCK",
"IN STOCK"))</f>
        <v>IN STOCK</v>
      </c>
      <c r="R1412" s="1">
        <f t="shared" si="90"/>
        <v>0</v>
      </c>
      <c r="T1412" t="b">
        <v>0</v>
      </c>
      <c r="U1412" t="str">
        <f t="shared" si="91"/>
        <v>No Return</v>
      </c>
    </row>
    <row r="1413" spans="1:22" hidden="1" x14ac:dyDescent="0.3">
      <c r="A1413" t="s">
        <v>1466</v>
      </c>
      <c r="B1413" t="s">
        <v>38</v>
      </c>
      <c r="C1413" t="s">
        <v>43</v>
      </c>
      <c r="D1413" t="s">
        <v>34</v>
      </c>
      <c r="E1413" t="str">
        <f t="shared" si="88"/>
        <v>M</v>
      </c>
      <c r="F1413" t="s">
        <v>18</v>
      </c>
      <c r="G1413" t="s">
        <v>25</v>
      </c>
      <c r="H1413" s="8">
        <v>28.11</v>
      </c>
      <c r="I1413" s="3">
        <f t="shared" si="89"/>
        <v>0.20899999999999999</v>
      </c>
      <c r="J1413" s="4">
        <v>20.9</v>
      </c>
      <c r="K1413" s="11">
        <f>Table1[[#This Row],[original_price]]* (Table1[[#This Row],[Markdown percentage updated]])</f>
        <v>5.8749899999999995</v>
      </c>
      <c r="L14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413" s="6">
        <v>22.24</v>
      </c>
      <c r="N14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413" s="7">
        <v>45875</v>
      </c>
      <c r="P1413">
        <v>6</v>
      </c>
      <c r="Q1413" s="17" t="str">
        <f>IF(Table1[[#This Row],[stock_quantity]]=0,"NO STOCK",
IF(Table1[[#This Row],[stock_quantity]]&lt;=10,"LOW STOCK",
"IN STOCK"))</f>
        <v>LOW STOCK</v>
      </c>
      <c r="R1413" s="1">
        <f t="shared" si="90"/>
        <v>2.2999999999999998</v>
      </c>
      <c r="S1413">
        <v>2.2999999999999998</v>
      </c>
      <c r="T1413" t="b">
        <v>0</v>
      </c>
      <c r="U1413" t="str">
        <f t="shared" si="91"/>
        <v>No Return</v>
      </c>
    </row>
    <row r="1414" spans="1:22" hidden="1" x14ac:dyDescent="0.3">
      <c r="A1414" t="s">
        <v>1467</v>
      </c>
      <c r="B1414" t="s">
        <v>21</v>
      </c>
      <c r="C1414" t="s">
        <v>48</v>
      </c>
      <c r="D1414" t="s">
        <v>17</v>
      </c>
      <c r="E1414" t="str">
        <f t="shared" si="88"/>
        <v>S</v>
      </c>
      <c r="F1414" t="s">
        <v>24</v>
      </c>
      <c r="G1414" t="s">
        <v>46</v>
      </c>
      <c r="H1414" s="8">
        <v>29.12</v>
      </c>
      <c r="I1414" s="3">
        <f t="shared" si="89"/>
        <v>0</v>
      </c>
      <c r="J1414" s="4">
        <v>0</v>
      </c>
      <c r="K1414" s="11">
        <f>Table1[[#This Row],[original_price]]* (Table1[[#This Row],[Markdown percentage updated]])</f>
        <v>0</v>
      </c>
      <c r="L14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14" s="6">
        <v>29.12</v>
      </c>
      <c r="N14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14" s="7">
        <v>45741</v>
      </c>
      <c r="P1414">
        <v>14</v>
      </c>
      <c r="Q1414" s="16" t="str">
        <f>IF(Table1[[#This Row],[stock_quantity]]=0,"NO STOCK",
IF(Table1[[#This Row],[stock_quantity]]&lt;=10,"LOW STOCK",
"IN STOCK"))</f>
        <v>IN STOCK</v>
      </c>
      <c r="R1414" s="1">
        <f t="shared" si="90"/>
        <v>2.7</v>
      </c>
      <c r="S1414">
        <v>2.7</v>
      </c>
      <c r="T1414" t="b">
        <v>0</v>
      </c>
      <c r="U1414" t="str">
        <f t="shared" si="91"/>
        <v>No Return</v>
      </c>
    </row>
    <row r="1415" spans="1:22" hidden="1" x14ac:dyDescent="0.3">
      <c r="A1415" t="s">
        <v>1468</v>
      </c>
      <c r="B1415" t="s">
        <v>27</v>
      </c>
      <c r="C1415" t="s">
        <v>75</v>
      </c>
      <c r="D1415" t="s">
        <v>23</v>
      </c>
      <c r="E1415" t="str">
        <f t="shared" si="88"/>
        <v>XL</v>
      </c>
      <c r="G1415" t="s">
        <v>28</v>
      </c>
      <c r="H1415" s="8">
        <v>57.1</v>
      </c>
      <c r="I1415" s="3">
        <f t="shared" si="89"/>
        <v>0</v>
      </c>
      <c r="J1415" s="4">
        <v>0</v>
      </c>
      <c r="K1415" s="11">
        <f>Table1[[#This Row],[original_price]]* (Table1[[#This Row],[Markdown percentage updated]])</f>
        <v>0</v>
      </c>
      <c r="L14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15" s="6">
        <v>57.1</v>
      </c>
      <c r="N14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15" s="7">
        <v>45875</v>
      </c>
      <c r="P1415">
        <v>28</v>
      </c>
      <c r="Q1415" s="16" t="str">
        <f>IF(Table1[[#This Row],[stock_quantity]]=0,"NO STOCK",
IF(Table1[[#This Row],[stock_quantity]]&lt;=10,"LOW STOCK",
"IN STOCK"))</f>
        <v>IN STOCK</v>
      </c>
      <c r="R1415" s="1">
        <f t="shared" si="90"/>
        <v>0</v>
      </c>
      <c r="T1415" t="b">
        <v>1</v>
      </c>
      <c r="U1415" s="13" t="str">
        <f t="shared" si="91"/>
        <v>Wrong Item</v>
      </c>
      <c r="V1415" t="s">
        <v>125</v>
      </c>
    </row>
    <row r="1416" spans="1:22" hidden="1" x14ac:dyDescent="0.3">
      <c r="A1416" t="s">
        <v>1469</v>
      </c>
      <c r="B1416" t="s">
        <v>15</v>
      </c>
      <c r="C1416" t="s">
        <v>22</v>
      </c>
      <c r="D1416" t="s">
        <v>17</v>
      </c>
      <c r="E1416" t="str">
        <f t="shared" si="88"/>
        <v>OS</v>
      </c>
      <c r="F1416" t="s">
        <v>58</v>
      </c>
      <c r="G1416" t="s">
        <v>28</v>
      </c>
      <c r="H1416" s="8">
        <v>248.05</v>
      </c>
      <c r="I1416" s="3">
        <f t="shared" si="89"/>
        <v>0</v>
      </c>
      <c r="J1416" s="4">
        <v>0</v>
      </c>
      <c r="K1416" s="11">
        <f>Table1[[#This Row],[original_price]]* (Table1[[#This Row],[Markdown percentage updated]])</f>
        <v>0</v>
      </c>
      <c r="L14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16" s="6">
        <v>248.05</v>
      </c>
      <c r="N14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16" s="7">
        <v>45776</v>
      </c>
      <c r="P1416">
        <v>17</v>
      </c>
      <c r="Q1416" s="16" t="str">
        <f>IF(Table1[[#This Row],[stock_quantity]]=0,"NO STOCK",
IF(Table1[[#This Row],[stock_quantity]]&lt;=10,"LOW STOCK",
"IN STOCK"))</f>
        <v>IN STOCK</v>
      </c>
      <c r="R1416" s="1">
        <f t="shared" si="90"/>
        <v>4.5999999999999996</v>
      </c>
      <c r="S1416">
        <v>4.5999999999999996</v>
      </c>
      <c r="T1416" t="b">
        <v>0</v>
      </c>
      <c r="U1416" t="str">
        <f t="shared" si="91"/>
        <v>No Return</v>
      </c>
    </row>
    <row r="1417" spans="1:22" hidden="1" x14ac:dyDescent="0.3">
      <c r="A1417" t="s">
        <v>1470</v>
      </c>
      <c r="B1417" t="s">
        <v>38</v>
      </c>
      <c r="C1417" t="s">
        <v>16</v>
      </c>
      <c r="D1417" t="s">
        <v>34</v>
      </c>
      <c r="E1417" t="str">
        <f t="shared" si="88"/>
        <v>M</v>
      </c>
      <c r="F1417" t="s">
        <v>39</v>
      </c>
      <c r="G1417" t="s">
        <v>40</v>
      </c>
      <c r="H1417" s="8">
        <v>108.59</v>
      </c>
      <c r="I1417" s="3">
        <f t="shared" si="89"/>
        <v>0.40600000000000003</v>
      </c>
      <c r="J1417" s="4">
        <v>40.6</v>
      </c>
      <c r="K1417" s="11">
        <f>Table1[[#This Row],[original_price]]* (Table1[[#This Row],[Markdown percentage updated]])</f>
        <v>44.087540000000004</v>
      </c>
      <c r="L14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17" s="6">
        <v>64.5</v>
      </c>
      <c r="N14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17" s="7">
        <v>45875</v>
      </c>
      <c r="P1417">
        <v>9</v>
      </c>
      <c r="Q1417" s="17" t="str">
        <f>IF(Table1[[#This Row],[stock_quantity]]=0,"NO STOCK",
IF(Table1[[#This Row],[stock_quantity]]&lt;=10,"LOW STOCK",
"IN STOCK"))</f>
        <v>LOW STOCK</v>
      </c>
      <c r="R1417" s="1">
        <f t="shared" si="90"/>
        <v>1.3</v>
      </c>
      <c r="S1417">
        <v>1.3</v>
      </c>
      <c r="T1417" t="b">
        <v>0</v>
      </c>
      <c r="U1417" t="str">
        <f t="shared" si="91"/>
        <v>No Return</v>
      </c>
    </row>
    <row r="1418" spans="1:22" hidden="1" x14ac:dyDescent="0.3">
      <c r="A1418" t="s">
        <v>1471</v>
      </c>
      <c r="B1418" t="s">
        <v>15</v>
      </c>
      <c r="C1418" t="s">
        <v>75</v>
      </c>
      <c r="D1418" t="s">
        <v>62</v>
      </c>
      <c r="E1418" t="str">
        <f t="shared" si="88"/>
        <v>XL</v>
      </c>
      <c r="F1418" t="s">
        <v>18</v>
      </c>
      <c r="G1418" t="s">
        <v>56</v>
      </c>
      <c r="H1418" s="8">
        <v>124.13</v>
      </c>
      <c r="I1418" s="3">
        <f t="shared" si="89"/>
        <v>0</v>
      </c>
      <c r="J1418" s="4">
        <v>0</v>
      </c>
      <c r="K1418" s="11">
        <f>Table1[[#This Row],[original_price]]* (Table1[[#This Row],[Markdown percentage updated]])</f>
        <v>0</v>
      </c>
      <c r="L14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18" s="6">
        <v>124.13</v>
      </c>
      <c r="N14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18" s="7">
        <v>45875</v>
      </c>
      <c r="P1418">
        <v>33</v>
      </c>
      <c r="Q1418" s="16" t="str">
        <f>IF(Table1[[#This Row],[stock_quantity]]=0,"NO STOCK",
IF(Table1[[#This Row],[stock_quantity]]&lt;=10,"LOW STOCK",
"IN STOCK"))</f>
        <v>IN STOCK</v>
      </c>
      <c r="R1418" s="1">
        <f t="shared" si="90"/>
        <v>5</v>
      </c>
      <c r="S1418">
        <v>5</v>
      </c>
      <c r="T1418" t="b">
        <v>0</v>
      </c>
      <c r="U1418" t="str">
        <f t="shared" si="91"/>
        <v>No Return</v>
      </c>
    </row>
    <row r="1419" spans="1:22" hidden="1" x14ac:dyDescent="0.3">
      <c r="A1419" t="s">
        <v>1472</v>
      </c>
      <c r="B1419" t="s">
        <v>27</v>
      </c>
      <c r="C1419" t="s">
        <v>16</v>
      </c>
      <c r="D1419" t="s">
        <v>17</v>
      </c>
      <c r="E1419" t="str">
        <f t="shared" si="88"/>
        <v>M</v>
      </c>
      <c r="G1419" t="s">
        <v>70</v>
      </c>
      <c r="H1419" s="8">
        <v>62.21</v>
      </c>
      <c r="I1419" s="3">
        <f t="shared" si="89"/>
        <v>1.8000000000000002E-2</v>
      </c>
      <c r="J1419" s="4">
        <v>1.8</v>
      </c>
      <c r="K1419" s="11">
        <f>Table1[[#This Row],[original_price]]* (Table1[[#This Row],[Markdown percentage updated]])</f>
        <v>1.1197800000000002</v>
      </c>
      <c r="L14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19" s="6">
        <v>61.09</v>
      </c>
      <c r="N14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419" s="7">
        <v>45599</v>
      </c>
      <c r="P1419">
        <v>4</v>
      </c>
      <c r="Q1419" s="17" t="str">
        <f>IF(Table1[[#This Row],[stock_quantity]]=0,"NO STOCK",
IF(Table1[[#This Row],[stock_quantity]]&lt;=10,"LOW STOCK",
"IN STOCK"))</f>
        <v>LOW STOCK</v>
      </c>
      <c r="R1419" s="1">
        <f t="shared" si="90"/>
        <v>2.2999999999999998</v>
      </c>
      <c r="S1419">
        <v>2.2999999999999998</v>
      </c>
      <c r="T1419" t="b">
        <v>0</v>
      </c>
      <c r="U1419" t="str">
        <f t="shared" si="91"/>
        <v>No Return</v>
      </c>
    </row>
    <row r="1420" spans="1:22" hidden="1" x14ac:dyDescent="0.3">
      <c r="A1420" t="s">
        <v>1473</v>
      </c>
      <c r="B1420" t="s">
        <v>38</v>
      </c>
      <c r="C1420" t="s">
        <v>22</v>
      </c>
      <c r="D1420" t="s">
        <v>34</v>
      </c>
      <c r="E1420" t="str">
        <f t="shared" si="88"/>
        <v>OS</v>
      </c>
      <c r="F1420" t="s">
        <v>58</v>
      </c>
      <c r="G1420" t="s">
        <v>40</v>
      </c>
      <c r="H1420" s="8">
        <v>48.27</v>
      </c>
      <c r="I1420" s="3">
        <f t="shared" si="89"/>
        <v>0</v>
      </c>
      <c r="J1420" s="4">
        <v>0</v>
      </c>
      <c r="K1420" s="11">
        <f>Table1[[#This Row],[original_price]]* (Table1[[#This Row],[Markdown percentage updated]])</f>
        <v>0</v>
      </c>
      <c r="L14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20" s="6">
        <v>48.27</v>
      </c>
      <c r="N14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20" s="7">
        <v>45875</v>
      </c>
      <c r="P1420">
        <v>33</v>
      </c>
      <c r="Q1420" s="16" t="str">
        <f>IF(Table1[[#This Row],[stock_quantity]]=0,"NO STOCK",
IF(Table1[[#This Row],[stock_quantity]]&lt;=10,"LOW STOCK",
"IN STOCK"))</f>
        <v>IN STOCK</v>
      </c>
      <c r="R1420" s="1">
        <f t="shared" si="90"/>
        <v>0</v>
      </c>
      <c r="T1420" t="b">
        <v>0</v>
      </c>
      <c r="U1420" t="str">
        <f t="shared" si="91"/>
        <v>No Return</v>
      </c>
    </row>
    <row r="1421" spans="1:22" hidden="1" x14ac:dyDescent="0.3">
      <c r="A1421" t="s">
        <v>1474</v>
      </c>
      <c r="B1421" t="s">
        <v>21</v>
      </c>
      <c r="C1421" t="s">
        <v>16</v>
      </c>
      <c r="D1421" t="s">
        <v>17</v>
      </c>
      <c r="E1421" t="str">
        <f t="shared" si="88"/>
        <v>XS</v>
      </c>
      <c r="F1421" t="s">
        <v>18</v>
      </c>
      <c r="G1421" t="s">
        <v>44</v>
      </c>
      <c r="H1421" s="8">
        <v>88.77</v>
      </c>
      <c r="I1421" s="3">
        <f t="shared" si="89"/>
        <v>0</v>
      </c>
      <c r="J1421" s="4">
        <v>0</v>
      </c>
      <c r="K1421" s="11">
        <f>Table1[[#This Row],[original_price]]* (Table1[[#This Row],[Markdown percentage updated]])</f>
        <v>0</v>
      </c>
      <c r="L14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21" s="6">
        <v>88.77</v>
      </c>
      <c r="N14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21" s="7">
        <v>45793</v>
      </c>
      <c r="P1421">
        <v>40</v>
      </c>
      <c r="Q1421" s="16" t="str">
        <f>IF(Table1[[#This Row],[stock_quantity]]=0,"NO STOCK",
IF(Table1[[#This Row],[stock_quantity]]&lt;=10,"LOW STOCK",
"IN STOCK"))</f>
        <v>IN STOCK</v>
      </c>
      <c r="R1421" s="1">
        <f t="shared" si="90"/>
        <v>4.8</v>
      </c>
      <c r="S1421">
        <v>4.8</v>
      </c>
      <c r="T1421" t="b">
        <v>0</v>
      </c>
      <c r="U1421" t="str">
        <f t="shared" si="91"/>
        <v>No Return</v>
      </c>
    </row>
    <row r="1422" spans="1:22" hidden="1" x14ac:dyDescent="0.3">
      <c r="A1422" t="s">
        <v>1475</v>
      </c>
      <c r="B1422" t="s">
        <v>42</v>
      </c>
      <c r="C1422" t="s">
        <v>61</v>
      </c>
      <c r="D1422" t="s">
        <v>34</v>
      </c>
      <c r="E1422" t="str">
        <f t="shared" si="88"/>
        <v>XL</v>
      </c>
      <c r="F1422" t="s">
        <v>58</v>
      </c>
      <c r="G1422" t="s">
        <v>64</v>
      </c>
      <c r="H1422" s="8">
        <v>94.17</v>
      </c>
      <c r="I1422" s="3">
        <f t="shared" si="89"/>
        <v>0</v>
      </c>
      <c r="J1422" s="4">
        <v>0</v>
      </c>
      <c r="K1422" s="11">
        <f>Table1[[#This Row],[original_price]]* (Table1[[#This Row],[Markdown percentage updated]])</f>
        <v>0</v>
      </c>
      <c r="L14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22" s="6">
        <v>94.17</v>
      </c>
      <c r="N14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22" s="7">
        <v>45875</v>
      </c>
      <c r="P1422">
        <v>2</v>
      </c>
      <c r="Q1422" s="17" t="str">
        <f>IF(Table1[[#This Row],[stock_quantity]]=0,"NO STOCK",
IF(Table1[[#This Row],[stock_quantity]]&lt;=10,"LOW STOCK",
"IN STOCK"))</f>
        <v>LOW STOCK</v>
      </c>
      <c r="R1422" s="1">
        <f t="shared" si="90"/>
        <v>0</v>
      </c>
      <c r="T1422" t="b">
        <v>0</v>
      </c>
      <c r="U1422" t="str">
        <f t="shared" si="91"/>
        <v>No Return</v>
      </c>
    </row>
    <row r="1423" spans="1:22" hidden="1" x14ac:dyDescent="0.3">
      <c r="A1423" t="s">
        <v>1476</v>
      </c>
      <c r="B1423" t="s">
        <v>27</v>
      </c>
      <c r="C1423" t="s">
        <v>75</v>
      </c>
      <c r="D1423" t="s">
        <v>34</v>
      </c>
      <c r="E1423" t="str">
        <f t="shared" si="88"/>
        <v>XL</v>
      </c>
      <c r="G1423" t="s">
        <v>28</v>
      </c>
      <c r="H1423" s="8">
        <v>30.44</v>
      </c>
      <c r="I1423" s="3">
        <f t="shared" si="89"/>
        <v>0</v>
      </c>
      <c r="J1423" s="4">
        <v>0</v>
      </c>
      <c r="K1423" s="11">
        <f>Table1[[#This Row],[original_price]]* (Table1[[#This Row],[Markdown percentage updated]])</f>
        <v>0</v>
      </c>
      <c r="L14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23" s="6">
        <v>30.44</v>
      </c>
      <c r="N14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23" s="7">
        <v>45875</v>
      </c>
      <c r="P1423">
        <v>42</v>
      </c>
      <c r="Q1423" s="16" t="str">
        <f>IF(Table1[[#This Row],[stock_quantity]]=0,"NO STOCK",
IF(Table1[[#This Row],[stock_quantity]]&lt;=10,"LOW STOCK",
"IN STOCK"))</f>
        <v>IN STOCK</v>
      </c>
      <c r="R1423" s="1">
        <f t="shared" si="90"/>
        <v>0</v>
      </c>
      <c r="T1423" t="b">
        <v>0</v>
      </c>
      <c r="U1423" t="str">
        <f t="shared" si="91"/>
        <v>No Return</v>
      </c>
    </row>
    <row r="1424" spans="1:22" hidden="1" x14ac:dyDescent="0.3">
      <c r="A1424" t="s">
        <v>1477</v>
      </c>
      <c r="B1424" t="s">
        <v>38</v>
      </c>
      <c r="C1424" t="s">
        <v>22</v>
      </c>
      <c r="D1424" t="s">
        <v>34</v>
      </c>
      <c r="E1424" t="str">
        <f t="shared" si="88"/>
        <v>L</v>
      </c>
      <c r="F1424" t="s">
        <v>55</v>
      </c>
      <c r="G1424" t="s">
        <v>66</v>
      </c>
      <c r="H1424" s="8">
        <v>114.29</v>
      </c>
      <c r="I1424" s="3">
        <f t="shared" si="89"/>
        <v>0</v>
      </c>
      <c r="J1424" s="4">
        <v>0</v>
      </c>
      <c r="K1424" s="11">
        <f>Table1[[#This Row],[original_price]]* (Table1[[#This Row],[Markdown percentage updated]])</f>
        <v>0</v>
      </c>
      <c r="L14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24" s="6">
        <v>114.29</v>
      </c>
      <c r="N14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24" s="7">
        <v>45875</v>
      </c>
      <c r="P1424">
        <v>9</v>
      </c>
      <c r="Q1424" s="17" t="str">
        <f>IF(Table1[[#This Row],[stock_quantity]]=0,"NO STOCK",
IF(Table1[[#This Row],[stock_quantity]]&lt;=10,"LOW STOCK",
"IN STOCK"))</f>
        <v>LOW STOCK</v>
      </c>
      <c r="R1424" s="1">
        <f t="shared" si="90"/>
        <v>3.2</v>
      </c>
      <c r="S1424">
        <v>3.2</v>
      </c>
      <c r="T1424" t="b">
        <v>0</v>
      </c>
      <c r="U1424" t="str">
        <f t="shared" si="91"/>
        <v>No Return</v>
      </c>
    </row>
    <row r="1425" spans="1:22" hidden="1" x14ac:dyDescent="0.3">
      <c r="A1425" t="s">
        <v>1478</v>
      </c>
      <c r="B1425" t="s">
        <v>30</v>
      </c>
      <c r="C1425" t="s">
        <v>22</v>
      </c>
      <c r="D1425" t="s">
        <v>34</v>
      </c>
      <c r="E1425" t="str">
        <f t="shared" si="88"/>
        <v>S</v>
      </c>
      <c r="F1425" t="s">
        <v>18</v>
      </c>
      <c r="G1425" t="s">
        <v>40</v>
      </c>
      <c r="H1425" s="8">
        <v>105.01</v>
      </c>
      <c r="I1425" s="3">
        <f t="shared" si="89"/>
        <v>0.25800000000000001</v>
      </c>
      <c r="J1425" s="4">
        <v>25.8</v>
      </c>
      <c r="K1425" s="11">
        <f>Table1[[#This Row],[original_price]]* (Table1[[#This Row],[Markdown percentage updated]])</f>
        <v>27.092580000000002</v>
      </c>
      <c r="L14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425" s="6">
        <v>77.92</v>
      </c>
      <c r="N14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25" s="7">
        <v>45875</v>
      </c>
      <c r="P1425">
        <v>17</v>
      </c>
      <c r="Q1425" s="16" t="str">
        <f>IF(Table1[[#This Row],[stock_quantity]]=0,"NO STOCK",
IF(Table1[[#This Row],[stock_quantity]]&lt;=10,"LOW STOCK",
"IN STOCK"))</f>
        <v>IN STOCK</v>
      </c>
      <c r="R1425" s="1">
        <f t="shared" si="90"/>
        <v>3.2</v>
      </c>
      <c r="S1425">
        <v>3.2</v>
      </c>
      <c r="T1425" t="b">
        <v>0</v>
      </c>
      <c r="U1425" t="str">
        <f t="shared" si="91"/>
        <v>No Return</v>
      </c>
    </row>
    <row r="1426" spans="1:22" hidden="1" x14ac:dyDescent="0.3">
      <c r="A1426" t="s">
        <v>1479</v>
      </c>
      <c r="B1426" t="s">
        <v>21</v>
      </c>
      <c r="C1426" t="s">
        <v>53</v>
      </c>
      <c r="D1426" t="s">
        <v>17</v>
      </c>
      <c r="E1426" t="str">
        <f t="shared" si="88"/>
        <v>XL</v>
      </c>
      <c r="F1426" t="s">
        <v>18</v>
      </c>
      <c r="G1426" t="s">
        <v>44</v>
      </c>
      <c r="H1426" s="8">
        <v>38.56</v>
      </c>
      <c r="I1426" s="3">
        <f t="shared" si="89"/>
        <v>0</v>
      </c>
      <c r="J1426" s="4">
        <v>0</v>
      </c>
      <c r="K1426" s="11">
        <f>Table1[[#This Row],[original_price]]* (Table1[[#This Row],[Markdown percentage updated]])</f>
        <v>0</v>
      </c>
      <c r="L14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26" s="6">
        <v>38.56</v>
      </c>
      <c r="N14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26" s="7">
        <v>45807</v>
      </c>
      <c r="P1426">
        <v>39</v>
      </c>
      <c r="Q1426" s="16" t="str">
        <f>IF(Table1[[#This Row],[stock_quantity]]=0,"NO STOCK",
IF(Table1[[#This Row],[stock_quantity]]&lt;=10,"LOW STOCK",
"IN STOCK"))</f>
        <v>IN STOCK</v>
      </c>
      <c r="R1426" s="1">
        <f t="shared" si="90"/>
        <v>1.5</v>
      </c>
      <c r="S1426">
        <v>1.5</v>
      </c>
      <c r="T1426" t="b">
        <v>0</v>
      </c>
      <c r="U1426" t="str">
        <f t="shared" si="91"/>
        <v>No Return</v>
      </c>
    </row>
    <row r="1427" spans="1:22" hidden="1" x14ac:dyDescent="0.3">
      <c r="A1427" t="s">
        <v>1480</v>
      </c>
      <c r="B1427" t="s">
        <v>30</v>
      </c>
      <c r="C1427" t="s">
        <v>43</v>
      </c>
      <c r="D1427" t="s">
        <v>23</v>
      </c>
      <c r="E1427" t="str">
        <f t="shared" si="88"/>
        <v>OS</v>
      </c>
      <c r="F1427" t="s">
        <v>24</v>
      </c>
      <c r="G1427" t="s">
        <v>66</v>
      </c>
      <c r="H1427" s="8">
        <v>64.94</v>
      </c>
      <c r="I1427" s="3">
        <f t="shared" si="89"/>
        <v>0</v>
      </c>
      <c r="J1427" s="4">
        <v>0</v>
      </c>
      <c r="K1427" s="11">
        <f>Table1[[#This Row],[original_price]]* (Table1[[#This Row],[Markdown percentage updated]])</f>
        <v>0</v>
      </c>
      <c r="L14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27" s="6">
        <v>64.94</v>
      </c>
      <c r="N14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27" s="7">
        <v>45875</v>
      </c>
      <c r="P1427">
        <v>32</v>
      </c>
      <c r="Q1427" s="16" t="str">
        <f>IF(Table1[[#This Row],[stock_quantity]]=0,"NO STOCK",
IF(Table1[[#This Row],[stock_quantity]]&lt;=10,"LOW STOCK",
"IN STOCK"))</f>
        <v>IN STOCK</v>
      </c>
      <c r="R1427" s="1">
        <f t="shared" si="90"/>
        <v>4.5</v>
      </c>
      <c r="S1427">
        <v>4.5</v>
      </c>
      <c r="T1427" t="b">
        <v>0</v>
      </c>
      <c r="U1427" t="str">
        <f t="shared" si="91"/>
        <v>No Return</v>
      </c>
    </row>
    <row r="1428" spans="1:22" hidden="1" x14ac:dyDescent="0.3">
      <c r="A1428" t="s">
        <v>1481</v>
      </c>
      <c r="B1428" t="s">
        <v>38</v>
      </c>
      <c r="C1428" t="s">
        <v>43</v>
      </c>
      <c r="D1428" t="s">
        <v>23</v>
      </c>
      <c r="E1428" t="str">
        <f t="shared" si="88"/>
        <v>XL</v>
      </c>
      <c r="F1428" t="s">
        <v>39</v>
      </c>
      <c r="G1428" t="s">
        <v>46</v>
      </c>
      <c r="H1428" s="8">
        <v>63.74</v>
      </c>
      <c r="I1428" s="3">
        <f t="shared" si="89"/>
        <v>0.56799999999999995</v>
      </c>
      <c r="J1428" s="4">
        <v>56.8</v>
      </c>
      <c r="K1428" s="11">
        <f>Table1[[#This Row],[original_price]]* (Table1[[#This Row],[Markdown percentage updated]])</f>
        <v>36.204319999999996</v>
      </c>
      <c r="L14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28" s="6">
        <v>27.54</v>
      </c>
      <c r="N14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28" s="7">
        <v>45875</v>
      </c>
      <c r="P1428">
        <v>15</v>
      </c>
      <c r="Q1428" s="16" t="str">
        <f>IF(Table1[[#This Row],[stock_quantity]]=0,"NO STOCK",
IF(Table1[[#This Row],[stock_quantity]]&lt;=10,"LOW STOCK",
"IN STOCK"))</f>
        <v>IN STOCK</v>
      </c>
      <c r="R1428" s="1">
        <f t="shared" si="90"/>
        <v>4</v>
      </c>
      <c r="S1428">
        <v>4</v>
      </c>
      <c r="T1428" t="b">
        <v>0</v>
      </c>
      <c r="U1428" t="str">
        <f t="shared" si="91"/>
        <v>No Return</v>
      </c>
    </row>
    <row r="1429" spans="1:22" hidden="1" x14ac:dyDescent="0.3">
      <c r="A1429" t="s">
        <v>1482</v>
      </c>
      <c r="B1429" t="s">
        <v>21</v>
      </c>
      <c r="C1429" t="s">
        <v>16</v>
      </c>
      <c r="D1429" t="s">
        <v>62</v>
      </c>
      <c r="E1429" t="str">
        <f t="shared" si="88"/>
        <v>M</v>
      </c>
      <c r="F1429" t="s">
        <v>18</v>
      </c>
      <c r="G1429" t="s">
        <v>25</v>
      </c>
      <c r="H1429" s="8">
        <v>67.23</v>
      </c>
      <c r="I1429" s="3">
        <f t="shared" si="89"/>
        <v>0.111</v>
      </c>
      <c r="J1429" s="4">
        <v>11.1</v>
      </c>
      <c r="K1429" s="11">
        <f>Table1[[#This Row],[original_price]]* (Table1[[#This Row],[Markdown percentage updated]])</f>
        <v>7.4625300000000001</v>
      </c>
      <c r="L14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29" s="6">
        <v>59.77</v>
      </c>
      <c r="N14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429" s="7">
        <v>45875</v>
      </c>
      <c r="P1429">
        <v>39</v>
      </c>
      <c r="Q1429" s="16" t="str">
        <f>IF(Table1[[#This Row],[stock_quantity]]=0,"NO STOCK",
IF(Table1[[#This Row],[stock_quantity]]&lt;=10,"LOW STOCK",
"IN STOCK"))</f>
        <v>IN STOCK</v>
      </c>
      <c r="R1429" s="1">
        <f t="shared" si="90"/>
        <v>1.1000000000000001</v>
      </c>
      <c r="S1429">
        <v>1.1000000000000001</v>
      </c>
      <c r="T1429" t="b">
        <v>1</v>
      </c>
      <c r="U1429" s="13" t="str">
        <f t="shared" si="91"/>
        <v>Wrong Item</v>
      </c>
      <c r="V1429" t="s">
        <v>125</v>
      </c>
    </row>
    <row r="1430" spans="1:22" hidden="1" x14ac:dyDescent="0.3">
      <c r="A1430" t="s">
        <v>1483</v>
      </c>
      <c r="B1430" t="s">
        <v>27</v>
      </c>
      <c r="C1430" t="s">
        <v>48</v>
      </c>
      <c r="D1430" t="s">
        <v>17</v>
      </c>
      <c r="E1430" t="str">
        <f t="shared" si="88"/>
        <v>OS</v>
      </c>
      <c r="G1430" t="s">
        <v>44</v>
      </c>
      <c r="H1430" s="8">
        <v>27.2</v>
      </c>
      <c r="I1430" s="3">
        <f t="shared" si="89"/>
        <v>0.40399999999999997</v>
      </c>
      <c r="J1430" s="4">
        <v>40.4</v>
      </c>
      <c r="K1430" s="11">
        <f>Table1[[#This Row],[original_price]]* (Table1[[#This Row],[Markdown percentage updated]])</f>
        <v>10.988799999999999</v>
      </c>
      <c r="L14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30" s="6">
        <v>16.21</v>
      </c>
      <c r="N14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430" s="7">
        <v>45523</v>
      </c>
      <c r="P1430">
        <v>20</v>
      </c>
      <c r="Q1430" s="16" t="str">
        <f>IF(Table1[[#This Row],[stock_quantity]]=0,"NO STOCK",
IF(Table1[[#This Row],[stock_quantity]]&lt;=10,"LOW STOCK",
"IN STOCK"))</f>
        <v>IN STOCK</v>
      </c>
      <c r="R1430" s="1">
        <f t="shared" si="90"/>
        <v>4.3</v>
      </c>
      <c r="S1430">
        <v>4.3</v>
      </c>
      <c r="T1430" t="b">
        <v>0</v>
      </c>
      <c r="U1430" t="str">
        <f t="shared" si="91"/>
        <v>No Return</v>
      </c>
    </row>
    <row r="1431" spans="1:22" hidden="1" x14ac:dyDescent="0.3">
      <c r="A1431" t="s">
        <v>1484</v>
      </c>
      <c r="B1431" t="s">
        <v>21</v>
      </c>
      <c r="C1431" t="s">
        <v>43</v>
      </c>
      <c r="D1431" t="s">
        <v>17</v>
      </c>
      <c r="E1431" t="str">
        <f t="shared" si="88"/>
        <v>XS</v>
      </c>
      <c r="F1431" t="s">
        <v>18</v>
      </c>
      <c r="G1431" t="s">
        <v>70</v>
      </c>
      <c r="H1431" s="8">
        <v>75.84</v>
      </c>
      <c r="I1431" s="3">
        <f t="shared" si="89"/>
        <v>0</v>
      </c>
      <c r="J1431" s="4">
        <v>0</v>
      </c>
      <c r="K1431" s="11">
        <f>Table1[[#This Row],[original_price]]* (Table1[[#This Row],[Markdown percentage updated]])</f>
        <v>0</v>
      </c>
      <c r="L14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31" s="6">
        <v>75.84</v>
      </c>
      <c r="N14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31" s="7">
        <v>45754</v>
      </c>
      <c r="P1431">
        <v>8</v>
      </c>
      <c r="Q1431" s="17" t="str">
        <f>IF(Table1[[#This Row],[stock_quantity]]=0,"NO STOCK",
IF(Table1[[#This Row],[stock_quantity]]&lt;=10,"LOW STOCK",
"IN STOCK"))</f>
        <v>LOW STOCK</v>
      </c>
      <c r="R1431" s="1">
        <f t="shared" si="90"/>
        <v>4.0999999999999996</v>
      </c>
      <c r="S1431">
        <v>4.0999999999999996</v>
      </c>
      <c r="T1431" t="b">
        <v>0</v>
      </c>
      <c r="U1431" t="str">
        <f t="shared" si="91"/>
        <v>No Return</v>
      </c>
    </row>
    <row r="1432" spans="1:22" hidden="1" x14ac:dyDescent="0.3">
      <c r="A1432" t="s">
        <v>1485</v>
      </c>
      <c r="B1432" t="s">
        <v>42</v>
      </c>
      <c r="C1432" t="s">
        <v>43</v>
      </c>
      <c r="D1432" t="s">
        <v>23</v>
      </c>
      <c r="E1432" t="str">
        <f t="shared" si="88"/>
        <v>XS</v>
      </c>
      <c r="F1432" t="s">
        <v>58</v>
      </c>
      <c r="G1432" t="s">
        <v>64</v>
      </c>
      <c r="H1432" s="8">
        <v>68.510000000000005</v>
      </c>
      <c r="I1432" s="3">
        <f t="shared" si="89"/>
        <v>0</v>
      </c>
      <c r="J1432" s="4">
        <v>0</v>
      </c>
      <c r="K1432" s="11">
        <f>Table1[[#This Row],[original_price]]* (Table1[[#This Row],[Markdown percentage updated]])</f>
        <v>0</v>
      </c>
      <c r="L14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32" s="6">
        <v>68.510000000000005</v>
      </c>
      <c r="N14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32" s="7">
        <v>45875</v>
      </c>
      <c r="P1432">
        <v>1</v>
      </c>
      <c r="Q1432" s="17" t="str">
        <f>IF(Table1[[#This Row],[stock_quantity]]=0,"NO STOCK",
IF(Table1[[#This Row],[stock_quantity]]&lt;=10,"LOW STOCK",
"IN STOCK"))</f>
        <v>LOW STOCK</v>
      </c>
      <c r="R1432" s="1">
        <f t="shared" si="90"/>
        <v>2.6</v>
      </c>
      <c r="S1432">
        <v>2.6</v>
      </c>
      <c r="T1432" t="b">
        <v>0</v>
      </c>
      <c r="U1432" t="str">
        <f t="shared" si="91"/>
        <v>No Return</v>
      </c>
    </row>
    <row r="1433" spans="1:22" hidden="1" x14ac:dyDescent="0.3">
      <c r="A1433" t="s">
        <v>1486</v>
      </c>
      <c r="B1433" t="s">
        <v>27</v>
      </c>
      <c r="C1433" t="s">
        <v>43</v>
      </c>
      <c r="D1433" t="s">
        <v>62</v>
      </c>
      <c r="E1433" t="str">
        <f t="shared" si="88"/>
        <v>L</v>
      </c>
      <c r="G1433" t="s">
        <v>66</v>
      </c>
      <c r="H1433" s="8">
        <v>25.49</v>
      </c>
      <c r="I1433" s="3">
        <f t="shared" si="89"/>
        <v>0</v>
      </c>
      <c r="J1433" s="4">
        <v>0</v>
      </c>
      <c r="K1433" s="11">
        <f>Table1[[#This Row],[original_price]]* (Table1[[#This Row],[Markdown percentage updated]])</f>
        <v>0</v>
      </c>
      <c r="L14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33" s="6">
        <v>25.49</v>
      </c>
      <c r="N14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33" s="7">
        <v>45875</v>
      </c>
      <c r="P1433">
        <v>35</v>
      </c>
      <c r="Q1433" s="16" t="str">
        <f>IF(Table1[[#This Row],[stock_quantity]]=0,"NO STOCK",
IF(Table1[[#This Row],[stock_quantity]]&lt;=10,"LOW STOCK",
"IN STOCK"))</f>
        <v>IN STOCK</v>
      </c>
      <c r="R1433" s="1">
        <f t="shared" si="90"/>
        <v>2.2000000000000002</v>
      </c>
      <c r="S1433">
        <v>2.2000000000000002</v>
      </c>
      <c r="T1433" t="b">
        <v>1</v>
      </c>
      <c r="U1433" s="13" t="str">
        <f t="shared" si="91"/>
        <v>Size Issue</v>
      </c>
      <c r="V1433" t="s">
        <v>73</v>
      </c>
    </row>
    <row r="1434" spans="1:22" hidden="1" x14ac:dyDescent="0.3">
      <c r="A1434" t="s">
        <v>1487</v>
      </c>
      <c r="B1434" t="s">
        <v>21</v>
      </c>
      <c r="C1434" t="s">
        <v>53</v>
      </c>
      <c r="D1434" t="s">
        <v>34</v>
      </c>
      <c r="E1434" t="str">
        <f t="shared" si="88"/>
        <v>XL</v>
      </c>
      <c r="F1434" t="s">
        <v>55</v>
      </c>
      <c r="G1434" t="s">
        <v>19</v>
      </c>
      <c r="H1434" s="8">
        <v>70.88</v>
      </c>
      <c r="I1434" s="3">
        <f t="shared" si="89"/>
        <v>0</v>
      </c>
      <c r="J1434" s="4">
        <v>0</v>
      </c>
      <c r="K1434" s="11">
        <f>Table1[[#This Row],[original_price]]* (Table1[[#This Row],[Markdown percentage updated]])</f>
        <v>0</v>
      </c>
      <c r="L14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34" s="6">
        <v>70.88</v>
      </c>
      <c r="N14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34" s="7">
        <v>45875</v>
      </c>
      <c r="P1434">
        <v>5</v>
      </c>
      <c r="Q1434" s="17" t="str">
        <f>IF(Table1[[#This Row],[stock_quantity]]=0,"NO STOCK",
IF(Table1[[#This Row],[stock_quantity]]&lt;=10,"LOW STOCK",
"IN STOCK"))</f>
        <v>LOW STOCK</v>
      </c>
      <c r="R1434" s="1">
        <f t="shared" si="90"/>
        <v>2.2999999999999998</v>
      </c>
      <c r="S1434">
        <v>2.2999999999999998</v>
      </c>
      <c r="T1434" t="b">
        <v>0</v>
      </c>
      <c r="U1434" t="str">
        <f t="shared" si="91"/>
        <v>No Return</v>
      </c>
    </row>
    <row r="1435" spans="1:22" hidden="1" x14ac:dyDescent="0.3">
      <c r="A1435" t="s">
        <v>1488</v>
      </c>
      <c r="B1435" t="s">
        <v>30</v>
      </c>
      <c r="C1435" t="s">
        <v>48</v>
      </c>
      <c r="D1435" t="s">
        <v>62</v>
      </c>
      <c r="E1435" t="str">
        <f t="shared" si="88"/>
        <v>XL</v>
      </c>
      <c r="F1435" t="s">
        <v>55</v>
      </c>
      <c r="G1435" t="s">
        <v>35</v>
      </c>
      <c r="H1435" s="8">
        <v>176.64</v>
      </c>
      <c r="I1435" s="3">
        <f t="shared" si="89"/>
        <v>8.8000000000000009E-2</v>
      </c>
      <c r="J1435" s="4">
        <v>8.8000000000000007</v>
      </c>
      <c r="K1435" s="11">
        <f>Table1[[#This Row],[original_price]]* (Table1[[#This Row],[Markdown percentage updated]])</f>
        <v>15.544320000000001</v>
      </c>
      <c r="L14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35" s="6">
        <v>161.1</v>
      </c>
      <c r="N14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435" s="7">
        <v>45875</v>
      </c>
      <c r="P1435">
        <v>1</v>
      </c>
      <c r="Q1435" s="17" t="str">
        <f>IF(Table1[[#This Row],[stock_quantity]]=0,"NO STOCK",
IF(Table1[[#This Row],[stock_quantity]]&lt;=10,"LOW STOCK",
"IN STOCK"))</f>
        <v>LOW STOCK</v>
      </c>
      <c r="R1435" s="1">
        <f t="shared" si="90"/>
        <v>1.7</v>
      </c>
      <c r="S1435">
        <v>1.7</v>
      </c>
      <c r="T1435" t="b">
        <v>0</v>
      </c>
      <c r="U1435" t="str">
        <f t="shared" si="91"/>
        <v>No Return</v>
      </c>
    </row>
    <row r="1436" spans="1:22" hidden="1" x14ac:dyDescent="0.3">
      <c r="A1436" t="s">
        <v>1489</v>
      </c>
      <c r="B1436" t="s">
        <v>42</v>
      </c>
      <c r="C1436" t="s">
        <v>53</v>
      </c>
      <c r="D1436" t="s">
        <v>23</v>
      </c>
      <c r="E1436" t="str">
        <f t="shared" si="88"/>
        <v>XS</v>
      </c>
      <c r="F1436" t="s">
        <v>24</v>
      </c>
      <c r="G1436" t="s">
        <v>19</v>
      </c>
      <c r="H1436" s="8">
        <v>50.76</v>
      </c>
      <c r="I1436" s="3">
        <f t="shared" si="89"/>
        <v>0</v>
      </c>
      <c r="J1436" s="4">
        <v>0</v>
      </c>
      <c r="K1436" s="11">
        <f>Table1[[#This Row],[original_price]]* (Table1[[#This Row],[Markdown percentage updated]])</f>
        <v>0</v>
      </c>
      <c r="L14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36" s="6">
        <v>50.76</v>
      </c>
      <c r="N14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36" s="7">
        <v>45875</v>
      </c>
      <c r="P1436">
        <v>45</v>
      </c>
      <c r="Q1436" s="16" t="str">
        <f>IF(Table1[[#This Row],[stock_quantity]]=0,"NO STOCK",
IF(Table1[[#This Row],[stock_quantity]]&lt;=10,"LOW STOCK",
"IN STOCK"))</f>
        <v>IN STOCK</v>
      </c>
      <c r="R1436" s="1">
        <f t="shared" si="90"/>
        <v>4.3</v>
      </c>
      <c r="S1436">
        <v>4.3</v>
      </c>
      <c r="T1436" t="b">
        <v>0</v>
      </c>
      <c r="U1436" t="str">
        <f t="shared" si="91"/>
        <v>No Return</v>
      </c>
    </row>
    <row r="1437" spans="1:22" hidden="1" x14ac:dyDescent="0.3">
      <c r="A1437" t="s">
        <v>1490</v>
      </c>
      <c r="B1437" t="s">
        <v>30</v>
      </c>
      <c r="C1437" t="s">
        <v>43</v>
      </c>
      <c r="D1437" t="s">
        <v>34</v>
      </c>
      <c r="E1437" t="str">
        <f t="shared" si="88"/>
        <v>XS</v>
      </c>
      <c r="F1437" t="s">
        <v>18</v>
      </c>
      <c r="G1437" t="s">
        <v>25</v>
      </c>
      <c r="H1437" s="8">
        <v>155.85</v>
      </c>
      <c r="I1437" s="3">
        <f t="shared" si="89"/>
        <v>0</v>
      </c>
      <c r="J1437" s="4">
        <v>0</v>
      </c>
      <c r="K1437" s="11">
        <f>Table1[[#This Row],[original_price]]* (Table1[[#This Row],[Markdown percentage updated]])</f>
        <v>0</v>
      </c>
      <c r="L14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37" s="6">
        <v>155.85</v>
      </c>
      <c r="N14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37" s="7">
        <v>45875</v>
      </c>
      <c r="P1437">
        <v>1</v>
      </c>
      <c r="Q1437" s="17" t="str">
        <f>IF(Table1[[#This Row],[stock_quantity]]=0,"NO STOCK",
IF(Table1[[#This Row],[stock_quantity]]&lt;=10,"LOW STOCK",
"IN STOCK"))</f>
        <v>LOW STOCK</v>
      </c>
      <c r="R1437" s="1">
        <f t="shared" si="90"/>
        <v>3.5</v>
      </c>
      <c r="S1437">
        <v>3.5</v>
      </c>
      <c r="T1437" t="b">
        <v>0</v>
      </c>
      <c r="U1437" t="str">
        <f t="shared" si="91"/>
        <v>No Return</v>
      </c>
    </row>
    <row r="1438" spans="1:22" hidden="1" x14ac:dyDescent="0.3">
      <c r="A1438" t="s">
        <v>1491</v>
      </c>
      <c r="B1438" t="s">
        <v>42</v>
      </c>
      <c r="C1438" t="s">
        <v>32</v>
      </c>
      <c r="D1438" t="s">
        <v>17</v>
      </c>
      <c r="E1438" t="str">
        <f t="shared" si="88"/>
        <v>OS</v>
      </c>
      <c r="F1438" t="s">
        <v>18</v>
      </c>
      <c r="G1438" t="s">
        <v>44</v>
      </c>
      <c r="H1438" s="8">
        <v>48.04</v>
      </c>
      <c r="I1438" s="3">
        <f t="shared" si="89"/>
        <v>0</v>
      </c>
      <c r="J1438" s="4">
        <v>0</v>
      </c>
      <c r="K1438" s="11">
        <f>Table1[[#This Row],[original_price]]* (Table1[[#This Row],[Markdown percentage updated]])</f>
        <v>0</v>
      </c>
      <c r="L14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38" s="6">
        <v>48.04</v>
      </c>
      <c r="N14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38" s="7">
        <v>45778</v>
      </c>
      <c r="P1438">
        <v>20</v>
      </c>
      <c r="Q1438" s="16" t="str">
        <f>IF(Table1[[#This Row],[stock_quantity]]=0,"NO STOCK",
IF(Table1[[#This Row],[stock_quantity]]&lt;=10,"LOW STOCK",
"IN STOCK"))</f>
        <v>IN STOCK</v>
      </c>
      <c r="R1438" s="1">
        <f t="shared" si="90"/>
        <v>3.2</v>
      </c>
      <c r="S1438">
        <v>3.2</v>
      </c>
      <c r="T1438" t="b">
        <v>0</v>
      </c>
      <c r="U1438" t="str">
        <f t="shared" si="91"/>
        <v>No Return</v>
      </c>
    </row>
    <row r="1439" spans="1:22" hidden="1" x14ac:dyDescent="0.3">
      <c r="A1439" t="s">
        <v>1492</v>
      </c>
      <c r="B1439" t="s">
        <v>21</v>
      </c>
      <c r="C1439" t="s">
        <v>75</v>
      </c>
      <c r="D1439" t="s">
        <v>17</v>
      </c>
      <c r="E1439" t="str">
        <f t="shared" si="88"/>
        <v>XL</v>
      </c>
      <c r="F1439" t="s">
        <v>55</v>
      </c>
      <c r="G1439" t="s">
        <v>64</v>
      </c>
      <c r="H1439" s="8">
        <v>44.79</v>
      </c>
      <c r="I1439" s="3">
        <f t="shared" si="89"/>
        <v>0</v>
      </c>
      <c r="J1439" s="4">
        <v>0</v>
      </c>
      <c r="K1439" s="11">
        <f>Table1[[#This Row],[original_price]]* (Table1[[#This Row],[Markdown percentage updated]])</f>
        <v>0</v>
      </c>
      <c r="L14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39" s="6">
        <v>44.79</v>
      </c>
      <c r="N14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39" s="7">
        <v>45676</v>
      </c>
      <c r="P1439">
        <v>7</v>
      </c>
      <c r="Q1439" s="17" t="str">
        <f>IF(Table1[[#This Row],[stock_quantity]]=0,"NO STOCK",
IF(Table1[[#This Row],[stock_quantity]]&lt;=10,"LOW STOCK",
"IN STOCK"))</f>
        <v>LOW STOCK</v>
      </c>
      <c r="R1439" s="1">
        <f t="shared" si="90"/>
        <v>3.6</v>
      </c>
      <c r="S1439">
        <v>3.6</v>
      </c>
      <c r="T1439" t="b">
        <v>0</v>
      </c>
      <c r="U1439" t="str">
        <f t="shared" si="91"/>
        <v>No Return</v>
      </c>
    </row>
    <row r="1440" spans="1:22" hidden="1" x14ac:dyDescent="0.3">
      <c r="A1440" t="s">
        <v>1493</v>
      </c>
      <c r="B1440" t="s">
        <v>21</v>
      </c>
      <c r="C1440" t="s">
        <v>22</v>
      </c>
      <c r="D1440" t="s">
        <v>17</v>
      </c>
      <c r="E1440" t="str">
        <f t="shared" si="88"/>
        <v>OS</v>
      </c>
      <c r="F1440" t="s">
        <v>55</v>
      </c>
      <c r="G1440" t="s">
        <v>44</v>
      </c>
      <c r="H1440" s="8">
        <v>76.95</v>
      </c>
      <c r="I1440" s="3">
        <f t="shared" si="89"/>
        <v>0</v>
      </c>
      <c r="J1440" s="4">
        <v>0</v>
      </c>
      <c r="K1440" s="11">
        <f>Table1[[#This Row],[original_price]]* (Table1[[#This Row],[Markdown percentage updated]])</f>
        <v>0</v>
      </c>
      <c r="L14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40" s="6">
        <v>76.95</v>
      </c>
      <c r="N14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40" s="7">
        <v>45669</v>
      </c>
      <c r="P1440">
        <v>9</v>
      </c>
      <c r="Q1440" s="17" t="str">
        <f>IF(Table1[[#This Row],[stock_quantity]]=0,"NO STOCK",
IF(Table1[[#This Row],[stock_quantity]]&lt;=10,"LOW STOCK",
"IN STOCK"))</f>
        <v>LOW STOCK</v>
      </c>
      <c r="R1440" s="1">
        <f t="shared" si="90"/>
        <v>2.5</v>
      </c>
      <c r="S1440">
        <v>2.5</v>
      </c>
      <c r="T1440" t="b">
        <v>0</v>
      </c>
      <c r="U1440" t="str">
        <f t="shared" si="91"/>
        <v>No Return</v>
      </c>
    </row>
    <row r="1441" spans="1:22" hidden="1" x14ac:dyDescent="0.3">
      <c r="A1441" t="s">
        <v>1494</v>
      </c>
      <c r="B1441" t="s">
        <v>27</v>
      </c>
      <c r="C1441" t="s">
        <v>61</v>
      </c>
      <c r="D1441" t="s">
        <v>62</v>
      </c>
      <c r="E1441" t="str">
        <f t="shared" si="88"/>
        <v>OS</v>
      </c>
      <c r="G1441" t="s">
        <v>40</v>
      </c>
      <c r="H1441" s="8">
        <v>35.93</v>
      </c>
      <c r="I1441" s="3">
        <f t="shared" si="89"/>
        <v>0.499</v>
      </c>
      <c r="J1441" s="4">
        <v>49.9</v>
      </c>
      <c r="K1441" s="11">
        <f>Table1[[#This Row],[original_price]]* (Table1[[#This Row],[Markdown percentage updated]])</f>
        <v>17.929069999999999</v>
      </c>
      <c r="L14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41" s="6">
        <v>18</v>
      </c>
      <c r="N14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441" s="7">
        <v>45875</v>
      </c>
      <c r="P1441">
        <v>26</v>
      </c>
      <c r="Q1441" s="16" t="str">
        <f>IF(Table1[[#This Row],[stock_quantity]]=0,"NO STOCK",
IF(Table1[[#This Row],[stock_quantity]]&lt;=10,"LOW STOCK",
"IN STOCK"))</f>
        <v>IN STOCK</v>
      </c>
      <c r="R1441" s="1">
        <f t="shared" si="90"/>
        <v>4</v>
      </c>
      <c r="S1441">
        <v>4</v>
      </c>
      <c r="T1441" t="b">
        <v>0</v>
      </c>
      <c r="U1441" t="str">
        <f t="shared" si="91"/>
        <v>No Return</v>
      </c>
    </row>
    <row r="1442" spans="1:22" hidden="1" x14ac:dyDescent="0.3">
      <c r="A1442" t="s">
        <v>1495</v>
      </c>
      <c r="B1442" t="s">
        <v>38</v>
      </c>
      <c r="C1442" t="s">
        <v>32</v>
      </c>
      <c r="D1442" t="s">
        <v>34</v>
      </c>
      <c r="E1442" t="str">
        <f t="shared" si="88"/>
        <v>XXL</v>
      </c>
      <c r="F1442" t="s">
        <v>18</v>
      </c>
      <c r="G1442" t="s">
        <v>19</v>
      </c>
      <c r="H1442" s="8">
        <v>49.97</v>
      </c>
      <c r="I1442" s="3">
        <f t="shared" si="89"/>
        <v>0</v>
      </c>
      <c r="J1442" s="4">
        <v>0</v>
      </c>
      <c r="K1442" s="11">
        <f>Table1[[#This Row],[original_price]]* (Table1[[#This Row],[Markdown percentage updated]])</f>
        <v>0</v>
      </c>
      <c r="L14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42" s="6">
        <v>49.97</v>
      </c>
      <c r="N14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42" s="7">
        <v>45875</v>
      </c>
      <c r="P1442">
        <v>11</v>
      </c>
      <c r="Q1442" s="16" t="str">
        <f>IF(Table1[[#This Row],[stock_quantity]]=0,"NO STOCK",
IF(Table1[[#This Row],[stock_quantity]]&lt;=10,"LOW STOCK",
"IN STOCK"))</f>
        <v>IN STOCK</v>
      </c>
      <c r="R1442" s="1">
        <f t="shared" si="90"/>
        <v>3.5</v>
      </c>
      <c r="S1442">
        <v>3.5</v>
      </c>
      <c r="T1442" t="b">
        <v>1</v>
      </c>
      <c r="U1442" s="13" t="str">
        <f t="shared" si="91"/>
        <v>Quality Issue</v>
      </c>
      <c r="V1442" t="s">
        <v>83</v>
      </c>
    </row>
    <row r="1443" spans="1:22" hidden="1" x14ac:dyDescent="0.3">
      <c r="A1443" t="s">
        <v>1496</v>
      </c>
      <c r="B1443" t="s">
        <v>15</v>
      </c>
      <c r="C1443" t="s">
        <v>48</v>
      </c>
      <c r="D1443" t="s">
        <v>62</v>
      </c>
      <c r="E1443" t="str">
        <f t="shared" si="88"/>
        <v>OS</v>
      </c>
      <c r="G1443" t="s">
        <v>28</v>
      </c>
      <c r="H1443" s="8">
        <v>169.69</v>
      </c>
      <c r="I1443" s="3">
        <f t="shared" si="89"/>
        <v>0</v>
      </c>
      <c r="J1443" s="4">
        <v>0</v>
      </c>
      <c r="K1443" s="11">
        <f>Table1[[#This Row],[original_price]]* (Table1[[#This Row],[Markdown percentage updated]])</f>
        <v>0</v>
      </c>
      <c r="L14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43" s="6">
        <v>169.69</v>
      </c>
      <c r="N14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43" s="7">
        <v>45875</v>
      </c>
      <c r="P1443">
        <v>29</v>
      </c>
      <c r="Q1443" s="16" t="str">
        <f>IF(Table1[[#This Row],[stock_quantity]]=0,"NO STOCK",
IF(Table1[[#This Row],[stock_quantity]]&lt;=10,"LOW STOCK",
"IN STOCK"))</f>
        <v>IN STOCK</v>
      </c>
      <c r="R1443" s="1">
        <f t="shared" si="90"/>
        <v>1.9</v>
      </c>
      <c r="S1443">
        <v>1.9</v>
      </c>
      <c r="T1443" t="b">
        <v>0</v>
      </c>
      <c r="U1443" t="str">
        <f t="shared" si="91"/>
        <v>No Return</v>
      </c>
    </row>
    <row r="1444" spans="1:22" hidden="1" x14ac:dyDescent="0.3">
      <c r="A1444" t="s">
        <v>1497</v>
      </c>
      <c r="B1444" t="s">
        <v>15</v>
      </c>
      <c r="C1444" t="s">
        <v>53</v>
      </c>
      <c r="D1444" t="s">
        <v>17</v>
      </c>
      <c r="E1444" t="str">
        <f t="shared" si="88"/>
        <v>S</v>
      </c>
      <c r="G1444" t="s">
        <v>35</v>
      </c>
      <c r="H1444" s="8">
        <v>209.3</v>
      </c>
      <c r="I1444" s="3">
        <f t="shared" si="89"/>
        <v>0.14199999999999999</v>
      </c>
      <c r="J1444" s="4">
        <v>14.2</v>
      </c>
      <c r="K1444" s="11">
        <f>Table1[[#This Row],[original_price]]* (Table1[[#This Row],[Markdown percentage updated]])</f>
        <v>29.720599999999997</v>
      </c>
      <c r="L14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44" s="6">
        <v>179.58</v>
      </c>
      <c r="N14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44" s="7">
        <v>45721</v>
      </c>
      <c r="P1444">
        <v>29</v>
      </c>
      <c r="Q1444" s="16" t="str">
        <f>IF(Table1[[#This Row],[stock_quantity]]=0,"NO STOCK",
IF(Table1[[#This Row],[stock_quantity]]&lt;=10,"LOW STOCK",
"IN STOCK"))</f>
        <v>IN STOCK</v>
      </c>
      <c r="R1444" s="1">
        <f t="shared" si="90"/>
        <v>0</v>
      </c>
      <c r="T1444" t="b">
        <v>0</v>
      </c>
      <c r="U1444" t="str">
        <f t="shared" si="91"/>
        <v>No Return</v>
      </c>
    </row>
    <row r="1445" spans="1:22" hidden="1" x14ac:dyDescent="0.3">
      <c r="A1445" t="s">
        <v>1498</v>
      </c>
      <c r="B1445" t="s">
        <v>21</v>
      </c>
      <c r="C1445" t="s">
        <v>61</v>
      </c>
      <c r="D1445" t="s">
        <v>62</v>
      </c>
      <c r="E1445" t="str">
        <f t="shared" si="88"/>
        <v>XS</v>
      </c>
      <c r="F1445" t="s">
        <v>49</v>
      </c>
      <c r="G1445" t="s">
        <v>25</v>
      </c>
      <c r="H1445" s="8">
        <v>110.81</v>
      </c>
      <c r="I1445" s="3">
        <f t="shared" si="89"/>
        <v>0</v>
      </c>
      <c r="J1445" s="4">
        <v>0</v>
      </c>
      <c r="K1445" s="11">
        <f>Table1[[#This Row],[original_price]]* (Table1[[#This Row],[Markdown percentage updated]])</f>
        <v>0</v>
      </c>
      <c r="L14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45" s="6">
        <v>110.81</v>
      </c>
      <c r="N14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45" s="7">
        <v>45875</v>
      </c>
      <c r="P1445">
        <v>24</v>
      </c>
      <c r="Q1445" s="16" t="str">
        <f>IF(Table1[[#This Row],[stock_quantity]]=0,"NO STOCK",
IF(Table1[[#This Row],[stock_quantity]]&lt;=10,"LOW STOCK",
"IN STOCK"))</f>
        <v>IN STOCK</v>
      </c>
      <c r="R1445" s="1">
        <f t="shared" si="90"/>
        <v>2.4</v>
      </c>
      <c r="S1445">
        <v>2.4</v>
      </c>
      <c r="T1445" t="b">
        <v>0</v>
      </c>
      <c r="U1445" t="str">
        <f t="shared" si="91"/>
        <v>No Return</v>
      </c>
    </row>
    <row r="1446" spans="1:22" hidden="1" x14ac:dyDescent="0.3">
      <c r="A1446" t="s">
        <v>1499</v>
      </c>
      <c r="B1446" t="s">
        <v>27</v>
      </c>
      <c r="C1446" t="s">
        <v>22</v>
      </c>
      <c r="D1446" t="s">
        <v>34</v>
      </c>
      <c r="E1446" t="str">
        <f t="shared" si="88"/>
        <v>XL</v>
      </c>
      <c r="G1446" t="s">
        <v>28</v>
      </c>
      <c r="H1446" s="8">
        <v>61.84</v>
      </c>
      <c r="I1446" s="3">
        <f t="shared" si="89"/>
        <v>0</v>
      </c>
      <c r="J1446" s="4">
        <v>0</v>
      </c>
      <c r="K1446" s="11">
        <f>Table1[[#This Row],[original_price]]* (Table1[[#This Row],[Markdown percentage updated]])</f>
        <v>0</v>
      </c>
      <c r="L14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46" s="6">
        <v>61.84</v>
      </c>
      <c r="N14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46" s="7">
        <v>45875</v>
      </c>
      <c r="P1446">
        <v>0</v>
      </c>
      <c r="Q1446" s="13" t="str">
        <f>IF(Table1[[#This Row],[stock_quantity]]=0,"NO STOCK",
IF(Table1[[#This Row],[stock_quantity]]&lt;=10,"LOW STOCK",
"IN STOCK"))</f>
        <v>NO STOCK</v>
      </c>
      <c r="R1446" s="1">
        <f t="shared" si="90"/>
        <v>4.7</v>
      </c>
      <c r="S1446">
        <v>4.7</v>
      </c>
      <c r="T1446" t="b">
        <v>1</v>
      </c>
      <c r="U1446" s="13" t="str">
        <f t="shared" si="91"/>
        <v>Wrong Item</v>
      </c>
      <c r="V1446" t="s">
        <v>125</v>
      </c>
    </row>
    <row r="1447" spans="1:22" hidden="1" x14ac:dyDescent="0.3">
      <c r="A1447" t="s">
        <v>1500</v>
      </c>
      <c r="B1447" t="s">
        <v>15</v>
      </c>
      <c r="C1447" t="s">
        <v>16</v>
      </c>
      <c r="D1447" t="s">
        <v>17</v>
      </c>
      <c r="E1447" t="str">
        <f t="shared" si="88"/>
        <v>OS</v>
      </c>
      <c r="F1447" t="s">
        <v>39</v>
      </c>
      <c r="G1447" t="s">
        <v>70</v>
      </c>
      <c r="H1447" s="8">
        <v>190.03</v>
      </c>
      <c r="I1447" s="3">
        <f t="shared" si="89"/>
        <v>0.14899999999999999</v>
      </c>
      <c r="J1447" s="4">
        <v>14.9</v>
      </c>
      <c r="K1447" s="11">
        <f>Table1[[#This Row],[original_price]]* (Table1[[#This Row],[Markdown percentage updated]])</f>
        <v>28.31447</v>
      </c>
      <c r="L14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47" s="6">
        <v>161.72</v>
      </c>
      <c r="N14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47" s="7">
        <v>45862</v>
      </c>
      <c r="P1447">
        <v>35</v>
      </c>
      <c r="Q1447" s="16" t="str">
        <f>IF(Table1[[#This Row],[stock_quantity]]=0,"NO STOCK",
IF(Table1[[#This Row],[stock_quantity]]&lt;=10,"LOW STOCK",
"IN STOCK"))</f>
        <v>IN STOCK</v>
      </c>
      <c r="R1447" s="1">
        <f t="shared" si="90"/>
        <v>4.0999999999999996</v>
      </c>
      <c r="S1447">
        <v>4.0999999999999996</v>
      </c>
      <c r="T1447" t="b">
        <v>0</v>
      </c>
      <c r="U1447" t="str">
        <f t="shared" si="91"/>
        <v>No Return</v>
      </c>
    </row>
    <row r="1448" spans="1:22" hidden="1" x14ac:dyDescent="0.3">
      <c r="A1448" t="s">
        <v>1501</v>
      </c>
      <c r="B1448" t="s">
        <v>38</v>
      </c>
      <c r="C1448" t="s">
        <v>32</v>
      </c>
      <c r="D1448" t="s">
        <v>34</v>
      </c>
      <c r="E1448" t="str">
        <f t="shared" si="88"/>
        <v>XS</v>
      </c>
      <c r="F1448" t="s">
        <v>55</v>
      </c>
      <c r="G1448" t="s">
        <v>19</v>
      </c>
      <c r="H1448" s="8">
        <v>74.27</v>
      </c>
      <c r="I1448" s="3">
        <f t="shared" si="89"/>
        <v>0</v>
      </c>
      <c r="J1448" s="4">
        <v>0</v>
      </c>
      <c r="K1448" s="11">
        <f>Table1[[#This Row],[original_price]]* (Table1[[#This Row],[Markdown percentage updated]])</f>
        <v>0</v>
      </c>
      <c r="L14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48" s="6">
        <v>74.27</v>
      </c>
      <c r="N14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48" s="7">
        <v>45875</v>
      </c>
      <c r="P1448">
        <v>6</v>
      </c>
      <c r="Q1448" s="17" t="str">
        <f>IF(Table1[[#This Row],[stock_quantity]]=0,"NO STOCK",
IF(Table1[[#This Row],[stock_quantity]]&lt;=10,"LOW STOCK",
"IN STOCK"))</f>
        <v>LOW STOCK</v>
      </c>
      <c r="R1448" s="1">
        <f t="shared" si="90"/>
        <v>1.3</v>
      </c>
      <c r="S1448">
        <v>1.3</v>
      </c>
      <c r="T1448" t="b">
        <v>0</v>
      </c>
      <c r="U1448" t="str">
        <f t="shared" si="91"/>
        <v>No Return</v>
      </c>
    </row>
    <row r="1449" spans="1:22" hidden="1" x14ac:dyDescent="0.3">
      <c r="A1449" t="s">
        <v>1502</v>
      </c>
      <c r="B1449" t="s">
        <v>15</v>
      </c>
      <c r="C1449" t="s">
        <v>16</v>
      </c>
      <c r="D1449" t="s">
        <v>34</v>
      </c>
      <c r="E1449" t="str">
        <f t="shared" si="88"/>
        <v>OS</v>
      </c>
      <c r="F1449" t="s">
        <v>18</v>
      </c>
      <c r="G1449" t="s">
        <v>56</v>
      </c>
      <c r="H1449" s="8">
        <v>163.77000000000001</v>
      </c>
      <c r="I1449" s="3">
        <f t="shared" si="89"/>
        <v>0.30499999999999999</v>
      </c>
      <c r="J1449" s="4">
        <v>30.5</v>
      </c>
      <c r="K1449" s="11">
        <f>Table1[[#This Row],[original_price]]* (Table1[[#This Row],[Markdown percentage updated]])</f>
        <v>49.949850000000005</v>
      </c>
      <c r="L14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49" s="6">
        <v>113.82</v>
      </c>
      <c r="N14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49" s="7">
        <v>45875</v>
      </c>
      <c r="P1449">
        <v>10</v>
      </c>
      <c r="Q1449" s="17" t="str">
        <f>IF(Table1[[#This Row],[stock_quantity]]=0,"NO STOCK",
IF(Table1[[#This Row],[stock_quantity]]&lt;=10,"LOW STOCK",
"IN STOCK"))</f>
        <v>LOW STOCK</v>
      </c>
      <c r="R1449" s="1">
        <f t="shared" si="90"/>
        <v>0</v>
      </c>
      <c r="T1449" t="b">
        <v>0</v>
      </c>
      <c r="U1449" t="str">
        <f t="shared" si="91"/>
        <v>No Return</v>
      </c>
    </row>
    <row r="1450" spans="1:22" hidden="1" x14ac:dyDescent="0.3">
      <c r="A1450" t="s">
        <v>1503</v>
      </c>
      <c r="B1450" t="s">
        <v>27</v>
      </c>
      <c r="C1450" t="s">
        <v>43</v>
      </c>
      <c r="D1450" t="s">
        <v>23</v>
      </c>
      <c r="E1450" t="str">
        <f t="shared" si="88"/>
        <v>XXL</v>
      </c>
      <c r="G1450" t="s">
        <v>66</v>
      </c>
      <c r="H1450" s="8">
        <v>42.28</v>
      </c>
      <c r="I1450" s="3">
        <f t="shared" si="89"/>
        <v>0</v>
      </c>
      <c r="J1450" s="4">
        <v>0</v>
      </c>
      <c r="K1450" s="11">
        <f>Table1[[#This Row],[original_price]]* (Table1[[#This Row],[Markdown percentage updated]])</f>
        <v>0</v>
      </c>
      <c r="L14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50" s="6">
        <v>42.28</v>
      </c>
      <c r="N14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50" s="7">
        <v>45875</v>
      </c>
      <c r="P1450">
        <v>22</v>
      </c>
      <c r="Q1450" s="16" t="str">
        <f>IF(Table1[[#This Row],[stock_quantity]]=0,"NO STOCK",
IF(Table1[[#This Row],[stock_quantity]]&lt;=10,"LOW STOCK",
"IN STOCK"))</f>
        <v>IN STOCK</v>
      </c>
      <c r="R1450" s="1">
        <f t="shared" si="90"/>
        <v>1.9</v>
      </c>
      <c r="S1450">
        <v>1.9</v>
      </c>
      <c r="T1450" t="b">
        <v>0</v>
      </c>
      <c r="U1450" t="str">
        <f t="shared" si="91"/>
        <v>No Return</v>
      </c>
    </row>
    <row r="1451" spans="1:22" hidden="1" x14ac:dyDescent="0.3">
      <c r="A1451" t="s">
        <v>1504</v>
      </c>
      <c r="B1451" t="s">
        <v>38</v>
      </c>
      <c r="C1451" t="s">
        <v>48</v>
      </c>
      <c r="D1451" t="s">
        <v>62</v>
      </c>
      <c r="E1451" t="str">
        <f t="shared" si="88"/>
        <v>XL</v>
      </c>
      <c r="F1451" t="s">
        <v>55</v>
      </c>
      <c r="G1451" t="s">
        <v>64</v>
      </c>
      <c r="H1451" s="8">
        <v>52.92</v>
      </c>
      <c r="I1451" s="3">
        <f t="shared" si="89"/>
        <v>0</v>
      </c>
      <c r="J1451" s="4">
        <v>0</v>
      </c>
      <c r="K1451" s="11">
        <f>Table1[[#This Row],[original_price]]* (Table1[[#This Row],[Markdown percentage updated]])</f>
        <v>0</v>
      </c>
      <c r="L14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51" s="6">
        <v>52.92</v>
      </c>
      <c r="N14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51" s="7">
        <v>45875</v>
      </c>
      <c r="P1451">
        <v>9</v>
      </c>
      <c r="Q1451" s="17" t="str">
        <f>IF(Table1[[#This Row],[stock_quantity]]=0,"NO STOCK",
IF(Table1[[#This Row],[stock_quantity]]&lt;=10,"LOW STOCK",
"IN STOCK"))</f>
        <v>LOW STOCK</v>
      </c>
      <c r="R1451" s="1">
        <f t="shared" si="90"/>
        <v>0</v>
      </c>
      <c r="T1451" t="b">
        <v>0</v>
      </c>
      <c r="U1451" t="str">
        <f t="shared" si="91"/>
        <v>No Return</v>
      </c>
    </row>
    <row r="1452" spans="1:22" hidden="1" x14ac:dyDescent="0.3">
      <c r="A1452" t="s">
        <v>1505</v>
      </c>
      <c r="B1452" t="s">
        <v>27</v>
      </c>
      <c r="C1452" t="s">
        <v>53</v>
      </c>
      <c r="D1452" t="s">
        <v>17</v>
      </c>
      <c r="E1452" t="str">
        <f t="shared" si="88"/>
        <v>S</v>
      </c>
      <c r="G1452" t="s">
        <v>28</v>
      </c>
      <c r="H1452" s="8">
        <v>40.549999999999997</v>
      </c>
      <c r="I1452" s="3">
        <f t="shared" si="89"/>
        <v>6.2E-2</v>
      </c>
      <c r="J1452" s="4">
        <v>6.2</v>
      </c>
      <c r="K1452" s="11">
        <f>Table1[[#This Row],[original_price]]* (Table1[[#This Row],[Markdown percentage updated]])</f>
        <v>2.5141</v>
      </c>
      <c r="L14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52" s="6">
        <v>38.04</v>
      </c>
      <c r="N14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452" s="7">
        <v>45544</v>
      </c>
      <c r="P1452">
        <v>26</v>
      </c>
      <c r="Q1452" s="16" t="str">
        <f>IF(Table1[[#This Row],[stock_quantity]]=0,"NO STOCK",
IF(Table1[[#This Row],[stock_quantity]]&lt;=10,"LOW STOCK",
"IN STOCK"))</f>
        <v>IN STOCK</v>
      </c>
      <c r="R1452" s="1">
        <f t="shared" si="90"/>
        <v>3.7</v>
      </c>
      <c r="S1452">
        <v>3.7</v>
      </c>
      <c r="T1452" t="b">
        <v>1</v>
      </c>
      <c r="U1452" s="13" t="str">
        <f t="shared" si="91"/>
        <v>Wrong Item</v>
      </c>
      <c r="V1452" t="s">
        <v>125</v>
      </c>
    </row>
    <row r="1453" spans="1:22" hidden="1" x14ac:dyDescent="0.3">
      <c r="A1453" t="s">
        <v>1506</v>
      </c>
      <c r="B1453" t="s">
        <v>30</v>
      </c>
      <c r="C1453" t="s">
        <v>43</v>
      </c>
      <c r="D1453" t="s">
        <v>62</v>
      </c>
      <c r="E1453" t="str">
        <f t="shared" si="88"/>
        <v>OS</v>
      </c>
      <c r="F1453" t="s">
        <v>49</v>
      </c>
      <c r="G1453" t="s">
        <v>28</v>
      </c>
      <c r="H1453" s="8">
        <v>129.76</v>
      </c>
      <c r="I1453" s="3">
        <f t="shared" si="89"/>
        <v>0</v>
      </c>
      <c r="J1453" s="4">
        <v>0</v>
      </c>
      <c r="K1453" s="11">
        <f>Table1[[#This Row],[original_price]]* (Table1[[#This Row],[Markdown percentage updated]])</f>
        <v>0</v>
      </c>
      <c r="L14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53" s="6">
        <v>129.76</v>
      </c>
      <c r="N14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53" s="7">
        <v>45875</v>
      </c>
      <c r="P1453">
        <v>39</v>
      </c>
      <c r="Q1453" s="16" t="str">
        <f>IF(Table1[[#This Row],[stock_quantity]]=0,"NO STOCK",
IF(Table1[[#This Row],[stock_quantity]]&lt;=10,"LOW STOCK",
"IN STOCK"))</f>
        <v>IN STOCK</v>
      </c>
      <c r="R1453" s="1">
        <f t="shared" si="90"/>
        <v>2.9</v>
      </c>
      <c r="S1453">
        <v>2.9</v>
      </c>
      <c r="T1453" t="b">
        <v>0</v>
      </c>
      <c r="U1453" t="str">
        <f t="shared" si="91"/>
        <v>No Return</v>
      </c>
    </row>
    <row r="1454" spans="1:22" hidden="1" x14ac:dyDescent="0.3">
      <c r="A1454" t="s">
        <v>1507</v>
      </c>
      <c r="B1454" t="s">
        <v>21</v>
      </c>
      <c r="C1454" t="s">
        <v>53</v>
      </c>
      <c r="D1454" t="s">
        <v>34</v>
      </c>
      <c r="E1454" t="str">
        <f t="shared" si="88"/>
        <v>XXL</v>
      </c>
      <c r="F1454" t="s">
        <v>18</v>
      </c>
      <c r="G1454" t="s">
        <v>66</v>
      </c>
      <c r="H1454" s="8">
        <v>63.39</v>
      </c>
      <c r="I1454" s="3">
        <f t="shared" si="89"/>
        <v>0</v>
      </c>
      <c r="J1454" s="4">
        <v>0</v>
      </c>
      <c r="K1454" s="11">
        <f>Table1[[#This Row],[original_price]]* (Table1[[#This Row],[Markdown percentage updated]])</f>
        <v>0</v>
      </c>
      <c r="L14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54" s="6">
        <v>63.39</v>
      </c>
      <c r="N14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54" s="7">
        <v>45875</v>
      </c>
      <c r="P1454">
        <v>50</v>
      </c>
      <c r="Q1454" s="16" t="str">
        <f>IF(Table1[[#This Row],[stock_quantity]]=0,"NO STOCK",
IF(Table1[[#This Row],[stock_quantity]]&lt;=10,"LOW STOCK",
"IN STOCK"))</f>
        <v>IN STOCK</v>
      </c>
      <c r="R1454" s="1">
        <f t="shared" si="90"/>
        <v>2.5</v>
      </c>
      <c r="S1454">
        <v>2.5</v>
      </c>
      <c r="T1454" t="b">
        <v>0</v>
      </c>
      <c r="U1454" t="str">
        <f t="shared" si="91"/>
        <v>No Return</v>
      </c>
    </row>
    <row r="1455" spans="1:22" hidden="1" x14ac:dyDescent="0.3">
      <c r="A1455" t="s">
        <v>1508</v>
      </c>
      <c r="B1455" t="s">
        <v>30</v>
      </c>
      <c r="C1455" t="s">
        <v>48</v>
      </c>
      <c r="D1455" t="s">
        <v>34</v>
      </c>
      <c r="E1455" t="str">
        <f t="shared" si="88"/>
        <v>OS</v>
      </c>
      <c r="F1455" t="s">
        <v>39</v>
      </c>
      <c r="G1455" t="s">
        <v>64</v>
      </c>
      <c r="H1455" s="8">
        <v>191.94</v>
      </c>
      <c r="I1455" s="3">
        <f t="shared" si="89"/>
        <v>1.3000000000000001E-2</v>
      </c>
      <c r="J1455" s="4">
        <v>1.3</v>
      </c>
      <c r="K1455" s="11">
        <f>Table1[[#This Row],[original_price]]* (Table1[[#This Row],[Markdown percentage updated]])</f>
        <v>2.4952200000000002</v>
      </c>
      <c r="L14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55" s="6">
        <v>189.44</v>
      </c>
      <c r="N14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455" s="7">
        <v>45875</v>
      </c>
      <c r="P1455">
        <v>39</v>
      </c>
      <c r="Q1455" s="16" t="str">
        <f>IF(Table1[[#This Row],[stock_quantity]]=0,"NO STOCK",
IF(Table1[[#This Row],[stock_quantity]]&lt;=10,"LOW STOCK",
"IN STOCK"))</f>
        <v>IN STOCK</v>
      </c>
      <c r="R1455" s="1">
        <f t="shared" si="90"/>
        <v>1.2</v>
      </c>
      <c r="S1455">
        <v>1.2</v>
      </c>
      <c r="T1455" t="b">
        <v>0</v>
      </c>
      <c r="U1455" t="str">
        <f t="shared" si="91"/>
        <v>No Return</v>
      </c>
    </row>
    <row r="1456" spans="1:22" hidden="1" x14ac:dyDescent="0.3">
      <c r="A1456" t="s">
        <v>1509</v>
      </c>
      <c r="B1456" t="s">
        <v>27</v>
      </c>
      <c r="C1456" t="s">
        <v>22</v>
      </c>
      <c r="D1456" t="s">
        <v>17</v>
      </c>
      <c r="E1456" t="str">
        <f t="shared" si="88"/>
        <v>XS</v>
      </c>
      <c r="G1456" t="s">
        <v>66</v>
      </c>
      <c r="H1456" s="8">
        <v>63.42</v>
      </c>
      <c r="I1456" s="3">
        <f t="shared" si="89"/>
        <v>0</v>
      </c>
      <c r="J1456" s="4">
        <v>0</v>
      </c>
      <c r="K1456" s="11">
        <f>Table1[[#This Row],[original_price]]* (Table1[[#This Row],[Markdown percentage updated]])</f>
        <v>0</v>
      </c>
      <c r="L14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56" s="6">
        <v>63.42</v>
      </c>
      <c r="N14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56" s="7">
        <v>45608</v>
      </c>
      <c r="P1456">
        <v>19</v>
      </c>
      <c r="Q1456" s="16" t="str">
        <f>IF(Table1[[#This Row],[stock_quantity]]=0,"NO STOCK",
IF(Table1[[#This Row],[stock_quantity]]&lt;=10,"LOW STOCK",
"IN STOCK"))</f>
        <v>IN STOCK</v>
      </c>
      <c r="R1456" s="1">
        <f t="shared" si="90"/>
        <v>2.9</v>
      </c>
      <c r="S1456">
        <v>2.9</v>
      </c>
      <c r="T1456" t="b">
        <v>1</v>
      </c>
      <c r="U1456" s="13" t="str">
        <f t="shared" si="91"/>
        <v>Color Mismatch</v>
      </c>
      <c r="V1456" t="s">
        <v>36</v>
      </c>
    </row>
    <row r="1457" spans="1:22" hidden="1" x14ac:dyDescent="0.3">
      <c r="A1457" t="s">
        <v>1510</v>
      </c>
      <c r="B1457" t="s">
        <v>21</v>
      </c>
      <c r="C1457" t="s">
        <v>53</v>
      </c>
      <c r="D1457" t="s">
        <v>23</v>
      </c>
      <c r="E1457" t="str">
        <f t="shared" si="88"/>
        <v>L</v>
      </c>
      <c r="F1457" t="s">
        <v>49</v>
      </c>
      <c r="G1457" t="s">
        <v>56</v>
      </c>
      <c r="H1457" s="8">
        <v>35.26</v>
      </c>
      <c r="I1457" s="3">
        <f t="shared" si="89"/>
        <v>0</v>
      </c>
      <c r="J1457" s="4">
        <v>0</v>
      </c>
      <c r="K1457" s="11">
        <f>Table1[[#This Row],[original_price]]* (Table1[[#This Row],[Markdown percentage updated]])</f>
        <v>0</v>
      </c>
      <c r="L14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57" s="6">
        <v>35.26</v>
      </c>
      <c r="N14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57" s="7">
        <v>45875</v>
      </c>
      <c r="P1457">
        <v>47</v>
      </c>
      <c r="Q1457" s="16" t="str">
        <f>IF(Table1[[#This Row],[stock_quantity]]=0,"NO STOCK",
IF(Table1[[#This Row],[stock_quantity]]&lt;=10,"LOW STOCK",
"IN STOCK"))</f>
        <v>IN STOCK</v>
      </c>
      <c r="R1457" s="1">
        <f t="shared" si="90"/>
        <v>2.2999999999999998</v>
      </c>
      <c r="S1457">
        <v>2.2999999999999998</v>
      </c>
      <c r="T1457" t="b">
        <v>0</v>
      </c>
      <c r="U1457" t="str">
        <f t="shared" si="91"/>
        <v>No Return</v>
      </c>
    </row>
    <row r="1458" spans="1:22" hidden="1" x14ac:dyDescent="0.3">
      <c r="A1458" t="s">
        <v>1511</v>
      </c>
      <c r="B1458" t="s">
        <v>27</v>
      </c>
      <c r="C1458" t="s">
        <v>61</v>
      </c>
      <c r="D1458" t="s">
        <v>17</v>
      </c>
      <c r="E1458" t="str">
        <f t="shared" si="88"/>
        <v>OS</v>
      </c>
      <c r="G1458" t="s">
        <v>46</v>
      </c>
      <c r="H1458" s="8">
        <v>44.5</v>
      </c>
      <c r="I1458" s="3">
        <f t="shared" si="89"/>
        <v>0</v>
      </c>
      <c r="J1458" s="4">
        <v>0</v>
      </c>
      <c r="K1458" s="11">
        <f>Table1[[#This Row],[original_price]]* (Table1[[#This Row],[Markdown percentage updated]])</f>
        <v>0</v>
      </c>
      <c r="L14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58" s="6">
        <v>44.5</v>
      </c>
      <c r="N14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58" s="7">
        <v>45821</v>
      </c>
      <c r="P1458">
        <v>36</v>
      </c>
      <c r="Q1458" s="16" t="str">
        <f>IF(Table1[[#This Row],[stock_quantity]]=0,"NO STOCK",
IF(Table1[[#This Row],[stock_quantity]]&lt;=10,"LOW STOCK",
"IN STOCK"))</f>
        <v>IN STOCK</v>
      </c>
      <c r="R1458" s="1">
        <f t="shared" si="90"/>
        <v>3.6</v>
      </c>
      <c r="S1458">
        <v>3.6</v>
      </c>
      <c r="T1458" t="b">
        <v>0</v>
      </c>
      <c r="U1458" t="str">
        <f t="shared" si="91"/>
        <v>No Return</v>
      </c>
    </row>
    <row r="1459" spans="1:22" hidden="1" x14ac:dyDescent="0.3">
      <c r="A1459" t="s">
        <v>1512</v>
      </c>
      <c r="B1459" t="s">
        <v>30</v>
      </c>
      <c r="C1459" t="s">
        <v>16</v>
      </c>
      <c r="D1459" t="s">
        <v>17</v>
      </c>
      <c r="E1459" t="str">
        <f t="shared" si="88"/>
        <v>OS</v>
      </c>
      <c r="F1459" t="s">
        <v>55</v>
      </c>
      <c r="G1459" t="s">
        <v>35</v>
      </c>
      <c r="H1459" s="8">
        <v>186.78</v>
      </c>
      <c r="I1459" s="3">
        <f t="shared" si="89"/>
        <v>0.434</v>
      </c>
      <c r="J1459" s="4">
        <v>43.4</v>
      </c>
      <c r="K1459" s="11">
        <f>Table1[[#This Row],[original_price]]* (Table1[[#This Row],[Markdown percentage updated]])</f>
        <v>81.062520000000006</v>
      </c>
      <c r="L14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59" s="6">
        <v>105.72</v>
      </c>
      <c r="N14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59" s="7">
        <v>45568</v>
      </c>
      <c r="P1459">
        <v>42</v>
      </c>
      <c r="Q1459" s="16" t="str">
        <f>IF(Table1[[#This Row],[stock_quantity]]=0,"NO STOCK",
IF(Table1[[#This Row],[stock_quantity]]&lt;=10,"LOW STOCK",
"IN STOCK"))</f>
        <v>IN STOCK</v>
      </c>
      <c r="R1459" s="1">
        <f t="shared" si="90"/>
        <v>2.5</v>
      </c>
      <c r="S1459">
        <v>2.5</v>
      </c>
      <c r="T1459" t="b">
        <v>1</v>
      </c>
      <c r="U1459" s="13" t="str">
        <f t="shared" si="91"/>
        <v>Damaged</v>
      </c>
      <c r="V1459" t="s">
        <v>78</v>
      </c>
    </row>
    <row r="1460" spans="1:22" hidden="1" x14ac:dyDescent="0.3">
      <c r="A1460" t="s">
        <v>1513</v>
      </c>
      <c r="B1460" t="s">
        <v>21</v>
      </c>
      <c r="C1460" t="s">
        <v>48</v>
      </c>
      <c r="D1460" t="s">
        <v>62</v>
      </c>
      <c r="E1460" t="str">
        <f t="shared" si="88"/>
        <v>XL</v>
      </c>
      <c r="F1460" t="s">
        <v>24</v>
      </c>
      <c r="G1460" t="s">
        <v>28</v>
      </c>
      <c r="H1460" s="8">
        <v>116.71</v>
      </c>
      <c r="I1460" s="3">
        <f t="shared" si="89"/>
        <v>0.55399999999999994</v>
      </c>
      <c r="J1460" s="4">
        <v>55.4</v>
      </c>
      <c r="K1460" s="11">
        <f>Table1[[#This Row],[original_price]]* (Table1[[#This Row],[Markdown percentage updated]])</f>
        <v>64.657339999999991</v>
      </c>
      <c r="L14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60" s="6">
        <v>52.05</v>
      </c>
      <c r="N14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60" s="7">
        <v>45875</v>
      </c>
      <c r="P1460">
        <v>15</v>
      </c>
      <c r="Q1460" s="16" t="str">
        <f>IF(Table1[[#This Row],[stock_quantity]]=0,"NO STOCK",
IF(Table1[[#This Row],[stock_quantity]]&lt;=10,"LOW STOCK",
"IN STOCK"))</f>
        <v>IN STOCK</v>
      </c>
      <c r="R1460" s="1">
        <f t="shared" si="90"/>
        <v>0</v>
      </c>
      <c r="T1460" t="b">
        <v>0</v>
      </c>
      <c r="U1460" t="str">
        <f t="shared" si="91"/>
        <v>No Return</v>
      </c>
    </row>
    <row r="1461" spans="1:22" hidden="1" x14ac:dyDescent="0.3">
      <c r="A1461" t="s">
        <v>1514</v>
      </c>
      <c r="B1461" t="s">
        <v>27</v>
      </c>
      <c r="C1461" t="s">
        <v>48</v>
      </c>
      <c r="D1461" t="s">
        <v>23</v>
      </c>
      <c r="E1461" t="str">
        <f t="shared" si="88"/>
        <v>OS</v>
      </c>
      <c r="G1461" t="s">
        <v>28</v>
      </c>
      <c r="H1461" s="8">
        <v>24.5</v>
      </c>
      <c r="I1461" s="3">
        <f t="shared" si="89"/>
        <v>0</v>
      </c>
      <c r="J1461" s="4">
        <v>0</v>
      </c>
      <c r="K1461" s="11">
        <f>Table1[[#This Row],[original_price]]* (Table1[[#This Row],[Markdown percentage updated]])</f>
        <v>0</v>
      </c>
      <c r="L14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61" s="6">
        <v>24.5</v>
      </c>
      <c r="N14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61" s="7">
        <v>45875</v>
      </c>
      <c r="P1461">
        <v>7</v>
      </c>
      <c r="Q1461" s="17" t="str">
        <f>IF(Table1[[#This Row],[stock_quantity]]=0,"NO STOCK",
IF(Table1[[#This Row],[stock_quantity]]&lt;=10,"LOW STOCK",
"IN STOCK"))</f>
        <v>LOW STOCK</v>
      </c>
      <c r="R1461" s="1">
        <f t="shared" si="90"/>
        <v>0</v>
      </c>
      <c r="T1461" t="b">
        <v>0</v>
      </c>
      <c r="U1461" t="str">
        <f t="shared" si="91"/>
        <v>No Return</v>
      </c>
    </row>
    <row r="1462" spans="1:22" hidden="1" x14ac:dyDescent="0.3">
      <c r="A1462" t="s">
        <v>1515</v>
      </c>
      <c r="B1462" t="s">
        <v>27</v>
      </c>
      <c r="C1462" t="s">
        <v>61</v>
      </c>
      <c r="D1462" t="s">
        <v>23</v>
      </c>
      <c r="E1462" t="str">
        <f t="shared" si="88"/>
        <v>XXL</v>
      </c>
      <c r="G1462" t="s">
        <v>64</v>
      </c>
      <c r="H1462" s="8">
        <v>23.2</v>
      </c>
      <c r="I1462" s="3">
        <f t="shared" si="89"/>
        <v>0</v>
      </c>
      <c r="J1462" s="4">
        <v>0</v>
      </c>
      <c r="K1462" s="11">
        <f>Table1[[#This Row],[original_price]]* (Table1[[#This Row],[Markdown percentage updated]])</f>
        <v>0</v>
      </c>
      <c r="L14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62" s="6">
        <v>23.2</v>
      </c>
      <c r="N14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62" s="7">
        <v>45875</v>
      </c>
      <c r="P1462">
        <v>17</v>
      </c>
      <c r="Q1462" s="16" t="str">
        <f>IF(Table1[[#This Row],[stock_quantity]]=0,"NO STOCK",
IF(Table1[[#This Row],[stock_quantity]]&lt;=10,"LOW STOCK",
"IN STOCK"))</f>
        <v>IN STOCK</v>
      </c>
      <c r="R1462" s="1">
        <f t="shared" si="90"/>
        <v>2.1</v>
      </c>
      <c r="S1462">
        <v>2.1</v>
      </c>
      <c r="T1462" t="b">
        <v>0</v>
      </c>
      <c r="U1462" t="str">
        <f t="shared" si="91"/>
        <v>No Return</v>
      </c>
    </row>
    <row r="1463" spans="1:22" hidden="1" x14ac:dyDescent="0.3">
      <c r="A1463" t="s">
        <v>1516</v>
      </c>
      <c r="B1463" t="s">
        <v>38</v>
      </c>
      <c r="C1463" t="s">
        <v>75</v>
      </c>
      <c r="D1463" t="s">
        <v>23</v>
      </c>
      <c r="E1463" t="str">
        <f t="shared" si="88"/>
        <v>L</v>
      </c>
      <c r="F1463" t="s">
        <v>18</v>
      </c>
      <c r="G1463" t="s">
        <v>46</v>
      </c>
      <c r="H1463" s="8">
        <v>73.8</v>
      </c>
      <c r="I1463" s="3">
        <f t="shared" si="89"/>
        <v>0</v>
      </c>
      <c r="J1463" s="4">
        <v>0</v>
      </c>
      <c r="K1463" s="11">
        <f>Table1[[#This Row],[original_price]]* (Table1[[#This Row],[Markdown percentage updated]])</f>
        <v>0</v>
      </c>
      <c r="L14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63" s="6">
        <v>73.8</v>
      </c>
      <c r="N14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63" s="7">
        <v>45875</v>
      </c>
      <c r="P1463">
        <v>42</v>
      </c>
      <c r="Q1463" s="16" t="str">
        <f>IF(Table1[[#This Row],[stock_quantity]]=0,"NO STOCK",
IF(Table1[[#This Row],[stock_quantity]]&lt;=10,"LOW STOCK",
"IN STOCK"))</f>
        <v>IN STOCK</v>
      </c>
      <c r="R1463" s="1">
        <f t="shared" si="90"/>
        <v>0</v>
      </c>
      <c r="T1463" t="b">
        <v>0</v>
      </c>
      <c r="U1463" t="str">
        <f t="shared" si="91"/>
        <v>No Return</v>
      </c>
    </row>
    <row r="1464" spans="1:22" hidden="1" x14ac:dyDescent="0.3">
      <c r="A1464" t="s">
        <v>1517</v>
      </c>
      <c r="B1464" t="s">
        <v>27</v>
      </c>
      <c r="C1464" t="s">
        <v>16</v>
      </c>
      <c r="D1464" t="s">
        <v>62</v>
      </c>
      <c r="E1464" t="str">
        <f t="shared" si="88"/>
        <v>S</v>
      </c>
      <c r="G1464" t="s">
        <v>28</v>
      </c>
      <c r="H1464" s="8">
        <v>51.33</v>
      </c>
      <c r="I1464" s="3">
        <f t="shared" si="89"/>
        <v>0</v>
      </c>
      <c r="J1464" s="4">
        <v>0</v>
      </c>
      <c r="K1464" s="11">
        <f>Table1[[#This Row],[original_price]]* (Table1[[#This Row],[Markdown percentage updated]])</f>
        <v>0</v>
      </c>
      <c r="L14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64" s="6">
        <v>51.33</v>
      </c>
      <c r="N14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64" s="7">
        <v>45875</v>
      </c>
      <c r="P1464">
        <v>25</v>
      </c>
      <c r="Q1464" s="16" t="str">
        <f>IF(Table1[[#This Row],[stock_quantity]]=0,"NO STOCK",
IF(Table1[[#This Row],[stock_quantity]]&lt;=10,"LOW STOCK",
"IN STOCK"))</f>
        <v>IN STOCK</v>
      </c>
      <c r="R1464" s="1">
        <f t="shared" si="90"/>
        <v>1.2</v>
      </c>
      <c r="S1464">
        <v>1.2</v>
      </c>
      <c r="T1464" t="b">
        <v>0</v>
      </c>
      <c r="U1464" t="str">
        <f t="shared" si="91"/>
        <v>No Return</v>
      </c>
    </row>
    <row r="1465" spans="1:22" hidden="1" x14ac:dyDescent="0.3">
      <c r="A1465" t="s">
        <v>1518</v>
      </c>
      <c r="B1465" t="s">
        <v>38</v>
      </c>
      <c r="C1465" t="s">
        <v>48</v>
      </c>
      <c r="D1465" t="s">
        <v>23</v>
      </c>
      <c r="E1465" t="str">
        <f t="shared" si="88"/>
        <v>XL</v>
      </c>
      <c r="F1465" t="s">
        <v>49</v>
      </c>
      <c r="G1465" t="s">
        <v>46</v>
      </c>
      <c r="H1465" s="8">
        <v>80.209999999999994</v>
      </c>
      <c r="I1465" s="3">
        <f t="shared" si="89"/>
        <v>0</v>
      </c>
      <c r="J1465" s="4">
        <v>0</v>
      </c>
      <c r="K1465" s="11">
        <f>Table1[[#This Row],[original_price]]* (Table1[[#This Row],[Markdown percentage updated]])</f>
        <v>0</v>
      </c>
      <c r="L14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65" s="6">
        <v>80.209999999999994</v>
      </c>
      <c r="N14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65" s="7">
        <v>45875</v>
      </c>
      <c r="P1465">
        <v>17</v>
      </c>
      <c r="Q1465" s="16" t="str">
        <f>IF(Table1[[#This Row],[stock_quantity]]=0,"NO STOCK",
IF(Table1[[#This Row],[stock_quantity]]&lt;=10,"LOW STOCK",
"IN STOCK"))</f>
        <v>IN STOCK</v>
      </c>
      <c r="R1465" s="1">
        <f t="shared" si="90"/>
        <v>0</v>
      </c>
      <c r="T1465" t="b">
        <v>0</v>
      </c>
      <c r="U1465" t="str">
        <f t="shared" si="91"/>
        <v>No Return</v>
      </c>
    </row>
    <row r="1466" spans="1:22" hidden="1" x14ac:dyDescent="0.3">
      <c r="A1466" t="s">
        <v>1519</v>
      </c>
      <c r="B1466" t="s">
        <v>15</v>
      </c>
      <c r="C1466" t="s">
        <v>22</v>
      </c>
      <c r="D1466" t="s">
        <v>34</v>
      </c>
      <c r="E1466" t="str">
        <f t="shared" si="88"/>
        <v>XXL</v>
      </c>
      <c r="F1466" t="s">
        <v>24</v>
      </c>
      <c r="G1466" t="s">
        <v>70</v>
      </c>
      <c r="H1466" s="8">
        <v>237.65</v>
      </c>
      <c r="I1466" s="3">
        <f t="shared" si="89"/>
        <v>0</v>
      </c>
      <c r="J1466" s="4">
        <v>0</v>
      </c>
      <c r="K1466" s="11">
        <f>Table1[[#This Row],[original_price]]* (Table1[[#This Row],[Markdown percentage updated]])</f>
        <v>0</v>
      </c>
      <c r="L14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66" s="6">
        <v>237.65</v>
      </c>
      <c r="N14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66" s="7">
        <v>45875</v>
      </c>
      <c r="P1466">
        <v>3</v>
      </c>
      <c r="Q1466" s="17" t="str">
        <f>IF(Table1[[#This Row],[stock_quantity]]=0,"NO STOCK",
IF(Table1[[#This Row],[stock_quantity]]&lt;=10,"LOW STOCK",
"IN STOCK"))</f>
        <v>LOW STOCK</v>
      </c>
      <c r="R1466" s="1">
        <f t="shared" si="90"/>
        <v>3.4</v>
      </c>
      <c r="S1466">
        <v>3.4</v>
      </c>
      <c r="T1466" t="b">
        <v>0</v>
      </c>
      <c r="U1466" t="str">
        <f t="shared" si="91"/>
        <v>No Return</v>
      </c>
    </row>
    <row r="1467" spans="1:22" hidden="1" x14ac:dyDescent="0.3">
      <c r="A1467" t="s">
        <v>1520</v>
      </c>
      <c r="B1467" t="s">
        <v>38</v>
      </c>
      <c r="C1467" t="s">
        <v>32</v>
      </c>
      <c r="D1467" t="s">
        <v>17</v>
      </c>
      <c r="E1467" t="str">
        <f t="shared" si="88"/>
        <v>S</v>
      </c>
      <c r="F1467" t="s">
        <v>39</v>
      </c>
      <c r="G1467" t="s">
        <v>70</v>
      </c>
      <c r="H1467" s="8">
        <v>96.35</v>
      </c>
      <c r="I1467" s="3">
        <f t="shared" si="89"/>
        <v>0</v>
      </c>
      <c r="J1467" s="4">
        <v>0</v>
      </c>
      <c r="K1467" s="11">
        <f>Table1[[#This Row],[original_price]]* (Table1[[#This Row],[Markdown percentage updated]])</f>
        <v>0</v>
      </c>
      <c r="L14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67" s="6">
        <v>96.35</v>
      </c>
      <c r="N14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67" s="7">
        <v>45638</v>
      </c>
      <c r="P1467">
        <v>34</v>
      </c>
      <c r="Q1467" s="16" t="str">
        <f>IF(Table1[[#This Row],[stock_quantity]]=0,"NO STOCK",
IF(Table1[[#This Row],[stock_quantity]]&lt;=10,"LOW STOCK",
"IN STOCK"))</f>
        <v>IN STOCK</v>
      </c>
      <c r="R1467" s="1">
        <f t="shared" si="90"/>
        <v>3.7</v>
      </c>
      <c r="S1467">
        <v>3.7</v>
      </c>
      <c r="T1467" t="b">
        <v>0</v>
      </c>
      <c r="U1467" t="str">
        <f t="shared" si="91"/>
        <v>No Return</v>
      </c>
    </row>
    <row r="1468" spans="1:22" hidden="1" x14ac:dyDescent="0.3">
      <c r="A1468" t="s">
        <v>1521</v>
      </c>
      <c r="B1468" t="s">
        <v>38</v>
      </c>
      <c r="C1468" t="s">
        <v>32</v>
      </c>
      <c r="D1468" t="s">
        <v>23</v>
      </c>
      <c r="E1468" t="str">
        <f t="shared" si="88"/>
        <v>S</v>
      </c>
      <c r="F1468" t="s">
        <v>18</v>
      </c>
      <c r="G1468" t="s">
        <v>35</v>
      </c>
      <c r="H1468" s="8">
        <v>91.92</v>
      </c>
      <c r="I1468" s="3">
        <f t="shared" si="89"/>
        <v>0</v>
      </c>
      <c r="J1468" s="4">
        <v>0</v>
      </c>
      <c r="K1468" s="11">
        <f>Table1[[#This Row],[original_price]]* (Table1[[#This Row],[Markdown percentage updated]])</f>
        <v>0</v>
      </c>
      <c r="L14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68" s="6">
        <v>91.92</v>
      </c>
      <c r="N14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68" s="7">
        <v>45875</v>
      </c>
      <c r="P1468">
        <v>29</v>
      </c>
      <c r="Q1468" s="16" t="str">
        <f>IF(Table1[[#This Row],[stock_quantity]]=0,"NO STOCK",
IF(Table1[[#This Row],[stock_quantity]]&lt;=10,"LOW STOCK",
"IN STOCK"))</f>
        <v>IN STOCK</v>
      </c>
      <c r="R1468" s="1">
        <f t="shared" si="90"/>
        <v>0</v>
      </c>
      <c r="T1468" t="b">
        <v>0</v>
      </c>
      <c r="U1468" t="str">
        <f t="shared" si="91"/>
        <v>No Return</v>
      </c>
    </row>
    <row r="1469" spans="1:22" hidden="1" x14ac:dyDescent="0.3">
      <c r="A1469" t="s">
        <v>1522</v>
      </c>
      <c r="B1469" t="s">
        <v>30</v>
      </c>
      <c r="C1469" t="s">
        <v>32</v>
      </c>
      <c r="D1469" t="s">
        <v>34</v>
      </c>
      <c r="E1469" t="str">
        <f t="shared" si="88"/>
        <v>XXL</v>
      </c>
      <c r="F1469" t="s">
        <v>49</v>
      </c>
      <c r="G1469" t="s">
        <v>64</v>
      </c>
      <c r="H1469" s="8">
        <v>194.05</v>
      </c>
      <c r="I1469" s="3">
        <f t="shared" si="89"/>
        <v>0</v>
      </c>
      <c r="J1469" s="4">
        <v>0</v>
      </c>
      <c r="K1469" s="11">
        <f>Table1[[#This Row],[original_price]]* (Table1[[#This Row],[Markdown percentage updated]])</f>
        <v>0</v>
      </c>
      <c r="L14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69" s="6">
        <v>194.05</v>
      </c>
      <c r="N14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69" s="7">
        <v>45875</v>
      </c>
      <c r="P1469">
        <v>7</v>
      </c>
      <c r="Q1469" s="17" t="str">
        <f>IF(Table1[[#This Row],[stock_quantity]]=0,"NO STOCK",
IF(Table1[[#This Row],[stock_quantity]]&lt;=10,"LOW STOCK",
"IN STOCK"))</f>
        <v>LOW STOCK</v>
      </c>
      <c r="R1469" s="1">
        <f t="shared" si="90"/>
        <v>1.3</v>
      </c>
      <c r="S1469">
        <v>1.3</v>
      </c>
      <c r="T1469" t="b">
        <v>0</v>
      </c>
      <c r="U1469" t="str">
        <f t="shared" si="91"/>
        <v>No Return</v>
      </c>
    </row>
    <row r="1470" spans="1:22" hidden="1" x14ac:dyDescent="0.3">
      <c r="A1470" t="s">
        <v>1523</v>
      </c>
      <c r="B1470" t="s">
        <v>15</v>
      </c>
      <c r="C1470" t="s">
        <v>61</v>
      </c>
      <c r="D1470" t="s">
        <v>62</v>
      </c>
      <c r="E1470" t="str">
        <f t="shared" si="88"/>
        <v>OS</v>
      </c>
      <c r="F1470" t="s">
        <v>39</v>
      </c>
      <c r="G1470" t="s">
        <v>19</v>
      </c>
      <c r="H1470" s="8">
        <v>166.88</v>
      </c>
      <c r="I1470" s="3">
        <f t="shared" si="89"/>
        <v>0</v>
      </c>
      <c r="J1470" s="4">
        <v>0</v>
      </c>
      <c r="K1470" s="11">
        <f>Table1[[#This Row],[original_price]]* (Table1[[#This Row],[Markdown percentage updated]])</f>
        <v>0</v>
      </c>
      <c r="L14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70" s="6">
        <v>166.88</v>
      </c>
      <c r="N14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70" s="7">
        <v>45875</v>
      </c>
      <c r="P1470">
        <v>10</v>
      </c>
      <c r="Q1470" s="17" t="str">
        <f>IF(Table1[[#This Row],[stock_quantity]]=0,"NO STOCK",
IF(Table1[[#This Row],[stock_quantity]]&lt;=10,"LOW STOCK",
"IN STOCK"))</f>
        <v>LOW STOCK</v>
      </c>
      <c r="R1470" s="1">
        <f t="shared" si="90"/>
        <v>1.6</v>
      </c>
      <c r="S1470">
        <v>1.6</v>
      </c>
      <c r="T1470" t="b">
        <v>0</v>
      </c>
      <c r="U1470" t="str">
        <f t="shared" si="91"/>
        <v>No Return</v>
      </c>
    </row>
    <row r="1471" spans="1:22" hidden="1" x14ac:dyDescent="0.3">
      <c r="A1471" t="s">
        <v>1524</v>
      </c>
      <c r="B1471" t="s">
        <v>38</v>
      </c>
      <c r="C1471" t="s">
        <v>48</v>
      </c>
      <c r="D1471" t="s">
        <v>23</v>
      </c>
      <c r="E1471" t="str">
        <f t="shared" si="88"/>
        <v>L</v>
      </c>
      <c r="F1471" t="s">
        <v>39</v>
      </c>
      <c r="G1471" t="s">
        <v>19</v>
      </c>
      <c r="H1471" s="8">
        <v>47.01</v>
      </c>
      <c r="I1471" s="3">
        <f t="shared" si="89"/>
        <v>0</v>
      </c>
      <c r="J1471" s="4">
        <v>0</v>
      </c>
      <c r="K1471" s="11">
        <f>Table1[[#This Row],[original_price]]* (Table1[[#This Row],[Markdown percentage updated]])</f>
        <v>0</v>
      </c>
      <c r="L14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71" s="6">
        <v>47.01</v>
      </c>
      <c r="N14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71" s="7">
        <v>45875</v>
      </c>
      <c r="P1471">
        <v>17</v>
      </c>
      <c r="Q1471" s="16" t="str">
        <f>IF(Table1[[#This Row],[stock_quantity]]=0,"NO STOCK",
IF(Table1[[#This Row],[stock_quantity]]&lt;=10,"LOW STOCK",
"IN STOCK"))</f>
        <v>IN STOCK</v>
      </c>
      <c r="R1471" s="1">
        <f t="shared" si="90"/>
        <v>1.6</v>
      </c>
      <c r="S1471">
        <v>1.6</v>
      </c>
      <c r="T1471" t="b">
        <v>0</v>
      </c>
      <c r="U1471" t="str">
        <f t="shared" si="91"/>
        <v>No Return</v>
      </c>
    </row>
    <row r="1472" spans="1:22" hidden="1" x14ac:dyDescent="0.3">
      <c r="A1472" t="s">
        <v>1525</v>
      </c>
      <c r="B1472" t="s">
        <v>30</v>
      </c>
      <c r="C1472" t="s">
        <v>32</v>
      </c>
      <c r="D1472" t="s">
        <v>23</v>
      </c>
      <c r="E1472" t="str">
        <f t="shared" si="88"/>
        <v>L</v>
      </c>
      <c r="F1472" t="s">
        <v>49</v>
      </c>
      <c r="G1472" t="s">
        <v>25</v>
      </c>
      <c r="H1472" s="8">
        <v>119.91</v>
      </c>
      <c r="I1472" s="3">
        <f t="shared" si="89"/>
        <v>0.20300000000000001</v>
      </c>
      <c r="J1472" s="4">
        <v>20.3</v>
      </c>
      <c r="K1472" s="11">
        <f>Table1[[#This Row],[original_price]]* (Table1[[#This Row],[Markdown percentage updated]])</f>
        <v>24.341730000000002</v>
      </c>
      <c r="L14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472" s="6">
        <v>95.57</v>
      </c>
      <c r="N14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72" s="7">
        <v>45875</v>
      </c>
      <c r="P1472">
        <v>15</v>
      </c>
      <c r="Q1472" s="16" t="str">
        <f>IF(Table1[[#This Row],[stock_quantity]]=0,"NO STOCK",
IF(Table1[[#This Row],[stock_quantity]]&lt;=10,"LOW STOCK",
"IN STOCK"))</f>
        <v>IN STOCK</v>
      </c>
      <c r="R1472" s="1">
        <f t="shared" si="90"/>
        <v>3.8</v>
      </c>
      <c r="S1472">
        <v>3.8</v>
      </c>
      <c r="T1472" t="b">
        <v>0</v>
      </c>
      <c r="U1472" t="str">
        <f t="shared" si="91"/>
        <v>No Return</v>
      </c>
    </row>
    <row r="1473" spans="1:22" hidden="1" x14ac:dyDescent="0.3">
      <c r="A1473" t="s">
        <v>1526</v>
      </c>
      <c r="B1473" t="s">
        <v>27</v>
      </c>
      <c r="C1473" t="s">
        <v>48</v>
      </c>
      <c r="D1473" t="s">
        <v>34</v>
      </c>
      <c r="E1473" t="str">
        <f t="shared" si="88"/>
        <v>OS</v>
      </c>
      <c r="G1473" t="s">
        <v>19</v>
      </c>
      <c r="H1473" s="8">
        <v>73.73</v>
      </c>
      <c r="I1473" s="3">
        <f t="shared" si="89"/>
        <v>0.54200000000000004</v>
      </c>
      <c r="J1473" s="4">
        <v>54.2</v>
      </c>
      <c r="K1473" s="11">
        <f>Table1[[#This Row],[original_price]]* (Table1[[#This Row],[Markdown percentage updated]])</f>
        <v>39.961660000000002</v>
      </c>
      <c r="L14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73" s="6">
        <v>33.770000000000003</v>
      </c>
      <c r="N14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73" s="7">
        <v>45875</v>
      </c>
      <c r="P1473">
        <v>37</v>
      </c>
      <c r="Q1473" s="16" t="str">
        <f>IF(Table1[[#This Row],[stock_quantity]]=0,"NO STOCK",
IF(Table1[[#This Row],[stock_quantity]]&lt;=10,"LOW STOCK",
"IN STOCK"))</f>
        <v>IN STOCK</v>
      </c>
      <c r="R1473" s="1">
        <f t="shared" si="90"/>
        <v>4.0999999999999996</v>
      </c>
      <c r="S1473">
        <v>4.0999999999999996</v>
      </c>
      <c r="T1473" t="b">
        <v>0</v>
      </c>
      <c r="U1473" t="str">
        <f t="shared" si="91"/>
        <v>No Return</v>
      </c>
    </row>
    <row r="1474" spans="1:22" hidden="1" x14ac:dyDescent="0.3">
      <c r="A1474" t="s">
        <v>1527</v>
      </c>
      <c r="B1474" t="s">
        <v>38</v>
      </c>
      <c r="C1474" t="s">
        <v>16</v>
      </c>
      <c r="D1474" t="s">
        <v>34</v>
      </c>
      <c r="E1474" t="str">
        <f t="shared" ref="E1474:E1537" si="92">IF(ISBLANK(F1477),"OS",F1477)</f>
        <v>OS</v>
      </c>
      <c r="F1474" t="s">
        <v>24</v>
      </c>
      <c r="G1474" t="s">
        <v>28</v>
      </c>
      <c r="H1474" s="8">
        <v>108.65</v>
      </c>
      <c r="I1474" s="3">
        <f t="shared" ref="I1474:I1537" si="93">J1474/100</f>
        <v>0</v>
      </c>
      <c r="J1474" s="4">
        <v>0</v>
      </c>
      <c r="K1474" s="11">
        <f>Table1[[#This Row],[original_price]]* (Table1[[#This Row],[Markdown percentage updated]])</f>
        <v>0</v>
      </c>
      <c r="L14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74" s="6">
        <v>108.65</v>
      </c>
      <c r="N14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74" s="7">
        <v>45875</v>
      </c>
      <c r="P1474">
        <v>26</v>
      </c>
      <c r="Q1474" s="16" t="str">
        <f>IF(Table1[[#This Row],[stock_quantity]]=0,"NO STOCK",
IF(Table1[[#This Row],[stock_quantity]]&lt;=10,"LOW STOCK",
"IN STOCK"))</f>
        <v>IN STOCK</v>
      </c>
      <c r="R1474" s="1">
        <f t="shared" si="90"/>
        <v>2.4</v>
      </c>
      <c r="S1474">
        <v>2.4</v>
      </c>
      <c r="T1474" t="b">
        <v>0</v>
      </c>
      <c r="U1474" t="str">
        <f t="shared" si="91"/>
        <v>No Return</v>
      </c>
    </row>
    <row r="1475" spans="1:22" hidden="1" x14ac:dyDescent="0.3">
      <c r="A1475" t="s">
        <v>1528</v>
      </c>
      <c r="B1475" t="s">
        <v>30</v>
      </c>
      <c r="C1475" t="s">
        <v>43</v>
      </c>
      <c r="D1475" t="s">
        <v>62</v>
      </c>
      <c r="E1475" t="str">
        <f t="shared" si="92"/>
        <v>XL</v>
      </c>
      <c r="F1475" t="s">
        <v>24</v>
      </c>
      <c r="G1475" t="s">
        <v>19</v>
      </c>
      <c r="H1475" s="8">
        <v>186.53</v>
      </c>
      <c r="I1475" s="3">
        <f t="shared" si="93"/>
        <v>0</v>
      </c>
      <c r="J1475" s="4">
        <v>0</v>
      </c>
      <c r="K1475" s="11">
        <f>Table1[[#This Row],[original_price]]* (Table1[[#This Row],[Markdown percentage updated]])</f>
        <v>0</v>
      </c>
      <c r="L14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75" s="6">
        <v>186.53</v>
      </c>
      <c r="N14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75" s="7">
        <v>45875</v>
      </c>
      <c r="P1475">
        <v>31</v>
      </c>
      <c r="Q1475" s="16" t="str">
        <f>IF(Table1[[#This Row],[stock_quantity]]=0,"NO STOCK",
IF(Table1[[#This Row],[stock_quantity]]&lt;=10,"LOW STOCK",
"IN STOCK"))</f>
        <v>IN STOCK</v>
      </c>
      <c r="R1475" s="1">
        <f t="shared" ref="R1475:R1538" si="94">IF(ISBLANK(S1475), 0, S1475)</f>
        <v>2.6</v>
      </c>
      <c r="S1475">
        <v>2.6</v>
      </c>
      <c r="T1475" t="b">
        <v>0</v>
      </c>
      <c r="U1475" t="str">
        <f t="shared" ref="U1475:U1538" si="95">IF(V1475="","No Return",V1475)</f>
        <v>No Return</v>
      </c>
    </row>
    <row r="1476" spans="1:22" hidden="1" x14ac:dyDescent="0.3">
      <c r="A1476" t="s">
        <v>1529</v>
      </c>
      <c r="B1476" t="s">
        <v>27</v>
      </c>
      <c r="C1476" t="s">
        <v>16</v>
      </c>
      <c r="D1476" t="s">
        <v>62</v>
      </c>
      <c r="E1476" t="str">
        <f t="shared" si="92"/>
        <v>L</v>
      </c>
      <c r="G1476" t="s">
        <v>19</v>
      </c>
      <c r="H1476" s="8">
        <v>60.34</v>
      </c>
      <c r="I1476" s="3">
        <f t="shared" si="93"/>
        <v>0</v>
      </c>
      <c r="J1476" s="4">
        <v>0</v>
      </c>
      <c r="K1476" s="11">
        <f>Table1[[#This Row],[original_price]]* (Table1[[#This Row],[Markdown percentage updated]])</f>
        <v>0</v>
      </c>
      <c r="L14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76" s="6">
        <v>60.34</v>
      </c>
      <c r="N14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76" s="7">
        <v>45875</v>
      </c>
      <c r="P1476">
        <v>13</v>
      </c>
      <c r="Q1476" s="16" t="str">
        <f>IF(Table1[[#This Row],[stock_quantity]]=0,"NO STOCK",
IF(Table1[[#This Row],[stock_quantity]]&lt;=10,"LOW STOCK",
"IN STOCK"))</f>
        <v>IN STOCK</v>
      </c>
      <c r="R1476" s="1">
        <f t="shared" si="94"/>
        <v>0</v>
      </c>
      <c r="T1476" t="b">
        <v>0</v>
      </c>
      <c r="U1476" t="str">
        <f t="shared" si="95"/>
        <v>No Return</v>
      </c>
    </row>
    <row r="1477" spans="1:22" hidden="1" x14ac:dyDescent="0.3">
      <c r="A1477" t="s">
        <v>1530</v>
      </c>
      <c r="B1477" t="s">
        <v>27</v>
      </c>
      <c r="C1477" t="s">
        <v>43</v>
      </c>
      <c r="D1477" t="s">
        <v>23</v>
      </c>
      <c r="E1477" t="str">
        <f t="shared" si="92"/>
        <v>OS</v>
      </c>
      <c r="G1477" t="s">
        <v>64</v>
      </c>
      <c r="H1477" s="8">
        <v>61.16</v>
      </c>
      <c r="I1477" s="3">
        <f t="shared" si="93"/>
        <v>0</v>
      </c>
      <c r="J1477" s="4">
        <v>0</v>
      </c>
      <c r="K1477" s="11">
        <f>Table1[[#This Row],[original_price]]* (Table1[[#This Row],[Markdown percentage updated]])</f>
        <v>0</v>
      </c>
      <c r="L14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77" s="6">
        <v>61.16</v>
      </c>
      <c r="N14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77" s="7">
        <v>45875</v>
      </c>
      <c r="P1477">
        <v>28</v>
      </c>
      <c r="Q1477" s="16" t="str">
        <f>IF(Table1[[#This Row],[stock_quantity]]=0,"NO STOCK",
IF(Table1[[#This Row],[stock_quantity]]&lt;=10,"LOW STOCK",
"IN STOCK"))</f>
        <v>IN STOCK</v>
      </c>
      <c r="R1477" s="1">
        <f t="shared" si="94"/>
        <v>2.2999999999999998</v>
      </c>
      <c r="S1477">
        <v>2.2999999999999998</v>
      </c>
      <c r="T1477" t="b">
        <v>0</v>
      </c>
      <c r="U1477" t="str">
        <f t="shared" si="95"/>
        <v>No Return</v>
      </c>
    </row>
    <row r="1478" spans="1:22" hidden="1" x14ac:dyDescent="0.3">
      <c r="A1478" t="s">
        <v>1531</v>
      </c>
      <c r="B1478" t="s">
        <v>30</v>
      </c>
      <c r="C1478" t="s">
        <v>75</v>
      </c>
      <c r="D1478" t="s">
        <v>23</v>
      </c>
      <c r="E1478" t="str">
        <f t="shared" si="92"/>
        <v>M</v>
      </c>
      <c r="F1478" t="s">
        <v>18</v>
      </c>
      <c r="G1478" t="s">
        <v>46</v>
      </c>
      <c r="H1478" s="8">
        <v>168.85</v>
      </c>
      <c r="I1478" s="3">
        <f t="shared" si="93"/>
        <v>0.35299999999999998</v>
      </c>
      <c r="J1478" s="4">
        <v>35.299999999999997</v>
      </c>
      <c r="K1478" s="11">
        <f>Table1[[#This Row],[original_price]]* (Table1[[#This Row],[Markdown percentage updated]])</f>
        <v>59.604049999999994</v>
      </c>
      <c r="L14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78" s="6">
        <v>109.25</v>
      </c>
      <c r="N14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78" s="7">
        <v>45875</v>
      </c>
      <c r="P1478">
        <v>10</v>
      </c>
      <c r="Q1478" s="17" t="str">
        <f>IF(Table1[[#This Row],[stock_quantity]]=0,"NO STOCK",
IF(Table1[[#This Row],[stock_quantity]]&lt;=10,"LOW STOCK",
"IN STOCK"))</f>
        <v>LOW STOCK</v>
      </c>
      <c r="R1478" s="1">
        <f t="shared" si="94"/>
        <v>3.3</v>
      </c>
      <c r="S1478">
        <v>3.3</v>
      </c>
      <c r="T1478" t="b">
        <v>0</v>
      </c>
      <c r="U1478" t="str">
        <f t="shared" si="95"/>
        <v>No Return</v>
      </c>
    </row>
    <row r="1479" spans="1:22" hidden="1" x14ac:dyDescent="0.3">
      <c r="A1479" t="s">
        <v>1532</v>
      </c>
      <c r="B1479" t="s">
        <v>21</v>
      </c>
      <c r="C1479" t="s">
        <v>53</v>
      </c>
      <c r="D1479" t="s">
        <v>23</v>
      </c>
      <c r="E1479" t="str">
        <f t="shared" si="92"/>
        <v>M</v>
      </c>
      <c r="F1479" t="s">
        <v>24</v>
      </c>
      <c r="G1479" t="s">
        <v>64</v>
      </c>
      <c r="H1479" s="8">
        <v>60.08</v>
      </c>
      <c r="I1479" s="3">
        <f t="shared" si="93"/>
        <v>0</v>
      </c>
      <c r="J1479" s="4">
        <v>0</v>
      </c>
      <c r="K1479" s="11">
        <f>Table1[[#This Row],[original_price]]* (Table1[[#This Row],[Markdown percentage updated]])</f>
        <v>0</v>
      </c>
      <c r="L14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79" s="6">
        <v>60.08</v>
      </c>
      <c r="N14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79" s="7">
        <v>45875</v>
      </c>
      <c r="P1479">
        <v>26</v>
      </c>
      <c r="Q1479" s="16" t="str">
        <f>IF(Table1[[#This Row],[stock_quantity]]=0,"NO STOCK",
IF(Table1[[#This Row],[stock_quantity]]&lt;=10,"LOW STOCK",
"IN STOCK"))</f>
        <v>IN STOCK</v>
      </c>
      <c r="R1479" s="1">
        <f t="shared" si="94"/>
        <v>0</v>
      </c>
      <c r="T1479" t="b">
        <v>0</v>
      </c>
      <c r="U1479" t="str">
        <f t="shared" si="95"/>
        <v>No Return</v>
      </c>
    </row>
    <row r="1480" spans="1:22" hidden="1" x14ac:dyDescent="0.3">
      <c r="A1480" t="s">
        <v>1533</v>
      </c>
      <c r="B1480" t="s">
        <v>27</v>
      </c>
      <c r="C1480" t="s">
        <v>61</v>
      </c>
      <c r="D1480" t="s">
        <v>62</v>
      </c>
      <c r="E1480" t="str">
        <f t="shared" si="92"/>
        <v>XS</v>
      </c>
      <c r="G1480" t="s">
        <v>70</v>
      </c>
      <c r="H1480" s="8">
        <v>39.39</v>
      </c>
      <c r="I1480" s="3">
        <f t="shared" si="93"/>
        <v>0.29799999999999999</v>
      </c>
      <c r="J1480" s="4">
        <v>29.8</v>
      </c>
      <c r="K1480" s="11">
        <f>Table1[[#This Row],[original_price]]* (Table1[[#This Row],[Markdown percentage updated]])</f>
        <v>11.73822</v>
      </c>
      <c r="L14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480" s="6">
        <v>27.65</v>
      </c>
      <c r="N14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480" s="7">
        <v>45875</v>
      </c>
      <c r="P1480">
        <v>13</v>
      </c>
      <c r="Q1480" s="16" t="str">
        <f>IF(Table1[[#This Row],[stock_quantity]]=0,"NO STOCK",
IF(Table1[[#This Row],[stock_quantity]]&lt;=10,"LOW STOCK",
"IN STOCK"))</f>
        <v>IN STOCK</v>
      </c>
      <c r="R1480" s="1">
        <f t="shared" si="94"/>
        <v>4.7</v>
      </c>
      <c r="S1480">
        <v>4.7</v>
      </c>
      <c r="T1480" t="b">
        <v>0</v>
      </c>
      <c r="U1480" t="str">
        <f t="shared" si="95"/>
        <v>No Return</v>
      </c>
    </row>
    <row r="1481" spans="1:22" hidden="1" x14ac:dyDescent="0.3">
      <c r="A1481" t="s">
        <v>1534</v>
      </c>
      <c r="B1481" t="s">
        <v>21</v>
      </c>
      <c r="C1481" t="s">
        <v>61</v>
      </c>
      <c r="D1481" t="s">
        <v>34</v>
      </c>
      <c r="E1481" t="str">
        <f t="shared" si="92"/>
        <v>XS</v>
      </c>
      <c r="F1481" t="s">
        <v>58</v>
      </c>
      <c r="G1481" t="s">
        <v>25</v>
      </c>
      <c r="H1481" s="8">
        <v>111.09</v>
      </c>
      <c r="I1481" s="3">
        <f t="shared" si="93"/>
        <v>0</v>
      </c>
      <c r="J1481" s="4">
        <v>0</v>
      </c>
      <c r="K1481" s="11">
        <f>Table1[[#This Row],[original_price]]* (Table1[[#This Row],[Markdown percentage updated]])</f>
        <v>0</v>
      </c>
      <c r="L14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81" s="6">
        <v>111.09</v>
      </c>
      <c r="N14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81" s="7">
        <v>45875</v>
      </c>
      <c r="P1481">
        <v>24</v>
      </c>
      <c r="Q1481" s="16" t="str">
        <f>IF(Table1[[#This Row],[stock_quantity]]=0,"NO STOCK",
IF(Table1[[#This Row],[stock_quantity]]&lt;=10,"LOW STOCK",
"IN STOCK"))</f>
        <v>IN STOCK</v>
      </c>
      <c r="R1481" s="1">
        <f t="shared" si="94"/>
        <v>2.2000000000000002</v>
      </c>
      <c r="S1481">
        <v>2.2000000000000002</v>
      </c>
      <c r="T1481" t="b">
        <v>0</v>
      </c>
      <c r="U1481" t="str">
        <f t="shared" si="95"/>
        <v>No Return</v>
      </c>
    </row>
    <row r="1482" spans="1:22" hidden="1" x14ac:dyDescent="0.3">
      <c r="A1482" t="s">
        <v>1535</v>
      </c>
      <c r="B1482" t="s">
        <v>42</v>
      </c>
      <c r="C1482" t="s">
        <v>32</v>
      </c>
      <c r="D1482" t="s">
        <v>62</v>
      </c>
      <c r="E1482" t="str">
        <f t="shared" si="92"/>
        <v>OS</v>
      </c>
      <c r="F1482" t="s">
        <v>58</v>
      </c>
      <c r="G1482" t="s">
        <v>46</v>
      </c>
      <c r="H1482" s="8">
        <v>133.51</v>
      </c>
      <c r="I1482" s="3">
        <f t="shared" si="93"/>
        <v>0</v>
      </c>
      <c r="J1482" s="4">
        <v>0</v>
      </c>
      <c r="K1482" s="11">
        <f>Table1[[#This Row],[original_price]]* (Table1[[#This Row],[Markdown percentage updated]])</f>
        <v>0</v>
      </c>
      <c r="L14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82" s="6">
        <v>133.51</v>
      </c>
      <c r="N14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82" s="7">
        <v>45875</v>
      </c>
      <c r="P1482">
        <v>5</v>
      </c>
      <c r="Q1482" s="17" t="str">
        <f>IF(Table1[[#This Row],[stock_quantity]]=0,"NO STOCK",
IF(Table1[[#This Row],[stock_quantity]]&lt;=10,"LOW STOCK",
"IN STOCK"))</f>
        <v>LOW STOCK</v>
      </c>
      <c r="R1482" s="1">
        <f t="shared" si="94"/>
        <v>1.7</v>
      </c>
      <c r="S1482">
        <v>1.7</v>
      </c>
      <c r="T1482" t="b">
        <v>1</v>
      </c>
      <c r="U1482" s="13" t="str">
        <f t="shared" si="95"/>
        <v>Quality Issue</v>
      </c>
      <c r="V1482" t="s">
        <v>83</v>
      </c>
    </row>
    <row r="1483" spans="1:22" hidden="1" x14ac:dyDescent="0.3">
      <c r="A1483" t="s">
        <v>1536</v>
      </c>
      <c r="B1483" t="s">
        <v>42</v>
      </c>
      <c r="C1483" t="s">
        <v>75</v>
      </c>
      <c r="D1483" t="s">
        <v>62</v>
      </c>
      <c r="E1483" t="str">
        <f t="shared" si="92"/>
        <v>XL</v>
      </c>
      <c r="F1483" t="s">
        <v>55</v>
      </c>
      <c r="G1483" t="s">
        <v>25</v>
      </c>
      <c r="H1483" s="8">
        <v>158.9</v>
      </c>
      <c r="I1483" s="3">
        <f t="shared" si="93"/>
        <v>0.435</v>
      </c>
      <c r="J1483" s="4">
        <v>43.5</v>
      </c>
      <c r="K1483" s="11">
        <f>Table1[[#This Row],[original_price]]* (Table1[[#This Row],[Markdown percentage updated]])</f>
        <v>69.121499999999997</v>
      </c>
      <c r="L14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83" s="6">
        <v>89.78</v>
      </c>
      <c r="N14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83" s="7">
        <v>45875</v>
      </c>
      <c r="P1483">
        <v>46</v>
      </c>
      <c r="Q1483" s="16" t="str">
        <f>IF(Table1[[#This Row],[stock_quantity]]=0,"NO STOCK",
IF(Table1[[#This Row],[stock_quantity]]&lt;=10,"LOW STOCK",
"IN STOCK"))</f>
        <v>IN STOCK</v>
      </c>
      <c r="R1483" s="1">
        <f t="shared" si="94"/>
        <v>0</v>
      </c>
      <c r="T1483" t="b">
        <v>0</v>
      </c>
      <c r="U1483" t="str">
        <f t="shared" si="95"/>
        <v>No Return</v>
      </c>
    </row>
    <row r="1484" spans="1:22" hidden="1" x14ac:dyDescent="0.3">
      <c r="A1484" t="s">
        <v>1537</v>
      </c>
      <c r="B1484" t="s">
        <v>21</v>
      </c>
      <c r="C1484" t="s">
        <v>61</v>
      </c>
      <c r="D1484" t="s">
        <v>17</v>
      </c>
      <c r="E1484" t="str">
        <f t="shared" si="92"/>
        <v>XXL</v>
      </c>
      <c r="F1484" t="s">
        <v>55</v>
      </c>
      <c r="G1484" t="s">
        <v>70</v>
      </c>
      <c r="H1484" s="8">
        <v>65.27</v>
      </c>
      <c r="I1484" s="3">
        <f t="shared" si="93"/>
        <v>0.19</v>
      </c>
      <c r="J1484" s="4">
        <v>19</v>
      </c>
      <c r="K1484" s="11">
        <f>Table1[[#This Row],[original_price]]* (Table1[[#This Row],[Markdown percentage updated]])</f>
        <v>12.401299999999999</v>
      </c>
      <c r="L14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84" s="6">
        <v>52.87</v>
      </c>
      <c r="N14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484" s="7">
        <v>45533</v>
      </c>
      <c r="P1484">
        <v>48</v>
      </c>
      <c r="Q1484" s="16" t="str">
        <f>IF(Table1[[#This Row],[stock_quantity]]=0,"NO STOCK",
IF(Table1[[#This Row],[stock_quantity]]&lt;=10,"LOW STOCK",
"IN STOCK"))</f>
        <v>IN STOCK</v>
      </c>
      <c r="R1484" s="1">
        <f t="shared" si="94"/>
        <v>3</v>
      </c>
      <c r="S1484">
        <v>3</v>
      </c>
      <c r="T1484" t="b">
        <v>0</v>
      </c>
      <c r="U1484" t="str">
        <f t="shared" si="95"/>
        <v>No Return</v>
      </c>
    </row>
    <row r="1485" spans="1:22" hidden="1" x14ac:dyDescent="0.3">
      <c r="A1485" t="s">
        <v>1538</v>
      </c>
      <c r="B1485" t="s">
        <v>27</v>
      </c>
      <c r="C1485" t="s">
        <v>16</v>
      </c>
      <c r="D1485" t="s">
        <v>34</v>
      </c>
      <c r="E1485" t="str">
        <f t="shared" si="92"/>
        <v>XL</v>
      </c>
      <c r="G1485" t="s">
        <v>46</v>
      </c>
      <c r="H1485" s="8">
        <v>72.37</v>
      </c>
      <c r="I1485" s="3">
        <f t="shared" si="93"/>
        <v>0</v>
      </c>
      <c r="J1485" s="4">
        <v>0</v>
      </c>
      <c r="K1485" s="11">
        <f>Table1[[#This Row],[original_price]]* (Table1[[#This Row],[Markdown percentage updated]])</f>
        <v>0</v>
      </c>
      <c r="L14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85" s="6">
        <v>72.37</v>
      </c>
      <c r="N14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85" s="7">
        <v>45875</v>
      </c>
      <c r="P1485">
        <v>24</v>
      </c>
      <c r="Q1485" s="16" t="str">
        <f>IF(Table1[[#This Row],[stock_quantity]]=0,"NO STOCK",
IF(Table1[[#This Row],[stock_quantity]]&lt;=10,"LOW STOCK",
"IN STOCK"))</f>
        <v>IN STOCK</v>
      </c>
      <c r="R1485" s="1">
        <f t="shared" si="94"/>
        <v>2.9</v>
      </c>
      <c r="S1485">
        <v>2.9</v>
      </c>
      <c r="T1485" t="b">
        <v>0</v>
      </c>
      <c r="U1485" t="str">
        <f t="shared" si="95"/>
        <v>No Return</v>
      </c>
    </row>
    <row r="1486" spans="1:22" hidden="1" x14ac:dyDescent="0.3">
      <c r="A1486" t="s">
        <v>1539</v>
      </c>
      <c r="B1486" t="s">
        <v>42</v>
      </c>
      <c r="C1486" t="s">
        <v>32</v>
      </c>
      <c r="D1486" t="s">
        <v>34</v>
      </c>
      <c r="E1486" t="str">
        <f t="shared" si="92"/>
        <v>OS</v>
      </c>
      <c r="F1486" t="s">
        <v>18</v>
      </c>
      <c r="G1486" t="s">
        <v>35</v>
      </c>
      <c r="H1486" s="8">
        <v>133.88</v>
      </c>
      <c r="I1486" s="3">
        <f t="shared" si="93"/>
        <v>0.215</v>
      </c>
      <c r="J1486" s="4">
        <v>21.5</v>
      </c>
      <c r="K1486" s="11">
        <f>Table1[[#This Row],[original_price]]* (Table1[[#This Row],[Markdown percentage updated]])</f>
        <v>28.784199999999998</v>
      </c>
      <c r="L14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486" s="6">
        <v>105.1</v>
      </c>
      <c r="N14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86" s="7">
        <v>45875</v>
      </c>
      <c r="P1486">
        <v>42</v>
      </c>
      <c r="Q1486" s="16" t="str">
        <f>IF(Table1[[#This Row],[stock_quantity]]=0,"NO STOCK",
IF(Table1[[#This Row],[stock_quantity]]&lt;=10,"LOW STOCK",
"IN STOCK"))</f>
        <v>IN STOCK</v>
      </c>
      <c r="R1486" s="1">
        <f t="shared" si="94"/>
        <v>3.1</v>
      </c>
      <c r="S1486">
        <v>3.1</v>
      </c>
      <c r="T1486" t="b">
        <v>0</v>
      </c>
      <c r="U1486" t="str">
        <f t="shared" si="95"/>
        <v>No Return</v>
      </c>
    </row>
    <row r="1487" spans="1:22" hidden="1" x14ac:dyDescent="0.3">
      <c r="A1487" t="s">
        <v>1540</v>
      </c>
      <c r="B1487" t="s">
        <v>21</v>
      </c>
      <c r="C1487" t="s">
        <v>16</v>
      </c>
      <c r="D1487" t="s">
        <v>17</v>
      </c>
      <c r="E1487" t="str">
        <f t="shared" si="92"/>
        <v>S</v>
      </c>
      <c r="F1487" t="s">
        <v>49</v>
      </c>
      <c r="G1487" t="s">
        <v>66</v>
      </c>
      <c r="H1487" s="8">
        <v>74.3</v>
      </c>
      <c r="I1487" s="3">
        <f t="shared" si="93"/>
        <v>0</v>
      </c>
      <c r="J1487" s="4">
        <v>0</v>
      </c>
      <c r="K1487" s="11">
        <f>Table1[[#This Row],[original_price]]* (Table1[[#This Row],[Markdown percentage updated]])</f>
        <v>0</v>
      </c>
      <c r="L14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87" s="6">
        <v>74.3</v>
      </c>
      <c r="N14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87" s="7">
        <v>45633</v>
      </c>
      <c r="P1487">
        <v>24</v>
      </c>
      <c r="Q1487" s="16" t="str">
        <f>IF(Table1[[#This Row],[stock_quantity]]=0,"NO STOCK",
IF(Table1[[#This Row],[stock_quantity]]&lt;=10,"LOW STOCK",
"IN STOCK"))</f>
        <v>IN STOCK</v>
      </c>
      <c r="R1487" s="1">
        <f t="shared" si="94"/>
        <v>4.4000000000000004</v>
      </c>
      <c r="S1487">
        <v>4.4000000000000004</v>
      </c>
      <c r="T1487" t="b">
        <v>0</v>
      </c>
      <c r="U1487" t="str">
        <f t="shared" si="95"/>
        <v>No Return</v>
      </c>
    </row>
    <row r="1488" spans="1:22" hidden="1" x14ac:dyDescent="0.3">
      <c r="A1488" t="s">
        <v>1541</v>
      </c>
      <c r="B1488" t="s">
        <v>30</v>
      </c>
      <c r="C1488" t="s">
        <v>32</v>
      </c>
      <c r="D1488" t="s">
        <v>62</v>
      </c>
      <c r="E1488" t="str">
        <f t="shared" si="92"/>
        <v>L</v>
      </c>
      <c r="F1488" t="s">
        <v>18</v>
      </c>
      <c r="G1488" t="s">
        <v>56</v>
      </c>
      <c r="H1488" s="8">
        <v>192.74</v>
      </c>
      <c r="I1488" s="3">
        <f t="shared" si="93"/>
        <v>0.47499999999999998</v>
      </c>
      <c r="J1488" s="4">
        <v>47.5</v>
      </c>
      <c r="K1488" s="11">
        <f>Table1[[#This Row],[original_price]]* (Table1[[#This Row],[Markdown percentage updated]])</f>
        <v>91.551500000000004</v>
      </c>
      <c r="L14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488" s="6">
        <v>101.19</v>
      </c>
      <c r="N14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488" s="7">
        <v>45875</v>
      </c>
      <c r="P1488">
        <v>40</v>
      </c>
      <c r="Q1488" s="16" t="str">
        <f>IF(Table1[[#This Row],[stock_quantity]]=0,"NO STOCK",
IF(Table1[[#This Row],[stock_quantity]]&lt;=10,"LOW STOCK",
"IN STOCK"))</f>
        <v>IN STOCK</v>
      </c>
      <c r="R1488" s="1">
        <f t="shared" si="94"/>
        <v>2.8</v>
      </c>
      <c r="S1488">
        <v>2.8</v>
      </c>
      <c r="T1488" t="b">
        <v>0</v>
      </c>
      <c r="U1488" t="str">
        <f t="shared" si="95"/>
        <v>No Return</v>
      </c>
    </row>
    <row r="1489" spans="1:22" hidden="1" x14ac:dyDescent="0.3">
      <c r="A1489" t="s">
        <v>1542</v>
      </c>
      <c r="B1489" t="s">
        <v>27</v>
      </c>
      <c r="C1489" t="s">
        <v>22</v>
      </c>
      <c r="D1489" t="s">
        <v>62</v>
      </c>
      <c r="E1489" t="str">
        <f t="shared" si="92"/>
        <v>XS</v>
      </c>
      <c r="G1489" t="s">
        <v>19</v>
      </c>
      <c r="H1489" s="8">
        <v>79.02</v>
      </c>
      <c r="I1489" s="3">
        <f t="shared" si="93"/>
        <v>2.5000000000000001E-2</v>
      </c>
      <c r="J1489" s="4">
        <v>2.5</v>
      </c>
      <c r="K1489" s="11">
        <f>Table1[[#This Row],[original_price]]* (Table1[[#This Row],[Markdown percentage updated]])</f>
        <v>1.9755</v>
      </c>
      <c r="L14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89" s="6">
        <v>77.040000000000006</v>
      </c>
      <c r="N14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489" s="7">
        <v>45875</v>
      </c>
      <c r="P1489">
        <v>16</v>
      </c>
      <c r="Q1489" s="16" t="str">
        <f>IF(Table1[[#This Row],[stock_quantity]]=0,"NO STOCK",
IF(Table1[[#This Row],[stock_quantity]]&lt;=10,"LOW STOCK",
"IN STOCK"))</f>
        <v>IN STOCK</v>
      </c>
      <c r="R1489" s="1">
        <f t="shared" si="94"/>
        <v>2.8</v>
      </c>
      <c r="S1489">
        <v>2.8</v>
      </c>
      <c r="T1489" t="b">
        <v>0</v>
      </c>
      <c r="U1489" t="str">
        <f t="shared" si="95"/>
        <v>No Return</v>
      </c>
    </row>
    <row r="1490" spans="1:22" hidden="1" x14ac:dyDescent="0.3">
      <c r="A1490" t="s">
        <v>1543</v>
      </c>
      <c r="B1490" t="s">
        <v>30</v>
      </c>
      <c r="C1490" t="s">
        <v>16</v>
      </c>
      <c r="D1490" t="s">
        <v>23</v>
      </c>
      <c r="E1490" t="str">
        <f t="shared" si="92"/>
        <v>L</v>
      </c>
      <c r="F1490" t="s">
        <v>39</v>
      </c>
      <c r="G1490" t="s">
        <v>35</v>
      </c>
      <c r="H1490" s="8">
        <v>158.29</v>
      </c>
      <c r="I1490" s="3">
        <f t="shared" si="93"/>
        <v>0</v>
      </c>
      <c r="J1490" s="4">
        <v>0</v>
      </c>
      <c r="K1490" s="11">
        <f>Table1[[#This Row],[original_price]]* (Table1[[#This Row],[Markdown percentage updated]])</f>
        <v>0</v>
      </c>
      <c r="L14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90" s="6">
        <v>158.29</v>
      </c>
      <c r="N14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90" s="7">
        <v>45875</v>
      </c>
      <c r="P1490">
        <v>5</v>
      </c>
      <c r="Q1490" s="17" t="str">
        <f>IF(Table1[[#This Row],[stock_quantity]]=0,"NO STOCK",
IF(Table1[[#This Row],[stock_quantity]]&lt;=10,"LOW STOCK",
"IN STOCK"))</f>
        <v>LOW STOCK</v>
      </c>
      <c r="R1490" s="1">
        <f t="shared" si="94"/>
        <v>1.6</v>
      </c>
      <c r="S1490">
        <v>1.6</v>
      </c>
      <c r="T1490" t="b">
        <v>0</v>
      </c>
      <c r="U1490" t="str">
        <f t="shared" si="95"/>
        <v>No Return</v>
      </c>
    </row>
    <row r="1491" spans="1:22" hidden="1" x14ac:dyDescent="0.3">
      <c r="A1491" t="s">
        <v>1544</v>
      </c>
      <c r="B1491" t="s">
        <v>21</v>
      </c>
      <c r="C1491" t="s">
        <v>53</v>
      </c>
      <c r="D1491" t="s">
        <v>23</v>
      </c>
      <c r="E1491" t="str">
        <f t="shared" si="92"/>
        <v>M</v>
      </c>
      <c r="F1491" t="s">
        <v>24</v>
      </c>
      <c r="G1491" t="s">
        <v>35</v>
      </c>
      <c r="H1491" s="8">
        <v>69.33</v>
      </c>
      <c r="I1491" s="3">
        <f t="shared" si="93"/>
        <v>0</v>
      </c>
      <c r="J1491" s="4">
        <v>0</v>
      </c>
      <c r="K1491" s="11">
        <f>Table1[[#This Row],[original_price]]* (Table1[[#This Row],[Markdown percentage updated]])</f>
        <v>0</v>
      </c>
      <c r="L14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91" s="6">
        <v>69.33</v>
      </c>
      <c r="N14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91" s="7">
        <v>45875</v>
      </c>
      <c r="P1491">
        <v>26</v>
      </c>
      <c r="Q1491" s="16" t="str">
        <f>IF(Table1[[#This Row],[stock_quantity]]=0,"NO STOCK",
IF(Table1[[#This Row],[stock_quantity]]&lt;=10,"LOW STOCK",
"IN STOCK"))</f>
        <v>IN STOCK</v>
      </c>
      <c r="R1491" s="1">
        <f t="shared" si="94"/>
        <v>4.9000000000000004</v>
      </c>
      <c r="S1491">
        <v>4.9000000000000004</v>
      </c>
      <c r="T1491" t="b">
        <v>0</v>
      </c>
      <c r="U1491" t="str">
        <f t="shared" si="95"/>
        <v>No Return</v>
      </c>
    </row>
    <row r="1492" spans="1:22" hidden="1" x14ac:dyDescent="0.3">
      <c r="A1492" t="s">
        <v>1545</v>
      </c>
      <c r="B1492" t="s">
        <v>30</v>
      </c>
      <c r="C1492" t="s">
        <v>61</v>
      </c>
      <c r="D1492" t="s">
        <v>23</v>
      </c>
      <c r="E1492" t="str">
        <f t="shared" si="92"/>
        <v>S</v>
      </c>
      <c r="F1492" t="s">
        <v>55</v>
      </c>
      <c r="G1492" t="s">
        <v>70</v>
      </c>
      <c r="H1492" s="8">
        <v>86.89</v>
      </c>
      <c r="I1492" s="3">
        <f t="shared" si="93"/>
        <v>0.19500000000000001</v>
      </c>
      <c r="J1492" s="4">
        <v>19.5</v>
      </c>
      <c r="K1492" s="11">
        <f>Table1[[#This Row],[original_price]]* (Table1[[#This Row],[Markdown percentage updated]])</f>
        <v>16.943550000000002</v>
      </c>
      <c r="L14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92" s="6">
        <v>69.95</v>
      </c>
      <c r="N14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492" s="7">
        <v>45875</v>
      </c>
      <c r="P1492">
        <v>49</v>
      </c>
      <c r="Q1492" s="16" t="str">
        <f>IF(Table1[[#This Row],[stock_quantity]]=0,"NO STOCK",
IF(Table1[[#This Row],[stock_quantity]]&lt;=10,"LOW STOCK",
"IN STOCK"))</f>
        <v>IN STOCK</v>
      </c>
      <c r="R1492" s="1">
        <f t="shared" si="94"/>
        <v>1.3</v>
      </c>
      <c r="S1492">
        <v>1.3</v>
      </c>
      <c r="T1492" t="b">
        <v>0</v>
      </c>
      <c r="U1492" t="str">
        <f t="shared" si="95"/>
        <v>No Return</v>
      </c>
    </row>
    <row r="1493" spans="1:22" hidden="1" x14ac:dyDescent="0.3">
      <c r="A1493" t="s">
        <v>1546</v>
      </c>
      <c r="B1493" t="s">
        <v>15</v>
      </c>
      <c r="C1493" t="s">
        <v>22</v>
      </c>
      <c r="D1493" t="s">
        <v>34</v>
      </c>
      <c r="E1493" t="str">
        <f t="shared" si="92"/>
        <v>S</v>
      </c>
      <c r="F1493" t="s">
        <v>24</v>
      </c>
      <c r="G1493" t="s">
        <v>46</v>
      </c>
      <c r="H1493" s="8">
        <v>162.75</v>
      </c>
      <c r="I1493" s="3">
        <f t="shared" si="93"/>
        <v>0</v>
      </c>
      <c r="J1493" s="4">
        <v>0</v>
      </c>
      <c r="K1493" s="11">
        <f>Table1[[#This Row],[original_price]]* (Table1[[#This Row],[Markdown percentage updated]])</f>
        <v>0</v>
      </c>
      <c r="L14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93" s="6">
        <v>162.75</v>
      </c>
      <c r="N14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93" s="7">
        <v>45875</v>
      </c>
      <c r="P1493">
        <v>13</v>
      </c>
      <c r="Q1493" s="16" t="str">
        <f>IF(Table1[[#This Row],[stock_quantity]]=0,"NO STOCK",
IF(Table1[[#This Row],[stock_quantity]]&lt;=10,"LOW STOCK",
"IN STOCK"))</f>
        <v>IN STOCK</v>
      </c>
      <c r="R1493" s="1">
        <f t="shared" si="94"/>
        <v>4.8</v>
      </c>
      <c r="S1493">
        <v>4.8</v>
      </c>
      <c r="T1493" t="b">
        <v>0</v>
      </c>
      <c r="U1493" t="str">
        <f t="shared" si="95"/>
        <v>No Return</v>
      </c>
    </row>
    <row r="1494" spans="1:22" hidden="1" x14ac:dyDescent="0.3">
      <c r="A1494" t="s">
        <v>1547</v>
      </c>
      <c r="B1494" t="s">
        <v>30</v>
      </c>
      <c r="C1494" t="s">
        <v>48</v>
      </c>
      <c r="D1494" t="s">
        <v>62</v>
      </c>
      <c r="E1494" t="str">
        <f t="shared" si="92"/>
        <v>S</v>
      </c>
      <c r="F1494" t="s">
        <v>58</v>
      </c>
      <c r="G1494" t="s">
        <v>44</v>
      </c>
      <c r="H1494" s="8">
        <v>70.28</v>
      </c>
      <c r="I1494" s="3">
        <f t="shared" si="93"/>
        <v>0</v>
      </c>
      <c r="J1494" s="4">
        <v>0</v>
      </c>
      <c r="K1494" s="11">
        <f>Table1[[#This Row],[original_price]]* (Table1[[#This Row],[Markdown percentage updated]])</f>
        <v>0</v>
      </c>
      <c r="L14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94" s="6">
        <v>70.28</v>
      </c>
      <c r="N14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94" s="7">
        <v>45875</v>
      </c>
      <c r="P1494">
        <v>27</v>
      </c>
      <c r="Q1494" s="16" t="str">
        <f>IF(Table1[[#This Row],[stock_quantity]]=0,"NO STOCK",
IF(Table1[[#This Row],[stock_quantity]]&lt;=10,"LOW STOCK",
"IN STOCK"))</f>
        <v>IN STOCK</v>
      </c>
      <c r="R1494" s="1">
        <f t="shared" si="94"/>
        <v>4.7</v>
      </c>
      <c r="S1494">
        <v>4.7</v>
      </c>
      <c r="T1494" t="b">
        <v>0</v>
      </c>
      <c r="U1494" t="str">
        <f t="shared" si="95"/>
        <v>No Return</v>
      </c>
    </row>
    <row r="1495" spans="1:22" hidden="1" x14ac:dyDescent="0.3">
      <c r="A1495" t="s">
        <v>1548</v>
      </c>
      <c r="B1495" t="s">
        <v>38</v>
      </c>
      <c r="C1495" t="s">
        <v>43</v>
      </c>
      <c r="D1495" t="s">
        <v>17</v>
      </c>
      <c r="E1495" t="str">
        <f t="shared" si="92"/>
        <v>XL</v>
      </c>
      <c r="F1495" t="s">
        <v>39</v>
      </c>
      <c r="G1495" t="s">
        <v>35</v>
      </c>
      <c r="H1495" s="8">
        <v>111.91</v>
      </c>
      <c r="I1495" s="3">
        <f t="shared" si="93"/>
        <v>0</v>
      </c>
      <c r="J1495" s="4">
        <v>0</v>
      </c>
      <c r="K1495" s="11">
        <f>Table1[[#This Row],[original_price]]* (Table1[[#This Row],[Markdown percentage updated]])</f>
        <v>0</v>
      </c>
      <c r="L14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95" s="6">
        <v>111.91</v>
      </c>
      <c r="N14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95" s="7">
        <v>45860</v>
      </c>
      <c r="P1495">
        <v>28</v>
      </c>
      <c r="Q1495" s="16" t="str">
        <f>IF(Table1[[#This Row],[stock_quantity]]=0,"NO STOCK",
IF(Table1[[#This Row],[stock_quantity]]&lt;=10,"LOW STOCK",
"IN STOCK"))</f>
        <v>IN STOCK</v>
      </c>
      <c r="R1495" s="1">
        <f t="shared" si="94"/>
        <v>1.8</v>
      </c>
      <c r="S1495">
        <v>1.8</v>
      </c>
      <c r="T1495" t="b">
        <v>0</v>
      </c>
      <c r="U1495" t="str">
        <f t="shared" si="95"/>
        <v>No Return</v>
      </c>
    </row>
    <row r="1496" spans="1:22" hidden="1" x14ac:dyDescent="0.3">
      <c r="A1496" t="s">
        <v>1549</v>
      </c>
      <c r="B1496" t="s">
        <v>15</v>
      </c>
      <c r="C1496" t="s">
        <v>53</v>
      </c>
      <c r="D1496" t="s">
        <v>34</v>
      </c>
      <c r="E1496" t="str">
        <f t="shared" si="92"/>
        <v>XS</v>
      </c>
      <c r="F1496" t="s">
        <v>39</v>
      </c>
      <c r="G1496" t="s">
        <v>66</v>
      </c>
      <c r="H1496" s="8">
        <v>143.76</v>
      </c>
      <c r="I1496" s="3">
        <f t="shared" si="93"/>
        <v>0</v>
      </c>
      <c r="J1496" s="4">
        <v>0</v>
      </c>
      <c r="K1496" s="11">
        <f>Table1[[#This Row],[original_price]]* (Table1[[#This Row],[Markdown percentage updated]])</f>
        <v>0</v>
      </c>
      <c r="L14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96" s="6">
        <v>143.76</v>
      </c>
      <c r="N14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96" s="7">
        <v>45875</v>
      </c>
      <c r="P1496">
        <v>7</v>
      </c>
      <c r="Q1496" s="17" t="str">
        <f>IF(Table1[[#This Row],[stock_quantity]]=0,"NO STOCK",
IF(Table1[[#This Row],[stock_quantity]]&lt;=10,"LOW STOCK",
"IN STOCK"))</f>
        <v>LOW STOCK</v>
      </c>
      <c r="R1496" s="1">
        <f t="shared" si="94"/>
        <v>2</v>
      </c>
      <c r="S1496">
        <v>2</v>
      </c>
      <c r="T1496" t="b">
        <v>0</v>
      </c>
      <c r="U1496" t="str">
        <f t="shared" si="95"/>
        <v>No Return</v>
      </c>
    </row>
    <row r="1497" spans="1:22" hidden="1" x14ac:dyDescent="0.3">
      <c r="A1497" t="s">
        <v>1550</v>
      </c>
      <c r="B1497" t="s">
        <v>42</v>
      </c>
      <c r="C1497" t="s">
        <v>48</v>
      </c>
      <c r="D1497" t="s">
        <v>62</v>
      </c>
      <c r="E1497" t="str">
        <f t="shared" si="92"/>
        <v>S</v>
      </c>
      <c r="F1497" t="s">
        <v>39</v>
      </c>
      <c r="G1497" t="s">
        <v>66</v>
      </c>
      <c r="H1497" s="8">
        <v>169.89</v>
      </c>
      <c r="I1497" s="3">
        <f t="shared" si="93"/>
        <v>0</v>
      </c>
      <c r="J1497" s="4">
        <v>0</v>
      </c>
      <c r="K1497" s="11">
        <f>Table1[[#This Row],[original_price]]* (Table1[[#This Row],[Markdown percentage updated]])</f>
        <v>0</v>
      </c>
      <c r="L14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97" s="6">
        <v>169.89</v>
      </c>
      <c r="N14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97" s="7">
        <v>45875</v>
      </c>
      <c r="P1497">
        <v>17</v>
      </c>
      <c r="Q1497" s="16" t="str">
        <f>IF(Table1[[#This Row],[stock_quantity]]=0,"NO STOCK",
IF(Table1[[#This Row],[stock_quantity]]&lt;=10,"LOW STOCK",
"IN STOCK"))</f>
        <v>IN STOCK</v>
      </c>
      <c r="R1497" s="1">
        <f t="shared" si="94"/>
        <v>1.3</v>
      </c>
      <c r="S1497">
        <v>1.3</v>
      </c>
      <c r="T1497" t="b">
        <v>0</v>
      </c>
      <c r="U1497" t="str">
        <f t="shared" si="95"/>
        <v>No Return</v>
      </c>
    </row>
    <row r="1498" spans="1:22" hidden="1" x14ac:dyDescent="0.3">
      <c r="A1498" t="s">
        <v>1551</v>
      </c>
      <c r="B1498" t="s">
        <v>30</v>
      </c>
      <c r="C1498" t="s">
        <v>16</v>
      </c>
      <c r="D1498" t="s">
        <v>23</v>
      </c>
      <c r="E1498" t="str">
        <f t="shared" si="92"/>
        <v>L</v>
      </c>
      <c r="F1498" t="s">
        <v>18</v>
      </c>
      <c r="G1498" t="s">
        <v>35</v>
      </c>
      <c r="H1498" s="8">
        <v>72.290000000000006</v>
      </c>
      <c r="I1498" s="3">
        <f t="shared" si="93"/>
        <v>0</v>
      </c>
      <c r="J1498" s="4">
        <v>0</v>
      </c>
      <c r="K1498" s="11">
        <f>Table1[[#This Row],[original_price]]* (Table1[[#This Row],[Markdown percentage updated]])</f>
        <v>0</v>
      </c>
      <c r="L14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498" s="6">
        <v>72.290000000000006</v>
      </c>
      <c r="N14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498" s="7">
        <v>45875</v>
      </c>
      <c r="P1498">
        <v>0</v>
      </c>
      <c r="Q1498" s="13" t="str">
        <f>IF(Table1[[#This Row],[stock_quantity]]=0,"NO STOCK",
IF(Table1[[#This Row],[stock_quantity]]&lt;=10,"LOW STOCK",
"IN STOCK"))</f>
        <v>NO STOCK</v>
      </c>
      <c r="R1498" s="1">
        <f t="shared" si="94"/>
        <v>0</v>
      </c>
      <c r="T1498" t="b">
        <v>0</v>
      </c>
      <c r="U1498" t="str">
        <f t="shared" si="95"/>
        <v>No Return</v>
      </c>
    </row>
    <row r="1499" spans="1:22" hidden="1" x14ac:dyDescent="0.3">
      <c r="A1499" t="s">
        <v>1552</v>
      </c>
      <c r="B1499" t="s">
        <v>15</v>
      </c>
      <c r="C1499" t="s">
        <v>75</v>
      </c>
      <c r="D1499" t="s">
        <v>23</v>
      </c>
      <c r="E1499" t="str">
        <f t="shared" si="92"/>
        <v>L</v>
      </c>
      <c r="F1499" t="s">
        <v>55</v>
      </c>
      <c r="G1499" t="s">
        <v>66</v>
      </c>
      <c r="H1499" s="8">
        <v>136.19999999999999</v>
      </c>
      <c r="I1499" s="3">
        <f t="shared" si="93"/>
        <v>0.10199999999999999</v>
      </c>
      <c r="J1499" s="4">
        <v>10.199999999999999</v>
      </c>
      <c r="K1499" s="11">
        <f>Table1[[#This Row],[original_price]]* (Table1[[#This Row],[Markdown percentage updated]])</f>
        <v>13.892399999999999</v>
      </c>
      <c r="L14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499" s="6">
        <v>122.31</v>
      </c>
      <c r="N14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499" s="7">
        <v>45875</v>
      </c>
      <c r="P1499">
        <v>10</v>
      </c>
      <c r="Q1499" s="17" t="str">
        <f>IF(Table1[[#This Row],[stock_quantity]]=0,"NO STOCK",
IF(Table1[[#This Row],[stock_quantity]]&lt;=10,"LOW STOCK",
"IN STOCK"))</f>
        <v>LOW STOCK</v>
      </c>
      <c r="R1499" s="1">
        <f t="shared" si="94"/>
        <v>3.6</v>
      </c>
      <c r="S1499">
        <v>3.6</v>
      </c>
      <c r="T1499" t="b">
        <v>0</v>
      </c>
      <c r="U1499" t="str">
        <f t="shared" si="95"/>
        <v>No Return</v>
      </c>
    </row>
    <row r="1500" spans="1:22" hidden="1" x14ac:dyDescent="0.3">
      <c r="A1500" t="s">
        <v>1553</v>
      </c>
      <c r="B1500" t="s">
        <v>21</v>
      </c>
      <c r="C1500" t="s">
        <v>75</v>
      </c>
      <c r="D1500" t="s">
        <v>62</v>
      </c>
      <c r="E1500" t="str">
        <f t="shared" si="92"/>
        <v>OS</v>
      </c>
      <c r="F1500" t="s">
        <v>39</v>
      </c>
      <c r="G1500" t="s">
        <v>19</v>
      </c>
      <c r="H1500" s="8">
        <v>92.5</v>
      </c>
      <c r="I1500" s="3">
        <f t="shared" si="93"/>
        <v>0</v>
      </c>
      <c r="J1500" s="4">
        <v>0</v>
      </c>
      <c r="K1500" s="11">
        <f>Table1[[#This Row],[original_price]]* (Table1[[#This Row],[Markdown percentage updated]])</f>
        <v>0</v>
      </c>
      <c r="L15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00" s="6">
        <v>92.5</v>
      </c>
      <c r="N15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00" s="7">
        <v>45875</v>
      </c>
      <c r="P1500">
        <v>15</v>
      </c>
      <c r="Q1500" s="16" t="str">
        <f>IF(Table1[[#This Row],[stock_quantity]]=0,"NO STOCK",
IF(Table1[[#This Row],[stock_quantity]]&lt;=10,"LOW STOCK",
"IN STOCK"))</f>
        <v>IN STOCK</v>
      </c>
      <c r="R1500" s="1">
        <f t="shared" si="94"/>
        <v>2.7</v>
      </c>
      <c r="S1500">
        <v>2.7</v>
      </c>
      <c r="T1500" t="b">
        <v>0</v>
      </c>
      <c r="U1500" t="str">
        <f t="shared" si="95"/>
        <v>No Return</v>
      </c>
    </row>
    <row r="1501" spans="1:22" hidden="1" x14ac:dyDescent="0.3">
      <c r="A1501" t="s">
        <v>1554</v>
      </c>
      <c r="B1501" t="s">
        <v>30</v>
      </c>
      <c r="C1501" t="s">
        <v>32</v>
      </c>
      <c r="D1501" t="s">
        <v>23</v>
      </c>
      <c r="E1501" t="str">
        <f t="shared" si="92"/>
        <v>XS</v>
      </c>
      <c r="F1501" t="s">
        <v>24</v>
      </c>
      <c r="G1501" t="s">
        <v>66</v>
      </c>
      <c r="H1501" s="8">
        <v>89.5</v>
      </c>
      <c r="I1501" s="3">
        <f t="shared" si="93"/>
        <v>0</v>
      </c>
      <c r="J1501" s="4">
        <v>0</v>
      </c>
      <c r="K1501" s="11">
        <f>Table1[[#This Row],[original_price]]* (Table1[[#This Row],[Markdown percentage updated]])</f>
        <v>0</v>
      </c>
      <c r="L15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01" s="6">
        <v>89.5</v>
      </c>
      <c r="N15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01" s="7">
        <v>45875</v>
      </c>
      <c r="P1501">
        <v>5</v>
      </c>
      <c r="Q1501" s="17" t="str">
        <f>IF(Table1[[#This Row],[stock_quantity]]=0,"NO STOCK",
IF(Table1[[#This Row],[stock_quantity]]&lt;=10,"LOW STOCK",
"IN STOCK"))</f>
        <v>LOW STOCK</v>
      </c>
      <c r="R1501" s="1">
        <f t="shared" si="94"/>
        <v>4.5</v>
      </c>
      <c r="S1501">
        <v>4.5</v>
      </c>
      <c r="T1501" t="b">
        <v>0</v>
      </c>
      <c r="U1501" t="str">
        <f t="shared" si="95"/>
        <v>No Return</v>
      </c>
    </row>
    <row r="1502" spans="1:22" hidden="1" x14ac:dyDescent="0.3">
      <c r="A1502" t="s">
        <v>1555</v>
      </c>
      <c r="B1502" t="s">
        <v>15</v>
      </c>
      <c r="C1502" t="s">
        <v>48</v>
      </c>
      <c r="D1502" t="s">
        <v>17</v>
      </c>
      <c r="E1502" t="str">
        <f t="shared" si="92"/>
        <v>L</v>
      </c>
      <c r="F1502" t="s">
        <v>24</v>
      </c>
      <c r="G1502" t="s">
        <v>56</v>
      </c>
      <c r="H1502" s="8">
        <v>161.51</v>
      </c>
      <c r="I1502" s="3">
        <f t="shared" si="93"/>
        <v>0</v>
      </c>
      <c r="J1502" s="4">
        <v>0</v>
      </c>
      <c r="K1502" s="11">
        <f>Table1[[#This Row],[original_price]]* (Table1[[#This Row],[Markdown percentage updated]])</f>
        <v>0</v>
      </c>
      <c r="L15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02" s="6">
        <v>161.51</v>
      </c>
      <c r="N15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02" s="7">
        <v>45598</v>
      </c>
      <c r="P1502">
        <v>22</v>
      </c>
      <c r="Q1502" s="16" t="str">
        <f>IF(Table1[[#This Row],[stock_quantity]]=0,"NO STOCK",
IF(Table1[[#This Row],[stock_quantity]]&lt;=10,"LOW STOCK",
"IN STOCK"))</f>
        <v>IN STOCK</v>
      </c>
      <c r="R1502" s="1">
        <f t="shared" si="94"/>
        <v>4.7</v>
      </c>
      <c r="S1502">
        <v>4.7</v>
      </c>
      <c r="T1502" t="b">
        <v>0</v>
      </c>
      <c r="U1502" t="str">
        <f t="shared" si="95"/>
        <v>No Return</v>
      </c>
    </row>
    <row r="1503" spans="1:22" hidden="1" x14ac:dyDescent="0.3">
      <c r="A1503" t="s">
        <v>1556</v>
      </c>
      <c r="B1503" t="s">
        <v>27</v>
      </c>
      <c r="C1503" t="s">
        <v>16</v>
      </c>
      <c r="D1503" t="s">
        <v>23</v>
      </c>
      <c r="E1503" t="str">
        <f t="shared" si="92"/>
        <v>XL</v>
      </c>
      <c r="G1503" t="s">
        <v>70</v>
      </c>
      <c r="H1503" s="8">
        <v>38.119999999999997</v>
      </c>
      <c r="I1503" s="3">
        <f t="shared" si="93"/>
        <v>0</v>
      </c>
      <c r="J1503" s="4">
        <v>0</v>
      </c>
      <c r="K1503" s="11">
        <f>Table1[[#This Row],[original_price]]* (Table1[[#This Row],[Markdown percentage updated]])</f>
        <v>0</v>
      </c>
      <c r="L15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03" s="6">
        <v>38.119999999999997</v>
      </c>
      <c r="N15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03" s="7">
        <v>45875</v>
      </c>
      <c r="P1503">
        <v>18</v>
      </c>
      <c r="Q1503" s="16" t="str">
        <f>IF(Table1[[#This Row],[stock_quantity]]=0,"NO STOCK",
IF(Table1[[#This Row],[stock_quantity]]&lt;=10,"LOW STOCK",
"IN STOCK"))</f>
        <v>IN STOCK</v>
      </c>
      <c r="R1503" s="1">
        <f t="shared" si="94"/>
        <v>4.4000000000000004</v>
      </c>
      <c r="S1503">
        <v>4.4000000000000004</v>
      </c>
      <c r="T1503" t="b">
        <v>1</v>
      </c>
      <c r="U1503" s="13" t="str">
        <f t="shared" si="95"/>
        <v>Damaged</v>
      </c>
      <c r="V1503" t="s">
        <v>78</v>
      </c>
    </row>
    <row r="1504" spans="1:22" hidden="1" x14ac:dyDescent="0.3">
      <c r="A1504" t="s">
        <v>1557</v>
      </c>
      <c r="B1504" t="s">
        <v>42</v>
      </c>
      <c r="C1504" t="s">
        <v>48</v>
      </c>
      <c r="D1504" t="s">
        <v>62</v>
      </c>
      <c r="E1504" t="str">
        <f t="shared" si="92"/>
        <v>L</v>
      </c>
      <c r="F1504" t="s">
        <v>55</v>
      </c>
      <c r="G1504" t="s">
        <v>66</v>
      </c>
      <c r="H1504" s="8">
        <v>100.08</v>
      </c>
      <c r="I1504" s="3">
        <f t="shared" si="93"/>
        <v>0</v>
      </c>
      <c r="J1504" s="4">
        <v>0</v>
      </c>
      <c r="K1504" s="11">
        <f>Table1[[#This Row],[original_price]]* (Table1[[#This Row],[Markdown percentage updated]])</f>
        <v>0</v>
      </c>
      <c r="L15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04" s="6">
        <v>100.08</v>
      </c>
      <c r="N15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04" s="7">
        <v>45875</v>
      </c>
      <c r="P1504">
        <v>23</v>
      </c>
      <c r="Q1504" s="16" t="str">
        <f>IF(Table1[[#This Row],[stock_quantity]]=0,"NO STOCK",
IF(Table1[[#This Row],[stock_quantity]]&lt;=10,"LOW STOCK",
"IN STOCK"))</f>
        <v>IN STOCK</v>
      </c>
      <c r="R1504" s="1">
        <f t="shared" si="94"/>
        <v>4.8</v>
      </c>
      <c r="S1504">
        <v>4.8</v>
      </c>
      <c r="T1504" t="b">
        <v>0</v>
      </c>
      <c r="U1504" t="str">
        <f t="shared" si="95"/>
        <v>No Return</v>
      </c>
    </row>
    <row r="1505" spans="1:22" hidden="1" x14ac:dyDescent="0.3">
      <c r="A1505" t="s">
        <v>1558</v>
      </c>
      <c r="B1505" t="s">
        <v>42</v>
      </c>
      <c r="C1505" t="s">
        <v>22</v>
      </c>
      <c r="D1505" t="s">
        <v>34</v>
      </c>
      <c r="E1505" t="str">
        <f t="shared" si="92"/>
        <v>XXL</v>
      </c>
      <c r="F1505" t="s">
        <v>24</v>
      </c>
      <c r="G1505" t="s">
        <v>35</v>
      </c>
      <c r="H1505" s="8">
        <v>161.79</v>
      </c>
      <c r="I1505" s="3">
        <f t="shared" si="93"/>
        <v>0</v>
      </c>
      <c r="J1505" s="4">
        <v>0</v>
      </c>
      <c r="K1505" s="11">
        <f>Table1[[#This Row],[original_price]]* (Table1[[#This Row],[Markdown percentage updated]])</f>
        <v>0</v>
      </c>
      <c r="L15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05" s="6">
        <v>161.79</v>
      </c>
      <c r="N15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05" s="7">
        <v>45875</v>
      </c>
      <c r="P1505">
        <v>44</v>
      </c>
      <c r="Q1505" s="16" t="str">
        <f>IF(Table1[[#This Row],[stock_quantity]]=0,"NO STOCK",
IF(Table1[[#This Row],[stock_quantity]]&lt;=10,"LOW STOCK",
"IN STOCK"))</f>
        <v>IN STOCK</v>
      </c>
      <c r="R1505" s="1">
        <f t="shared" si="94"/>
        <v>3.9</v>
      </c>
      <c r="S1505">
        <v>3.9</v>
      </c>
      <c r="T1505" t="b">
        <v>0</v>
      </c>
      <c r="U1505" t="str">
        <f t="shared" si="95"/>
        <v>No Return</v>
      </c>
    </row>
    <row r="1506" spans="1:22" x14ac:dyDescent="0.3">
      <c r="A1506" t="s">
        <v>1559</v>
      </c>
      <c r="B1506" t="s">
        <v>38</v>
      </c>
      <c r="C1506" t="s">
        <v>53</v>
      </c>
      <c r="D1506" t="s">
        <v>34</v>
      </c>
      <c r="E1506" t="str">
        <f t="shared" si="92"/>
        <v>M</v>
      </c>
      <c r="F1506" t="s">
        <v>18</v>
      </c>
      <c r="G1506" t="s">
        <v>28</v>
      </c>
      <c r="H1506" s="8">
        <v>46.42</v>
      </c>
      <c r="I1506" s="3">
        <f t="shared" si="93"/>
        <v>0</v>
      </c>
      <c r="J1506" s="4">
        <v>0</v>
      </c>
      <c r="K1506" s="11">
        <f>Table1[[#This Row],[original_price]]* (Table1[[#This Row],[Markdown percentage updated]])</f>
        <v>0</v>
      </c>
      <c r="L15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06" s="6">
        <v>46.42</v>
      </c>
      <c r="N15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06" s="7">
        <v>45875</v>
      </c>
      <c r="P1506">
        <v>2</v>
      </c>
      <c r="Q1506" s="17" t="str">
        <f>IF(Table1[[#This Row],[stock_quantity]]=0,"NO STOCK",
IF(Table1[[#This Row],[stock_quantity]]&lt;=10,"LOW STOCK",
"IN STOCK"))</f>
        <v>LOW STOCK</v>
      </c>
      <c r="R1506" s="1">
        <f t="shared" si="94"/>
        <v>3.7</v>
      </c>
      <c r="S1506">
        <v>3.7</v>
      </c>
      <c r="T1506" t="b">
        <v>1</v>
      </c>
      <c r="U1506" s="13" t="str">
        <f t="shared" si="95"/>
        <v>Changed Mind</v>
      </c>
      <c r="V1506" t="s">
        <v>115</v>
      </c>
    </row>
    <row r="1507" spans="1:22" hidden="1" x14ac:dyDescent="0.3">
      <c r="A1507" t="s">
        <v>1560</v>
      </c>
      <c r="B1507" t="s">
        <v>30</v>
      </c>
      <c r="C1507" t="s">
        <v>22</v>
      </c>
      <c r="D1507" t="s">
        <v>17</v>
      </c>
      <c r="E1507" t="str">
        <f t="shared" si="92"/>
        <v>L</v>
      </c>
      <c r="F1507" t="s">
        <v>24</v>
      </c>
      <c r="G1507" t="s">
        <v>70</v>
      </c>
      <c r="H1507" s="8">
        <v>199.33</v>
      </c>
      <c r="I1507" s="3">
        <f t="shared" si="93"/>
        <v>0.44299999999999995</v>
      </c>
      <c r="J1507" s="4">
        <v>44.3</v>
      </c>
      <c r="K1507" s="11">
        <f>Table1[[#This Row],[original_price]]* (Table1[[#This Row],[Markdown percentage updated]])</f>
        <v>88.303190000000001</v>
      </c>
      <c r="L15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07" s="6">
        <v>111.03</v>
      </c>
      <c r="N15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07" s="7">
        <v>45616</v>
      </c>
      <c r="P1507">
        <v>19</v>
      </c>
      <c r="Q1507" s="16" t="str">
        <f>IF(Table1[[#This Row],[stock_quantity]]=0,"NO STOCK",
IF(Table1[[#This Row],[stock_quantity]]&lt;=10,"LOW STOCK",
"IN STOCK"))</f>
        <v>IN STOCK</v>
      </c>
      <c r="R1507" s="1">
        <f t="shared" si="94"/>
        <v>1.8</v>
      </c>
      <c r="S1507">
        <v>1.8</v>
      </c>
      <c r="T1507" t="b">
        <v>0</v>
      </c>
      <c r="U1507" t="str">
        <f t="shared" si="95"/>
        <v>No Return</v>
      </c>
    </row>
    <row r="1508" spans="1:22" hidden="1" x14ac:dyDescent="0.3">
      <c r="A1508" t="s">
        <v>1561</v>
      </c>
      <c r="B1508" t="s">
        <v>38</v>
      </c>
      <c r="C1508" t="s">
        <v>75</v>
      </c>
      <c r="D1508" t="s">
        <v>62</v>
      </c>
      <c r="E1508" t="str">
        <f t="shared" si="92"/>
        <v>OS</v>
      </c>
      <c r="F1508" t="s">
        <v>49</v>
      </c>
      <c r="G1508" t="s">
        <v>28</v>
      </c>
      <c r="H1508" s="8">
        <v>25.77</v>
      </c>
      <c r="I1508" s="3">
        <f t="shared" si="93"/>
        <v>0</v>
      </c>
      <c r="J1508" s="4">
        <v>0</v>
      </c>
      <c r="K1508" s="11">
        <f>Table1[[#This Row],[original_price]]* (Table1[[#This Row],[Markdown percentage updated]])</f>
        <v>0</v>
      </c>
      <c r="L15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08" s="6">
        <v>25.77</v>
      </c>
      <c r="N15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08" s="7">
        <v>45875</v>
      </c>
      <c r="P1508">
        <v>5</v>
      </c>
      <c r="Q1508" s="17" t="str">
        <f>IF(Table1[[#This Row],[stock_quantity]]=0,"NO STOCK",
IF(Table1[[#This Row],[stock_quantity]]&lt;=10,"LOW STOCK",
"IN STOCK"))</f>
        <v>LOW STOCK</v>
      </c>
      <c r="R1508" s="1">
        <f t="shared" si="94"/>
        <v>3.1</v>
      </c>
      <c r="S1508">
        <v>3.1</v>
      </c>
      <c r="T1508" t="b">
        <v>0</v>
      </c>
      <c r="U1508" t="str">
        <f t="shared" si="95"/>
        <v>No Return</v>
      </c>
    </row>
    <row r="1509" spans="1:22" hidden="1" x14ac:dyDescent="0.3">
      <c r="A1509" t="s">
        <v>1562</v>
      </c>
      <c r="B1509" t="s">
        <v>30</v>
      </c>
      <c r="C1509" t="s">
        <v>75</v>
      </c>
      <c r="D1509" t="s">
        <v>23</v>
      </c>
      <c r="E1509" t="str">
        <f t="shared" si="92"/>
        <v>M</v>
      </c>
      <c r="F1509" t="s">
        <v>58</v>
      </c>
      <c r="G1509" t="s">
        <v>64</v>
      </c>
      <c r="H1509" s="8">
        <v>180.67</v>
      </c>
      <c r="I1509" s="3">
        <f t="shared" si="93"/>
        <v>0</v>
      </c>
      <c r="J1509" s="4">
        <v>0</v>
      </c>
      <c r="K1509" s="11">
        <f>Table1[[#This Row],[original_price]]* (Table1[[#This Row],[Markdown percentage updated]])</f>
        <v>0</v>
      </c>
      <c r="L15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09" s="6">
        <v>180.67</v>
      </c>
      <c r="N15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09" s="7">
        <v>45875</v>
      </c>
      <c r="P1509">
        <v>31</v>
      </c>
      <c r="Q1509" s="16" t="str">
        <f>IF(Table1[[#This Row],[stock_quantity]]=0,"NO STOCK",
IF(Table1[[#This Row],[stock_quantity]]&lt;=10,"LOW STOCK",
"IN STOCK"))</f>
        <v>IN STOCK</v>
      </c>
      <c r="R1509" s="1">
        <f t="shared" si="94"/>
        <v>4.4000000000000004</v>
      </c>
      <c r="S1509">
        <v>4.4000000000000004</v>
      </c>
      <c r="T1509" t="b">
        <v>0</v>
      </c>
      <c r="U1509" t="str">
        <f t="shared" si="95"/>
        <v>No Return</v>
      </c>
    </row>
    <row r="1510" spans="1:22" hidden="1" x14ac:dyDescent="0.3">
      <c r="A1510" t="s">
        <v>1563</v>
      </c>
      <c r="B1510" t="s">
        <v>30</v>
      </c>
      <c r="C1510" t="s">
        <v>75</v>
      </c>
      <c r="D1510" t="s">
        <v>17</v>
      </c>
      <c r="E1510" t="str">
        <f t="shared" si="92"/>
        <v>L</v>
      </c>
      <c r="F1510" t="s">
        <v>24</v>
      </c>
      <c r="G1510" t="s">
        <v>46</v>
      </c>
      <c r="H1510" s="8">
        <v>198.13</v>
      </c>
      <c r="I1510" s="3">
        <f t="shared" si="93"/>
        <v>0.46100000000000002</v>
      </c>
      <c r="J1510" s="4">
        <v>46.1</v>
      </c>
      <c r="K1510" s="11">
        <f>Table1[[#This Row],[original_price]]* (Table1[[#This Row],[Markdown percentage updated]])</f>
        <v>91.33793</v>
      </c>
      <c r="L15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10" s="6">
        <v>106.79</v>
      </c>
      <c r="N15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10" s="7">
        <v>45796</v>
      </c>
      <c r="P1510">
        <v>8</v>
      </c>
      <c r="Q1510" s="17" t="str">
        <f>IF(Table1[[#This Row],[stock_quantity]]=0,"NO STOCK",
IF(Table1[[#This Row],[stock_quantity]]&lt;=10,"LOW STOCK",
"IN STOCK"))</f>
        <v>LOW STOCK</v>
      </c>
      <c r="R1510" s="1">
        <f t="shared" si="94"/>
        <v>3.2</v>
      </c>
      <c r="S1510">
        <v>3.2</v>
      </c>
      <c r="T1510" t="b">
        <v>0</v>
      </c>
      <c r="U1510" t="str">
        <f t="shared" si="95"/>
        <v>No Return</v>
      </c>
    </row>
    <row r="1511" spans="1:22" hidden="1" x14ac:dyDescent="0.3">
      <c r="A1511" t="s">
        <v>1564</v>
      </c>
      <c r="B1511" t="s">
        <v>42</v>
      </c>
      <c r="C1511" t="s">
        <v>22</v>
      </c>
      <c r="D1511" t="s">
        <v>62</v>
      </c>
      <c r="E1511" t="str">
        <f t="shared" si="92"/>
        <v>OS</v>
      </c>
      <c r="G1511" t="s">
        <v>64</v>
      </c>
      <c r="H1511" s="8">
        <v>161.53</v>
      </c>
      <c r="I1511" s="3">
        <f t="shared" si="93"/>
        <v>5.2999999999999999E-2</v>
      </c>
      <c r="J1511" s="4">
        <v>5.3</v>
      </c>
      <c r="K1511" s="11">
        <f>Table1[[#This Row],[original_price]]* (Table1[[#This Row],[Markdown percentage updated]])</f>
        <v>8.5610900000000001</v>
      </c>
      <c r="L15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11" s="6">
        <v>152.97</v>
      </c>
      <c r="N15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11" s="7">
        <v>45875</v>
      </c>
      <c r="P1511">
        <v>33</v>
      </c>
      <c r="Q1511" s="16" t="str">
        <f>IF(Table1[[#This Row],[stock_quantity]]=0,"NO STOCK",
IF(Table1[[#This Row],[stock_quantity]]&lt;=10,"LOW STOCK",
"IN STOCK"))</f>
        <v>IN STOCK</v>
      </c>
      <c r="R1511" s="1">
        <f t="shared" si="94"/>
        <v>3.7</v>
      </c>
      <c r="S1511">
        <v>3.7</v>
      </c>
      <c r="T1511" t="b">
        <v>0</v>
      </c>
      <c r="U1511" t="str">
        <f t="shared" si="95"/>
        <v>No Return</v>
      </c>
    </row>
    <row r="1512" spans="1:22" hidden="1" x14ac:dyDescent="0.3">
      <c r="A1512" t="s">
        <v>1565</v>
      </c>
      <c r="B1512" t="s">
        <v>38</v>
      </c>
      <c r="C1512" t="s">
        <v>16</v>
      </c>
      <c r="D1512" t="s">
        <v>17</v>
      </c>
      <c r="E1512" t="str">
        <f t="shared" si="92"/>
        <v>OS</v>
      </c>
      <c r="F1512" t="s">
        <v>58</v>
      </c>
      <c r="G1512" t="s">
        <v>40</v>
      </c>
      <c r="H1512" s="8">
        <v>25.97</v>
      </c>
      <c r="I1512" s="3">
        <f t="shared" si="93"/>
        <v>0</v>
      </c>
      <c r="J1512" s="4">
        <v>0</v>
      </c>
      <c r="K1512" s="11">
        <f>Table1[[#This Row],[original_price]]* (Table1[[#This Row],[Markdown percentage updated]])</f>
        <v>0</v>
      </c>
      <c r="L15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12" s="6">
        <v>25.97</v>
      </c>
      <c r="N15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12" s="7">
        <v>45624</v>
      </c>
      <c r="P1512">
        <v>31</v>
      </c>
      <c r="Q1512" s="16" t="str">
        <f>IF(Table1[[#This Row],[stock_quantity]]=0,"NO STOCK",
IF(Table1[[#This Row],[stock_quantity]]&lt;=10,"LOW STOCK",
"IN STOCK"))</f>
        <v>IN STOCK</v>
      </c>
      <c r="R1512" s="1">
        <f t="shared" si="94"/>
        <v>1.2</v>
      </c>
      <c r="S1512">
        <v>1.2</v>
      </c>
      <c r="T1512" t="b">
        <v>0</v>
      </c>
      <c r="U1512" t="str">
        <f t="shared" si="95"/>
        <v>No Return</v>
      </c>
    </row>
    <row r="1513" spans="1:22" hidden="1" x14ac:dyDescent="0.3">
      <c r="A1513" t="s">
        <v>1566</v>
      </c>
      <c r="B1513" t="s">
        <v>21</v>
      </c>
      <c r="C1513" t="s">
        <v>75</v>
      </c>
      <c r="D1513" t="s">
        <v>62</v>
      </c>
      <c r="E1513" t="str">
        <f t="shared" si="92"/>
        <v>XS</v>
      </c>
      <c r="F1513" t="s">
        <v>24</v>
      </c>
      <c r="G1513" t="s">
        <v>56</v>
      </c>
      <c r="H1513" s="8">
        <v>85</v>
      </c>
      <c r="I1513" s="3">
        <f t="shared" si="93"/>
        <v>0.39899999999999997</v>
      </c>
      <c r="J1513" s="4">
        <v>39.9</v>
      </c>
      <c r="K1513" s="11">
        <f>Table1[[#This Row],[original_price]]* (Table1[[#This Row],[Markdown percentage updated]])</f>
        <v>33.914999999999999</v>
      </c>
      <c r="L15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13" s="6">
        <v>51.09</v>
      </c>
      <c r="N15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13" s="7">
        <v>45875</v>
      </c>
      <c r="P1513">
        <v>44</v>
      </c>
      <c r="Q1513" s="16" t="str">
        <f>IF(Table1[[#This Row],[stock_quantity]]=0,"NO STOCK",
IF(Table1[[#This Row],[stock_quantity]]&lt;=10,"LOW STOCK",
"IN STOCK"))</f>
        <v>IN STOCK</v>
      </c>
      <c r="R1513" s="1">
        <f t="shared" si="94"/>
        <v>3</v>
      </c>
      <c r="S1513">
        <v>3</v>
      </c>
      <c r="T1513" t="b">
        <v>0</v>
      </c>
      <c r="U1513" t="str">
        <f t="shared" si="95"/>
        <v>No Return</v>
      </c>
    </row>
    <row r="1514" spans="1:22" hidden="1" x14ac:dyDescent="0.3">
      <c r="A1514" t="s">
        <v>1567</v>
      </c>
      <c r="B1514" t="s">
        <v>27</v>
      </c>
      <c r="C1514" t="s">
        <v>22</v>
      </c>
      <c r="D1514" t="s">
        <v>62</v>
      </c>
      <c r="E1514" t="str">
        <f t="shared" si="92"/>
        <v>XL</v>
      </c>
      <c r="G1514" t="s">
        <v>25</v>
      </c>
      <c r="H1514" s="8">
        <v>75.03</v>
      </c>
      <c r="I1514" s="3">
        <f t="shared" si="93"/>
        <v>0.109</v>
      </c>
      <c r="J1514" s="4">
        <v>10.9</v>
      </c>
      <c r="K1514" s="11">
        <f>Table1[[#This Row],[original_price]]* (Table1[[#This Row],[Markdown percentage updated]])</f>
        <v>8.1782699999999995</v>
      </c>
      <c r="L15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14" s="6">
        <v>66.849999999999994</v>
      </c>
      <c r="N15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14" s="7">
        <v>45875</v>
      </c>
      <c r="P1514">
        <v>12</v>
      </c>
      <c r="Q1514" s="16" t="str">
        <f>IF(Table1[[#This Row],[stock_quantity]]=0,"NO STOCK",
IF(Table1[[#This Row],[stock_quantity]]&lt;=10,"LOW STOCK",
"IN STOCK"))</f>
        <v>IN STOCK</v>
      </c>
      <c r="R1514" s="1">
        <f t="shared" si="94"/>
        <v>1.2</v>
      </c>
      <c r="S1514">
        <v>1.2</v>
      </c>
      <c r="T1514" t="b">
        <v>0</v>
      </c>
      <c r="U1514" t="str">
        <f t="shared" si="95"/>
        <v>No Return</v>
      </c>
    </row>
    <row r="1515" spans="1:22" hidden="1" x14ac:dyDescent="0.3">
      <c r="A1515" t="s">
        <v>1568</v>
      </c>
      <c r="B1515" t="s">
        <v>27</v>
      </c>
      <c r="C1515" t="s">
        <v>53</v>
      </c>
      <c r="D1515" t="s">
        <v>23</v>
      </c>
      <c r="E1515" t="str">
        <f t="shared" si="92"/>
        <v>L</v>
      </c>
      <c r="G1515" t="s">
        <v>56</v>
      </c>
      <c r="H1515" s="8">
        <v>33.880000000000003</v>
      </c>
      <c r="I1515" s="3">
        <f t="shared" si="93"/>
        <v>0</v>
      </c>
      <c r="J1515" s="4">
        <v>0</v>
      </c>
      <c r="K1515" s="11">
        <f>Table1[[#This Row],[original_price]]* (Table1[[#This Row],[Markdown percentage updated]])</f>
        <v>0</v>
      </c>
      <c r="L15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15" s="6">
        <v>33.880000000000003</v>
      </c>
      <c r="N15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15" s="7">
        <v>45875</v>
      </c>
      <c r="P1515">
        <v>9</v>
      </c>
      <c r="Q1515" s="17" t="str">
        <f>IF(Table1[[#This Row],[stock_quantity]]=0,"NO STOCK",
IF(Table1[[#This Row],[stock_quantity]]&lt;=10,"LOW STOCK",
"IN STOCK"))</f>
        <v>LOW STOCK</v>
      </c>
      <c r="R1515" s="1">
        <f t="shared" si="94"/>
        <v>0</v>
      </c>
      <c r="T1515" t="b">
        <v>0</v>
      </c>
      <c r="U1515" t="str">
        <f t="shared" si="95"/>
        <v>No Return</v>
      </c>
    </row>
    <row r="1516" spans="1:22" hidden="1" x14ac:dyDescent="0.3">
      <c r="A1516" t="s">
        <v>1569</v>
      </c>
      <c r="B1516" t="s">
        <v>30</v>
      </c>
      <c r="C1516" t="s">
        <v>32</v>
      </c>
      <c r="D1516" t="s">
        <v>62</v>
      </c>
      <c r="E1516" t="str">
        <f t="shared" si="92"/>
        <v>XL</v>
      </c>
      <c r="F1516" t="s">
        <v>55</v>
      </c>
      <c r="G1516" t="s">
        <v>66</v>
      </c>
      <c r="H1516" s="8">
        <v>142</v>
      </c>
      <c r="I1516" s="3">
        <f t="shared" si="93"/>
        <v>0.12300000000000001</v>
      </c>
      <c r="J1516" s="4">
        <v>12.3</v>
      </c>
      <c r="K1516" s="11">
        <f>Table1[[#This Row],[original_price]]* (Table1[[#This Row],[Markdown percentage updated]])</f>
        <v>17.466000000000001</v>
      </c>
      <c r="L15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16" s="6">
        <v>124.53</v>
      </c>
      <c r="N15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16" s="7">
        <v>45875</v>
      </c>
      <c r="P1516">
        <v>39</v>
      </c>
      <c r="Q1516" s="16" t="str">
        <f>IF(Table1[[#This Row],[stock_quantity]]=0,"NO STOCK",
IF(Table1[[#This Row],[stock_quantity]]&lt;=10,"LOW STOCK",
"IN STOCK"))</f>
        <v>IN STOCK</v>
      </c>
      <c r="R1516" s="1">
        <f t="shared" si="94"/>
        <v>3.3</v>
      </c>
      <c r="S1516">
        <v>3.3</v>
      </c>
      <c r="T1516" t="b">
        <v>0</v>
      </c>
      <c r="U1516" t="str">
        <f t="shared" si="95"/>
        <v>No Return</v>
      </c>
    </row>
    <row r="1517" spans="1:22" hidden="1" x14ac:dyDescent="0.3">
      <c r="A1517" t="s">
        <v>1570</v>
      </c>
      <c r="B1517" t="s">
        <v>42</v>
      </c>
      <c r="C1517" t="s">
        <v>48</v>
      </c>
      <c r="D1517" t="s">
        <v>34</v>
      </c>
      <c r="E1517" t="str">
        <f t="shared" si="92"/>
        <v>OS</v>
      </c>
      <c r="F1517" t="s">
        <v>18</v>
      </c>
      <c r="G1517" t="s">
        <v>46</v>
      </c>
      <c r="H1517" s="8">
        <v>125.46</v>
      </c>
      <c r="I1517" s="3">
        <f t="shared" si="93"/>
        <v>0</v>
      </c>
      <c r="J1517" s="4">
        <v>0</v>
      </c>
      <c r="K1517" s="11">
        <f>Table1[[#This Row],[original_price]]* (Table1[[#This Row],[Markdown percentage updated]])</f>
        <v>0</v>
      </c>
      <c r="L15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17" s="6">
        <v>125.46</v>
      </c>
      <c r="N15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17" s="7">
        <v>45875</v>
      </c>
      <c r="P1517">
        <v>26</v>
      </c>
      <c r="Q1517" s="16" t="str">
        <f>IF(Table1[[#This Row],[stock_quantity]]=0,"NO STOCK",
IF(Table1[[#This Row],[stock_quantity]]&lt;=10,"LOW STOCK",
"IN STOCK"))</f>
        <v>IN STOCK</v>
      </c>
      <c r="R1517" s="1">
        <f t="shared" si="94"/>
        <v>1.1000000000000001</v>
      </c>
      <c r="S1517">
        <v>1.1000000000000001</v>
      </c>
      <c r="T1517" t="b">
        <v>0</v>
      </c>
      <c r="U1517" t="str">
        <f t="shared" si="95"/>
        <v>No Return</v>
      </c>
    </row>
    <row r="1518" spans="1:22" hidden="1" x14ac:dyDescent="0.3">
      <c r="A1518" t="s">
        <v>1571</v>
      </c>
      <c r="B1518" t="s">
        <v>30</v>
      </c>
      <c r="C1518" t="s">
        <v>48</v>
      </c>
      <c r="D1518" t="s">
        <v>23</v>
      </c>
      <c r="E1518" t="str">
        <f t="shared" si="92"/>
        <v>XL</v>
      </c>
      <c r="F1518" t="s">
        <v>24</v>
      </c>
      <c r="G1518" t="s">
        <v>44</v>
      </c>
      <c r="H1518" s="8">
        <v>138.79</v>
      </c>
      <c r="I1518" s="3">
        <f t="shared" si="93"/>
        <v>0</v>
      </c>
      <c r="J1518" s="4">
        <v>0</v>
      </c>
      <c r="K1518" s="11">
        <f>Table1[[#This Row],[original_price]]* (Table1[[#This Row],[Markdown percentage updated]])</f>
        <v>0</v>
      </c>
      <c r="L15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18" s="6">
        <v>138.79</v>
      </c>
      <c r="N15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18" s="7">
        <v>45875</v>
      </c>
      <c r="P1518">
        <v>16</v>
      </c>
      <c r="Q1518" s="16" t="str">
        <f>IF(Table1[[#This Row],[stock_quantity]]=0,"NO STOCK",
IF(Table1[[#This Row],[stock_quantity]]&lt;=10,"LOW STOCK",
"IN STOCK"))</f>
        <v>IN STOCK</v>
      </c>
      <c r="R1518" s="1">
        <f t="shared" si="94"/>
        <v>0</v>
      </c>
      <c r="T1518" t="b">
        <v>1</v>
      </c>
      <c r="U1518" s="13" t="str">
        <f t="shared" si="95"/>
        <v>Size Issue</v>
      </c>
      <c r="V1518" t="s">
        <v>73</v>
      </c>
    </row>
    <row r="1519" spans="1:22" hidden="1" x14ac:dyDescent="0.3">
      <c r="A1519" t="s">
        <v>1572</v>
      </c>
      <c r="B1519" t="s">
        <v>38</v>
      </c>
      <c r="C1519" t="s">
        <v>53</v>
      </c>
      <c r="D1519" t="s">
        <v>17</v>
      </c>
      <c r="E1519" t="str">
        <f t="shared" si="92"/>
        <v>OS</v>
      </c>
      <c r="F1519" t="s">
        <v>18</v>
      </c>
      <c r="G1519" t="s">
        <v>25</v>
      </c>
      <c r="H1519" s="8">
        <v>81.81</v>
      </c>
      <c r="I1519" s="3">
        <f t="shared" si="93"/>
        <v>0.379</v>
      </c>
      <c r="J1519" s="4">
        <v>37.9</v>
      </c>
      <c r="K1519" s="11">
        <f>Table1[[#This Row],[original_price]]* (Table1[[#This Row],[Markdown percentage updated]])</f>
        <v>31.005990000000001</v>
      </c>
      <c r="L15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19" s="6">
        <v>50.8</v>
      </c>
      <c r="N15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19" s="7">
        <v>45704</v>
      </c>
      <c r="P1519">
        <v>44</v>
      </c>
      <c r="Q1519" s="16" t="str">
        <f>IF(Table1[[#This Row],[stock_quantity]]=0,"NO STOCK",
IF(Table1[[#This Row],[stock_quantity]]&lt;=10,"LOW STOCK",
"IN STOCK"))</f>
        <v>IN STOCK</v>
      </c>
      <c r="R1519" s="1">
        <f t="shared" si="94"/>
        <v>0</v>
      </c>
      <c r="T1519" t="b">
        <v>0</v>
      </c>
      <c r="U1519" t="str">
        <f t="shared" si="95"/>
        <v>No Return</v>
      </c>
    </row>
    <row r="1520" spans="1:22" hidden="1" x14ac:dyDescent="0.3">
      <c r="A1520" t="s">
        <v>1573</v>
      </c>
      <c r="B1520" t="s">
        <v>27</v>
      </c>
      <c r="C1520" t="s">
        <v>22</v>
      </c>
      <c r="D1520" t="s">
        <v>34</v>
      </c>
      <c r="E1520" t="str">
        <f t="shared" si="92"/>
        <v>OS</v>
      </c>
      <c r="G1520" t="s">
        <v>70</v>
      </c>
      <c r="H1520" s="8">
        <v>78.260000000000005</v>
      </c>
      <c r="I1520" s="3">
        <f t="shared" si="93"/>
        <v>0.47299999999999998</v>
      </c>
      <c r="J1520" s="4">
        <v>47.3</v>
      </c>
      <c r="K1520" s="11">
        <f>Table1[[#This Row],[original_price]]* (Table1[[#This Row],[Markdown percentage updated]])</f>
        <v>37.016980000000004</v>
      </c>
      <c r="L15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20" s="6">
        <v>41.24</v>
      </c>
      <c r="N15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20" s="7">
        <v>45875</v>
      </c>
      <c r="P1520">
        <v>20</v>
      </c>
      <c r="Q1520" s="16" t="str">
        <f>IF(Table1[[#This Row],[stock_quantity]]=0,"NO STOCK",
IF(Table1[[#This Row],[stock_quantity]]&lt;=10,"LOW STOCK",
"IN STOCK"))</f>
        <v>IN STOCK</v>
      </c>
      <c r="R1520" s="1">
        <f t="shared" si="94"/>
        <v>4</v>
      </c>
      <c r="S1520">
        <v>4</v>
      </c>
      <c r="T1520" t="b">
        <v>0</v>
      </c>
      <c r="U1520" t="str">
        <f t="shared" si="95"/>
        <v>No Return</v>
      </c>
    </row>
    <row r="1521" spans="1:22" hidden="1" x14ac:dyDescent="0.3">
      <c r="A1521" t="s">
        <v>1574</v>
      </c>
      <c r="B1521" t="s">
        <v>38</v>
      </c>
      <c r="C1521" t="s">
        <v>32</v>
      </c>
      <c r="D1521" t="s">
        <v>17</v>
      </c>
      <c r="E1521" t="str">
        <f t="shared" si="92"/>
        <v>L</v>
      </c>
      <c r="F1521" t="s">
        <v>18</v>
      </c>
      <c r="G1521" t="s">
        <v>64</v>
      </c>
      <c r="H1521" s="8">
        <v>119.33</v>
      </c>
      <c r="I1521" s="3">
        <f t="shared" si="93"/>
        <v>0.16</v>
      </c>
      <c r="J1521" s="4">
        <v>16</v>
      </c>
      <c r="K1521" s="11">
        <f>Table1[[#This Row],[original_price]]* (Table1[[#This Row],[Markdown percentage updated]])</f>
        <v>19.0928</v>
      </c>
      <c r="L15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21" s="6">
        <v>100.24</v>
      </c>
      <c r="N15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21" s="7">
        <v>45520</v>
      </c>
      <c r="P1521">
        <v>35</v>
      </c>
      <c r="Q1521" s="16" t="str">
        <f>IF(Table1[[#This Row],[stock_quantity]]=0,"NO STOCK",
IF(Table1[[#This Row],[stock_quantity]]&lt;=10,"LOW STOCK",
"IN STOCK"))</f>
        <v>IN STOCK</v>
      </c>
      <c r="R1521" s="1">
        <f t="shared" si="94"/>
        <v>0</v>
      </c>
      <c r="T1521" t="b">
        <v>0</v>
      </c>
      <c r="U1521" t="str">
        <f t="shared" si="95"/>
        <v>No Return</v>
      </c>
    </row>
    <row r="1522" spans="1:22" hidden="1" x14ac:dyDescent="0.3">
      <c r="A1522" t="s">
        <v>1575</v>
      </c>
      <c r="B1522" t="s">
        <v>27</v>
      </c>
      <c r="C1522" t="s">
        <v>53</v>
      </c>
      <c r="D1522" t="s">
        <v>17</v>
      </c>
      <c r="E1522" t="str">
        <f t="shared" si="92"/>
        <v>L</v>
      </c>
      <c r="G1522" t="s">
        <v>28</v>
      </c>
      <c r="H1522" s="8">
        <v>52.97</v>
      </c>
      <c r="I1522" s="3">
        <f t="shared" si="93"/>
        <v>0</v>
      </c>
      <c r="J1522" s="4">
        <v>0</v>
      </c>
      <c r="K1522" s="11">
        <f>Table1[[#This Row],[original_price]]* (Table1[[#This Row],[Markdown percentage updated]])</f>
        <v>0</v>
      </c>
      <c r="L15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22" s="6">
        <v>52.97</v>
      </c>
      <c r="N15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22" s="7">
        <v>45864</v>
      </c>
      <c r="P1522">
        <v>36</v>
      </c>
      <c r="Q1522" s="16" t="str">
        <f>IF(Table1[[#This Row],[stock_quantity]]=0,"NO STOCK",
IF(Table1[[#This Row],[stock_quantity]]&lt;=10,"LOW STOCK",
"IN STOCK"))</f>
        <v>IN STOCK</v>
      </c>
      <c r="R1522" s="1">
        <f t="shared" si="94"/>
        <v>4.5999999999999996</v>
      </c>
      <c r="S1522">
        <v>4.5999999999999996</v>
      </c>
      <c r="T1522" t="b">
        <v>0</v>
      </c>
      <c r="U1522" t="str">
        <f t="shared" si="95"/>
        <v>No Return</v>
      </c>
    </row>
    <row r="1523" spans="1:22" hidden="1" x14ac:dyDescent="0.3">
      <c r="A1523" t="s">
        <v>1576</v>
      </c>
      <c r="B1523" t="s">
        <v>27</v>
      </c>
      <c r="C1523" t="s">
        <v>43</v>
      </c>
      <c r="D1523" t="s">
        <v>23</v>
      </c>
      <c r="E1523" t="str">
        <f t="shared" si="92"/>
        <v>XS</v>
      </c>
      <c r="G1523" t="s">
        <v>44</v>
      </c>
      <c r="H1523" s="8">
        <v>69.48</v>
      </c>
      <c r="I1523" s="3">
        <f t="shared" si="93"/>
        <v>0</v>
      </c>
      <c r="J1523" s="4">
        <v>0</v>
      </c>
      <c r="K1523" s="11">
        <f>Table1[[#This Row],[original_price]]* (Table1[[#This Row],[Markdown percentage updated]])</f>
        <v>0</v>
      </c>
      <c r="L15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23" s="6">
        <v>69.48</v>
      </c>
      <c r="N15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23" s="7">
        <v>45875</v>
      </c>
      <c r="P1523">
        <v>17</v>
      </c>
      <c r="Q1523" s="16" t="str">
        <f>IF(Table1[[#This Row],[stock_quantity]]=0,"NO STOCK",
IF(Table1[[#This Row],[stock_quantity]]&lt;=10,"LOW STOCK",
"IN STOCK"))</f>
        <v>IN STOCK</v>
      </c>
      <c r="R1523" s="1">
        <f t="shared" si="94"/>
        <v>3.4</v>
      </c>
      <c r="S1523">
        <v>3.4</v>
      </c>
      <c r="T1523" t="b">
        <v>0</v>
      </c>
      <c r="U1523" t="str">
        <f t="shared" si="95"/>
        <v>No Return</v>
      </c>
    </row>
    <row r="1524" spans="1:22" hidden="1" x14ac:dyDescent="0.3">
      <c r="A1524" t="s">
        <v>1577</v>
      </c>
      <c r="B1524" t="s">
        <v>15</v>
      </c>
      <c r="C1524" t="s">
        <v>32</v>
      </c>
      <c r="D1524" t="s">
        <v>62</v>
      </c>
      <c r="E1524" t="str">
        <f t="shared" si="92"/>
        <v>OS</v>
      </c>
      <c r="F1524" t="s">
        <v>24</v>
      </c>
      <c r="G1524" t="s">
        <v>40</v>
      </c>
      <c r="H1524" s="8">
        <v>177.82</v>
      </c>
      <c r="I1524" s="3">
        <f t="shared" si="93"/>
        <v>0</v>
      </c>
      <c r="J1524" s="4">
        <v>0</v>
      </c>
      <c r="K1524" s="11">
        <f>Table1[[#This Row],[original_price]]* (Table1[[#This Row],[Markdown percentage updated]])</f>
        <v>0</v>
      </c>
      <c r="L15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24" s="6">
        <v>177.82</v>
      </c>
      <c r="N15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24" s="7">
        <v>45875</v>
      </c>
      <c r="P1524">
        <v>9</v>
      </c>
      <c r="Q1524" s="17" t="str">
        <f>IF(Table1[[#This Row],[stock_quantity]]=0,"NO STOCK",
IF(Table1[[#This Row],[stock_quantity]]&lt;=10,"LOW STOCK",
"IN STOCK"))</f>
        <v>LOW STOCK</v>
      </c>
      <c r="R1524" s="1">
        <f t="shared" si="94"/>
        <v>1.1000000000000001</v>
      </c>
      <c r="S1524">
        <v>1.1000000000000001</v>
      </c>
      <c r="T1524" t="b">
        <v>0</v>
      </c>
      <c r="U1524" t="str">
        <f t="shared" si="95"/>
        <v>No Return</v>
      </c>
    </row>
    <row r="1525" spans="1:22" hidden="1" x14ac:dyDescent="0.3">
      <c r="A1525" t="s">
        <v>1578</v>
      </c>
      <c r="B1525" t="s">
        <v>30</v>
      </c>
      <c r="C1525" t="s">
        <v>32</v>
      </c>
      <c r="D1525" t="s">
        <v>23</v>
      </c>
      <c r="E1525" t="str">
        <f t="shared" si="92"/>
        <v>M</v>
      </c>
      <c r="F1525" t="s">
        <v>24</v>
      </c>
      <c r="G1525" t="s">
        <v>25</v>
      </c>
      <c r="H1525" s="8">
        <v>142.71</v>
      </c>
      <c r="I1525" s="3">
        <f t="shared" si="93"/>
        <v>0</v>
      </c>
      <c r="J1525" s="4">
        <v>0</v>
      </c>
      <c r="K1525" s="11">
        <f>Table1[[#This Row],[original_price]]* (Table1[[#This Row],[Markdown percentage updated]])</f>
        <v>0</v>
      </c>
      <c r="L15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25" s="6">
        <v>142.71</v>
      </c>
      <c r="N15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25" s="7">
        <v>45875</v>
      </c>
      <c r="P1525">
        <v>28</v>
      </c>
      <c r="Q1525" s="16" t="str">
        <f>IF(Table1[[#This Row],[stock_quantity]]=0,"NO STOCK",
IF(Table1[[#This Row],[stock_quantity]]&lt;=10,"LOW STOCK",
"IN STOCK"))</f>
        <v>IN STOCK</v>
      </c>
      <c r="R1525" s="1">
        <f t="shared" si="94"/>
        <v>1</v>
      </c>
      <c r="S1525">
        <v>1</v>
      </c>
      <c r="T1525" t="b">
        <v>0</v>
      </c>
      <c r="U1525" t="str">
        <f t="shared" si="95"/>
        <v>No Return</v>
      </c>
    </row>
    <row r="1526" spans="1:22" hidden="1" x14ac:dyDescent="0.3">
      <c r="A1526" t="s">
        <v>1579</v>
      </c>
      <c r="B1526" t="s">
        <v>38</v>
      </c>
      <c r="C1526" t="s">
        <v>16</v>
      </c>
      <c r="D1526" t="s">
        <v>17</v>
      </c>
      <c r="E1526" t="str">
        <f t="shared" si="92"/>
        <v>OS</v>
      </c>
      <c r="F1526" t="s">
        <v>55</v>
      </c>
      <c r="G1526" t="s">
        <v>44</v>
      </c>
      <c r="H1526" s="8">
        <v>105.21</v>
      </c>
      <c r="I1526" s="3">
        <f t="shared" si="93"/>
        <v>0</v>
      </c>
      <c r="J1526" s="4">
        <v>0</v>
      </c>
      <c r="K1526" s="11">
        <f>Table1[[#This Row],[original_price]]* (Table1[[#This Row],[Markdown percentage updated]])</f>
        <v>0</v>
      </c>
      <c r="L15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26" s="6">
        <v>105.21</v>
      </c>
      <c r="N15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26" s="7">
        <v>45598</v>
      </c>
      <c r="P1526">
        <v>41</v>
      </c>
      <c r="Q1526" s="16" t="str">
        <f>IF(Table1[[#This Row],[stock_quantity]]=0,"NO STOCK",
IF(Table1[[#This Row],[stock_quantity]]&lt;=10,"LOW STOCK",
"IN STOCK"))</f>
        <v>IN STOCK</v>
      </c>
      <c r="R1526" s="1">
        <f t="shared" si="94"/>
        <v>4.9000000000000004</v>
      </c>
      <c r="S1526">
        <v>4.9000000000000004</v>
      </c>
      <c r="T1526" t="b">
        <v>0</v>
      </c>
      <c r="U1526" t="str">
        <f t="shared" si="95"/>
        <v>No Return</v>
      </c>
    </row>
    <row r="1527" spans="1:22" hidden="1" x14ac:dyDescent="0.3">
      <c r="A1527" t="s">
        <v>1580</v>
      </c>
      <c r="B1527" t="s">
        <v>27</v>
      </c>
      <c r="C1527" t="s">
        <v>75</v>
      </c>
      <c r="D1527" t="s">
        <v>34</v>
      </c>
      <c r="E1527" t="str">
        <f t="shared" si="92"/>
        <v>S</v>
      </c>
      <c r="G1527" t="s">
        <v>40</v>
      </c>
      <c r="H1527" s="8">
        <v>65.09</v>
      </c>
      <c r="I1527" s="3">
        <f t="shared" si="93"/>
        <v>0.498</v>
      </c>
      <c r="J1527" s="4">
        <v>49.8</v>
      </c>
      <c r="K1527" s="11">
        <f>Table1[[#This Row],[original_price]]* (Table1[[#This Row],[Markdown percentage updated]])</f>
        <v>32.414819999999999</v>
      </c>
      <c r="L15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27" s="6">
        <v>32.68</v>
      </c>
      <c r="N15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27" s="7">
        <v>45875</v>
      </c>
      <c r="P1527">
        <v>32</v>
      </c>
      <c r="Q1527" s="16" t="str">
        <f>IF(Table1[[#This Row],[stock_quantity]]=0,"NO STOCK",
IF(Table1[[#This Row],[stock_quantity]]&lt;=10,"LOW STOCK",
"IN STOCK"))</f>
        <v>IN STOCK</v>
      </c>
      <c r="R1527" s="1">
        <f t="shared" si="94"/>
        <v>4.9000000000000004</v>
      </c>
      <c r="S1527">
        <v>4.9000000000000004</v>
      </c>
      <c r="T1527" t="b">
        <v>0</v>
      </c>
      <c r="U1527" t="str">
        <f t="shared" si="95"/>
        <v>No Return</v>
      </c>
    </row>
    <row r="1528" spans="1:22" hidden="1" x14ac:dyDescent="0.3">
      <c r="A1528" t="s">
        <v>1581</v>
      </c>
      <c r="B1528" t="s">
        <v>15</v>
      </c>
      <c r="C1528" t="s">
        <v>22</v>
      </c>
      <c r="D1528" t="s">
        <v>23</v>
      </c>
      <c r="E1528" t="str">
        <f t="shared" si="92"/>
        <v>XS</v>
      </c>
      <c r="F1528" t="s">
        <v>58</v>
      </c>
      <c r="G1528" t="s">
        <v>64</v>
      </c>
      <c r="H1528" s="8">
        <v>167.39</v>
      </c>
      <c r="I1528" s="3">
        <f t="shared" si="93"/>
        <v>0</v>
      </c>
      <c r="J1528" s="4">
        <v>0</v>
      </c>
      <c r="K1528" s="11">
        <f>Table1[[#This Row],[original_price]]* (Table1[[#This Row],[Markdown percentage updated]])</f>
        <v>0</v>
      </c>
      <c r="L15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28" s="6">
        <v>167.39</v>
      </c>
      <c r="N15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28" s="7">
        <v>45875</v>
      </c>
      <c r="P1528">
        <v>43</v>
      </c>
      <c r="Q1528" s="16" t="str">
        <f>IF(Table1[[#This Row],[stock_quantity]]=0,"NO STOCK",
IF(Table1[[#This Row],[stock_quantity]]&lt;=10,"LOW STOCK",
"IN STOCK"))</f>
        <v>IN STOCK</v>
      </c>
      <c r="R1528" s="1">
        <f t="shared" si="94"/>
        <v>1.8</v>
      </c>
      <c r="S1528">
        <v>1.8</v>
      </c>
      <c r="T1528" t="b">
        <v>0</v>
      </c>
      <c r="U1528" t="str">
        <f t="shared" si="95"/>
        <v>No Return</v>
      </c>
    </row>
    <row r="1529" spans="1:22" hidden="1" x14ac:dyDescent="0.3">
      <c r="A1529" t="s">
        <v>1582</v>
      </c>
      <c r="B1529" t="s">
        <v>27</v>
      </c>
      <c r="C1529" t="s">
        <v>22</v>
      </c>
      <c r="D1529" t="s">
        <v>23</v>
      </c>
      <c r="E1529" t="str">
        <f t="shared" si="92"/>
        <v>S</v>
      </c>
      <c r="G1529" t="s">
        <v>19</v>
      </c>
      <c r="H1529" s="8">
        <v>49.89</v>
      </c>
      <c r="I1529" s="3">
        <f t="shared" si="93"/>
        <v>0</v>
      </c>
      <c r="J1529" s="4">
        <v>0</v>
      </c>
      <c r="K1529" s="11">
        <f>Table1[[#This Row],[original_price]]* (Table1[[#This Row],[Markdown percentage updated]])</f>
        <v>0</v>
      </c>
      <c r="L15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29" s="6">
        <v>49.89</v>
      </c>
      <c r="N15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29" s="7">
        <v>45875</v>
      </c>
      <c r="P1529">
        <v>32</v>
      </c>
      <c r="Q1529" s="16" t="str">
        <f>IF(Table1[[#This Row],[stock_quantity]]=0,"NO STOCK",
IF(Table1[[#This Row],[stock_quantity]]&lt;=10,"LOW STOCK",
"IN STOCK"))</f>
        <v>IN STOCK</v>
      </c>
      <c r="R1529" s="1">
        <f t="shared" si="94"/>
        <v>2.4</v>
      </c>
      <c r="S1529">
        <v>2.4</v>
      </c>
      <c r="T1529" t="b">
        <v>0</v>
      </c>
      <c r="U1529" t="str">
        <f t="shared" si="95"/>
        <v>No Return</v>
      </c>
    </row>
    <row r="1530" spans="1:22" hidden="1" x14ac:dyDescent="0.3">
      <c r="A1530" t="s">
        <v>1583</v>
      </c>
      <c r="B1530" t="s">
        <v>15</v>
      </c>
      <c r="C1530" t="s">
        <v>32</v>
      </c>
      <c r="D1530" t="s">
        <v>34</v>
      </c>
      <c r="E1530" t="str">
        <f t="shared" si="92"/>
        <v>S</v>
      </c>
      <c r="F1530" t="s">
        <v>39</v>
      </c>
      <c r="G1530" t="s">
        <v>35</v>
      </c>
      <c r="H1530" s="8">
        <v>218.06</v>
      </c>
      <c r="I1530" s="3">
        <f t="shared" si="93"/>
        <v>0</v>
      </c>
      <c r="J1530" s="4">
        <v>0</v>
      </c>
      <c r="K1530" s="11">
        <f>Table1[[#This Row],[original_price]]* (Table1[[#This Row],[Markdown percentage updated]])</f>
        <v>0</v>
      </c>
      <c r="L15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30" s="6">
        <v>218.06</v>
      </c>
      <c r="N15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30" s="7">
        <v>45875</v>
      </c>
      <c r="P1530">
        <v>32</v>
      </c>
      <c r="Q1530" s="16" t="str">
        <f>IF(Table1[[#This Row],[stock_quantity]]=0,"NO STOCK",
IF(Table1[[#This Row],[stock_quantity]]&lt;=10,"LOW STOCK",
"IN STOCK"))</f>
        <v>IN STOCK</v>
      </c>
      <c r="R1530" s="1">
        <f t="shared" si="94"/>
        <v>4</v>
      </c>
      <c r="S1530">
        <v>4</v>
      </c>
      <c r="T1530" t="b">
        <v>0</v>
      </c>
      <c r="U1530" t="str">
        <f t="shared" si="95"/>
        <v>No Return</v>
      </c>
    </row>
    <row r="1531" spans="1:22" x14ac:dyDescent="0.3">
      <c r="A1531" t="s">
        <v>1584</v>
      </c>
      <c r="B1531" t="s">
        <v>38</v>
      </c>
      <c r="C1531" t="s">
        <v>61</v>
      </c>
      <c r="D1531" t="s">
        <v>62</v>
      </c>
      <c r="E1531" t="str">
        <f t="shared" si="92"/>
        <v>OS</v>
      </c>
      <c r="F1531" t="s">
        <v>55</v>
      </c>
      <c r="G1531" t="s">
        <v>35</v>
      </c>
      <c r="H1531" s="8">
        <v>66.64</v>
      </c>
      <c r="I1531" s="3">
        <f t="shared" si="93"/>
        <v>0.218</v>
      </c>
      <c r="J1531" s="4">
        <v>21.8</v>
      </c>
      <c r="K1531" s="11">
        <f>Table1[[#This Row],[original_price]]* (Table1[[#This Row],[Markdown percentage updated]])</f>
        <v>14.527520000000001</v>
      </c>
      <c r="L15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531" s="6">
        <v>52.11</v>
      </c>
      <c r="N15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31" s="7">
        <v>45875</v>
      </c>
      <c r="P1531">
        <v>25</v>
      </c>
      <c r="Q1531" s="16" t="str">
        <f>IF(Table1[[#This Row],[stock_quantity]]=0,"NO STOCK",
IF(Table1[[#This Row],[stock_quantity]]&lt;=10,"LOW STOCK",
"IN STOCK"))</f>
        <v>IN STOCK</v>
      </c>
      <c r="R1531" s="1">
        <f t="shared" si="94"/>
        <v>3.5</v>
      </c>
      <c r="S1531">
        <v>3.5</v>
      </c>
      <c r="T1531" t="b">
        <v>1</v>
      </c>
      <c r="U1531" s="13" t="str">
        <f t="shared" si="95"/>
        <v>Changed Mind</v>
      </c>
      <c r="V1531" t="s">
        <v>115</v>
      </c>
    </row>
    <row r="1532" spans="1:22" hidden="1" x14ac:dyDescent="0.3">
      <c r="A1532" t="s">
        <v>1585</v>
      </c>
      <c r="B1532" t="s">
        <v>15</v>
      </c>
      <c r="C1532" t="s">
        <v>53</v>
      </c>
      <c r="D1532" t="s">
        <v>34</v>
      </c>
      <c r="E1532" t="str">
        <f t="shared" si="92"/>
        <v>M</v>
      </c>
      <c r="F1532" t="s">
        <v>39</v>
      </c>
      <c r="G1532" t="s">
        <v>40</v>
      </c>
      <c r="H1532" s="8">
        <v>124.69</v>
      </c>
      <c r="I1532" s="3">
        <f t="shared" si="93"/>
        <v>0.40899999999999997</v>
      </c>
      <c r="J1532" s="4">
        <v>40.9</v>
      </c>
      <c r="K1532" s="11">
        <f>Table1[[#This Row],[original_price]]* (Table1[[#This Row],[Markdown percentage updated]])</f>
        <v>50.998209999999993</v>
      </c>
      <c r="L15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32" s="6">
        <v>73.69</v>
      </c>
      <c r="N15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32" s="7">
        <v>45875</v>
      </c>
      <c r="P1532">
        <v>9</v>
      </c>
      <c r="Q1532" s="17" t="str">
        <f>IF(Table1[[#This Row],[stock_quantity]]=0,"NO STOCK",
IF(Table1[[#This Row],[stock_quantity]]&lt;=10,"LOW STOCK",
"IN STOCK"))</f>
        <v>LOW STOCK</v>
      </c>
      <c r="R1532" s="1">
        <f t="shared" si="94"/>
        <v>4.0999999999999996</v>
      </c>
      <c r="S1532">
        <v>4.0999999999999996</v>
      </c>
      <c r="T1532" t="b">
        <v>0</v>
      </c>
      <c r="U1532" t="str">
        <f t="shared" si="95"/>
        <v>No Return</v>
      </c>
    </row>
    <row r="1533" spans="1:22" hidden="1" x14ac:dyDescent="0.3">
      <c r="A1533" t="s">
        <v>1586</v>
      </c>
      <c r="B1533" t="s">
        <v>21</v>
      </c>
      <c r="C1533" t="s">
        <v>43</v>
      </c>
      <c r="D1533" t="s">
        <v>62</v>
      </c>
      <c r="E1533" t="str">
        <f t="shared" si="92"/>
        <v>XS</v>
      </c>
      <c r="F1533" t="s">
        <v>39</v>
      </c>
      <c r="G1533" t="s">
        <v>25</v>
      </c>
      <c r="H1533" s="8">
        <v>28.24</v>
      </c>
      <c r="I1533" s="3">
        <f t="shared" si="93"/>
        <v>0.48200000000000004</v>
      </c>
      <c r="J1533" s="4">
        <v>48.2</v>
      </c>
      <c r="K1533" s="11">
        <f>Table1[[#This Row],[original_price]]* (Table1[[#This Row],[Markdown percentage updated]])</f>
        <v>13.61168</v>
      </c>
      <c r="L15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33" s="6">
        <v>14.63</v>
      </c>
      <c r="N15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33" s="7">
        <v>45875</v>
      </c>
      <c r="P1533">
        <v>20</v>
      </c>
      <c r="Q1533" s="16" t="str">
        <f>IF(Table1[[#This Row],[stock_quantity]]=0,"NO STOCK",
IF(Table1[[#This Row],[stock_quantity]]&lt;=10,"LOW STOCK",
"IN STOCK"))</f>
        <v>IN STOCK</v>
      </c>
      <c r="R1533" s="1">
        <f t="shared" si="94"/>
        <v>4.5</v>
      </c>
      <c r="S1533">
        <v>4.5</v>
      </c>
      <c r="T1533" t="b">
        <v>0</v>
      </c>
      <c r="U1533" t="str">
        <f t="shared" si="95"/>
        <v>No Return</v>
      </c>
    </row>
    <row r="1534" spans="1:22" hidden="1" x14ac:dyDescent="0.3">
      <c r="A1534" t="s">
        <v>1587</v>
      </c>
      <c r="B1534" t="s">
        <v>27</v>
      </c>
      <c r="C1534" t="s">
        <v>16</v>
      </c>
      <c r="D1534" t="s">
        <v>62</v>
      </c>
      <c r="E1534" t="str">
        <f t="shared" si="92"/>
        <v>XXL</v>
      </c>
      <c r="G1534" t="s">
        <v>66</v>
      </c>
      <c r="H1534" s="8">
        <v>76.39</v>
      </c>
      <c r="I1534" s="3">
        <f t="shared" si="93"/>
        <v>0.53900000000000003</v>
      </c>
      <c r="J1534" s="4">
        <v>53.9</v>
      </c>
      <c r="K1534" s="11">
        <f>Table1[[#This Row],[original_price]]* (Table1[[#This Row],[Markdown percentage updated]])</f>
        <v>41.174210000000002</v>
      </c>
      <c r="L15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34" s="6">
        <v>35.22</v>
      </c>
      <c r="N15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34" s="7">
        <v>45875</v>
      </c>
      <c r="P1534">
        <v>15</v>
      </c>
      <c r="Q1534" s="16" t="str">
        <f>IF(Table1[[#This Row],[stock_quantity]]=0,"NO STOCK",
IF(Table1[[#This Row],[stock_quantity]]&lt;=10,"LOW STOCK",
"IN STOCK"))</f>
        <v>IN STOCK</v>
      </c>
      <c r="R1534" s="1">
        <f t="shared" si="94"/>
        <v>1.5</v>
      </c>
      <c r="S1534">
        <v>1.5</v>
      </c>
      <c r="T1534" t="b">
        <v>0</v>
      </c>
      <c r="U1534" t="str">
        <f t="shared" si="95"/>
        <v>No Return</v>
      </c>
    </row>
    <row r="1535" spans="1:22" hidden="1" x14ac:dyDescent="0.3">
      <c r="A1535" t="s">
        <v>1588</v>
      </c>
      <c r="B1535" t="s">
        <v>38</v>
      </c>
      <c r="C1535" t="s">
        <v>16</v>
      </c>
      <c r="D1535" t="s">
        <v>23</v>
      </c>
      <c r="E1535" t="str">
        <f t="shared" si="92"/>
        <v>XS</v>
      </c>
      <c r="F1535" t="s">
        <v>58</v>
      </c>
      <c r="G1535" t="s">
        <v>44</v>
      </c>
      <c r="H1535" s="8">
        <v>96.82</v>
      </c>
      <c r="I1535" s="3">
        <f t="shared" si="93"/>
        <v>0</v>
      </c>
      <c r="J1535" s="4">
        <v>0</v>
      </c>
      <c r="K1535" s="11">
        <f>Table1[[#This Row],[original_price]]* (Table1[[#This Row],[Markdown percentage updated]])</f>
        <v>0</v>
      </c>
      <c r="L15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35" s="6">
        <v>96.82</v>
      </c>
      <c r="N15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35" s="7">
        <v>45875</v>
      </c>
      <c r="P1535">
        <v>0</v>
      </c>
      <c r="Q1535" s="13" t="str">
        <f>IF(Table1[[#This Row],[stock_quantity]]=0,"NO STOCK",
IF(Table1[[#This Row],[stock_quantity]]&lt;=10,"LOW STOCK",
"IN STOCK"))</f>
        <v>NO STOCK</v>
      </c>
      <c r="R1535" s="1">
        <f t="shared" si="94"/>
        <v>1.1000000000000001</v>
      </c>
      <c r="S1535">
        <v>1.1000000000000001</v>
      </c>
      <c r="T1535" t="b">
        <v>0</v>
      </c>
      <c r="U1535" t="str">
        <f t="shared" si="95"/>
        <v>No Return</v>
      </c>
    </row>
    <row r="1536" spans="1:22" hidden="1" x14ac:dyDescent="0.3">
      <c r="A1536" t="s">
        <v>1589</v>
      </c>
      <c r="B1536" t="s">
        <v>30</v>
      </c>
      <c r="C1536" t="s">
        <v>32</v>
      </c>
      <c r="D1536" t="s">
        <v>34</v>
      </c>
      <c r="E1536" t="str">
        <f t="shared" si="92"/>
        <v>XXL</v>
      </c>
      <c r="F1536" t="s">
        <v>55</v>
      </c>
      <c r="G1536" t="s">
        <v>64</v>
      </c>
      <c r="H1536" s="8">
        <v>159.25</v>
      </c>
      <c r="I1536" s="3">
        <f t="shared" si="93"/>
        <v>0.28199999999999997</v>
      </c>
      <c r="J1536" s="4">
        <v>28.2</v>
      </c>
      <c r="K1536" s="11">
        <f>Table1[[#This Row],[original_price]]* (Table1[[#This Row],[Markdown percentage updated]])</f>
        <v>44.908499999999997</v>
      </c>
      <c r="L15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536" s="6">
        <v>114.34</v>
      </c>
      <c r="N15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36" s="7">
        <v>45875</v>
      </c>
      <c r="P1536">
        <v>1</v>
      </c>
      <c r="Q1536" s="17" t="str">
        <f>IF(Table1[[#This Row],[stock_quantity]]=0,"NO STOCK",
IF(Table1[[#This Row],[stock_quantity]]&lt;=10,"LOW STOCK",
"IN STOCK"))</f>
        <v>LOW STOCK</v>
      </c>
      <c r="R1536" s="1">
        <f t="shared" si="94"/>
        <v>0</v>
      </c>
      <c r="T1536" t="b">
        <v>1</v>
      </c>
      <c r="U1536" s="13" t="str">
        <f t="shared" si="95"/>
        <v>Wrong Item</v>
      </c>
      <c r="V1536" t="s">
        <v>125</v>
      </c>
    </row>
    <row r="1537" spans="1:22" hidden="1" x14ac:dyDescent="0.3">
      <c r="A1537" t="s">
        <v>1590</v>
      </c>
      <c r="B1537" t="s">
        <v>42</v>
      </c>
      <c r="C1537" t="s">
        <v>16</v>
      </c>
      <c r="D1537" t="s">
        <v>62</v>
      </c>
      <c r="E1537" t="str">
        <f t="shared" si="92"/>
        <v>S</v>
      </c>
      <c r="F1537" t="s">
        <v>49</v>
      </c>
      <c r="G1537" t="s">
        <v>64</v>
      </c>
      <c r="H1537" s="8">
        <v>171.93</v>
      </c>
      <c r="I1537" s="3">
        <f t="shared" si="93"/>
        <v>0.52300000000000002</v>
      </c>
      <c r="J1537" s="4">
        <v>52.3</v>
      </c>
      <c r="K1537" s="11">
        <f>Table1[[#This Row],[original_price]]* (Table1[[#This Row],[Markdown percentage updated]])</f>
        <v>89.919390000000007</v>
      </c>
      <c r="L15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37" s="6">
        <v>82.01</v>
      </c>
      <c r="N15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37" s="7">
        <v>45875</v>
      </c>
      <c r="P1537">
        <v>28</v>
      </c>
      <c r="Q1537" s="16" t="str">
        <f>IF(Table1[[#This Row],[stock_quantity]]=0,"NO STOCK",
IF(Table1[[#This Row],[stock_quantity]]&lt;=10,"LOW STOCK",
"IN STOCK"))</f>
        <v>IN STOCK</v>
      </c>
      <c r="R1537" s="1">
        <f t="shared" si="94"/>
        <v>2.2000000000000002</v>
      </c>
      <c r="S1537">
        <v>2.2000000000000002</v>
      </c>
      <c r="T1537" t="b">
        <v>0</v>
      </c>
      <c r="U1537" t="str">
        <f t="shared" si="95"/>
        <v>No Return</v>
      </c>
    </row>
    <row r="1538" spans="1:22" hidden="1" x14ac:dyDescent="0.3">
      <c r="A1538" t="s">
        <v>1591</v>
      </c>
      <c r="B1538" t="s">
        <v>21</v>
      </c>
      <c r="C1538" t="s">
        <v>16</v>
      </c>
      <c r="D1538" t="s">
        <v>62</v>
      </c>
      <c r="E1538" t="str">
        <f t="shared" ref="E1538:E1601" si="96">IF(ISBLANK(F1541),"OS",F1541)</f>
        <v>XXL</v>
      </c>
      <c r="F1538" t="s">
        <v>55</v>
      </c>
      <c r="G1538" t="s">
        <v>70</v>
      </c>
      <c r="H1538" s="8">
        <v>85.25</v>
      </c>
      <c r="I1538" s="3">
        <f t="shared" ref="I1538:I1601" si="97">J1538/100</f>
        <v>0</v>
      </c>
      <c r="J1538" s="4">
        <v>0</v>
      </c>
      <c r="K1538" s="11">
        <f>Table1[[#This Row],[original_price]]* (Table1[[#This Row],[Markdown percentage updated]])</f>
        <v>0</v>
      </c>
      <c r="L15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38" s="6">
        <v>85.25</v>
      </c>
      <c r="N15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38" s="7">
        <v>45875</v>
      </c>
      <c r="P1538">
        <v>11</v>
      </c>
      <c r="Q1538" s="16" t="str">
        <f>IF(Table1[[#This Row],[stock_quantity]]=0,"NO STOCK",
IF(Table1[[#This Row],[stock_quantity]]&lt;=10,"LOW STOCK",
"IN STOCK"))</f>
        <v>IN STOCK</v>
      </c>
      <c r="R1538" s="1">
        <f t="shared" si="94"/>
        <v>0</v>
      </c>
      <c r="T1538" t="b">
        <v>0</v>
      </c>
      <c r="U1538" t="str">
        <f t="shared" si="95"/>
        <v>No Return</v>
      </c>
    </row>
    <row r="1539" spans="1:22" hidden="1" x14ac:dyDescent="0.3">
      <c r="A1539" t="s">
        <v>1592</v>
      </c>
      <c r="B1539" t="s">
        <v>21</v>
      </c>
      <c r="C1539" t="s">
        <v>32</v>
      </c>
      <c r="D1539" t="s">
        <v>17</v>
      </c>
      <c r="E1539" t="str">
        <f t="shared" si="96"/>
        <v>OS</v>
      </c>
      <c r="F1539" t="s">
        <v>49</v>
      </c>
      <c r="G1539" t="s">
        <v>25</v>
      </c>
      <c r="H1539" s="8">
        <v>70.48</v>
      </c>
      <c r="I1539" s="3">
        <f t="shared" si="97"/>
        <v>0</v>
      </c>
      <c r="J1539" s="4">
        <v>0</v>
      </c>
      <c r="K1539" s="11">
        <f>Table1[[#This Row],[original_price]]* (Table1[[#This Row],[Markdown percentage updated]])</f>
        <v>0</v>
      </c>
      <c r="L15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39" s="6">
        <v>70.48</v>
      </c>
      <c r="N15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39" s="7">
        <v>45623</v>
      </c>
      <c r="P1539">
        <v>22</v>
      </c>
      <c r="Q1539" s="16" t="str">
        <f>IF(Table1[[#This Row],[stock_quantity]]=0,"NO STOCK",
IF(Table1[[#This Row],[stock_quantity]]&lt;=10,"LOW STOCK",
"IN STOCK"))</f>
        <v>IN STOCK</v>
      </c>
      <c r="R1539" s="1">
        <f t="shared" ref="R1539:R1602" si="98">IF(ISBLANK(S1539), 0, S1539)</f>
        <v>1.2</v>
      </c>
      <c r="S1539">
        <v>1.2</v>
      </c>
      <c r="T1539" t="b">
        <v>0</v>
      </c>
      <c r="U1539" t="str">
        <f t="shared" ref="U1539:U1602" si="99">IF(V1539="","No Return",V1539)</f>
        <v>No Return</v>
      </c>
    </row>
    <row r="1540" spans="1:22" hidden="1" x14ac:dyDescent="0.3">
      <c r="A1540" t="s">
        <v>1593</v>
      </c>
      <c r="B1540" t="s">
        <v>15</v>
      </c>
      <c r="C1540" t="s">
        <v>32</v>
      </c>
      <c r="D1540" t="s">
        <v>17</v>
      </c>
      <c r="E1540" t="str">
        <f t="shared" si="96"/>
        <v>OS</v>
      </c>
      <c r="F1540" t="s">
        <v>39</v>
      </c>
      <c r="G1540" t="s">
        <v>70</v>
      </c>
      <c r="H1540" s="8">
        <v>203.02</v>
      </c>
      <c r="I1540" s="3">
        <f t="shared" si="97"/>
        <v>0</v>
      </c>
      <c r="J1540" s="4">
        <v>0</v>
      </c>
      <c r="K1540" s="11">
        <f>Table1[[#This Row],[original_price]]* (Table1[[#This Row],[Markdown percentage updated]])</f>
        <v>0</v>
      </c>
      <c r="L15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40" s="6">
        <v>203.02</v>
      </c>
      <c r="N15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40" s="7">
        <v>45794</v>
      </c>
      <c r="P1540">
        <v>23</v>
      </c>
      <c r="Q1540" s="16" t="str">
        <f>IF(Table1[[#This Row],[stock_quantity]]=0,"NO STOCK",
IF(Table1[[#This Row],[stock_quantity]]&lt;=10,"LOW STOCK",
"IN STOCK"))</f>
        <v>IN STOCK</v>
      </c>
      <c r="R1540" s="1">
        <f t="shared" si="98"/>
        <v>3.5</v>
      </c>
      <c r="S1540">
        <v>3.5</v>
      </c>
      <c r="T1540" t="b">
        <v>1</v>
      </c>
      <c r="U1540" s="13" t="str">
        <f t="shared" si="99"/>
        <v>Quality Issue</v>
      </c>
      <c r="V1540" t="s">
        <v>83</v>
      </c>
    </row>
    <row r="1541" spans="1:22" hidden="1" x14ac:dyDescent="0.3">
      <c r="A1541" t="s">
        <v>1594</v>
      </c>
      <c r="B1541" t="s">
        <v>42</v>
      </c>
      <c r="C1541" t="s">
        <v>53</v>
      </c>
      <c r="D1541" t="s">
        <v>34</v>
      </c>
      <c r="E1541" t="str">
        <f t="shared" si="96"/>
        <v>S</v>
      </c>
      <c r="F1541" t="s">
        <v>49</v>
      </c>
      <c r="G1541" t="s">
        <v>25</v>
      </c>
      <c r="H1541" s="8">
        <v>115.39</v>
      </c>
      <c r="I1541" s="3">
        <f t="shared" si="97"/>
        <v>0.11199999999999999</v>
      </c>
      <c r="J1541" s="4">
        <v>11.2</v>
      </c>
      <c r="K1541" s="11">
        <f>Table1[[#This Row],[original_price]]* (Table1[[#This Row],[Markdown percentage updated]])</f>
        <v>12.923679999999999</v>
      </c>
      <c r="L15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41" s="6">
        <v>102.47</v>
      </c>
      <c r="N15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41" s="7">
        <v>45875</v>
      </c>
      <c r="P1541">
        <v>4</v>
      </c>
      <c r="Q1541" s="17" t="str">
        <f>IF(Table1[[#This Row],[stock_quantity]]=0,"NO STOCK",
IF(Table1[[#This Row],[stock_quantity]]&lt;=10,"LOW STOCK",
"IN STOCK"))</f>
        <v>LOW STOCK</v>
      </c>
      <c r="R1541" s="1">
        <f t="shared" si="98"/>
        <v>3.8</v>
      </c>
      <c r="S1541">
        <v>3.8</v>
      </c>
      <c r="T1541" t="b">
        <v>0</v>
      </c>
      <c r="U1541" t="str">
        <f t="shared" si="99"/>
        <v>No Return</v>
      </c>
    </row>
    <row r="1542" spans="1:22" hidden="1" x14ac:dyDescent="0.3">
      <c r="A1542" t="s">
        <v>1595</v>
      </c>
      <c r="B1542" t="s">
        <v>27</v>
      </c>
      <c r="C1542" t="s">
        <v>43</v>
      </c>
      <c r="D1542" t="s">
        <v>17</v>
      </c>
      <c r="E1542" t="str">
        <f t="shared" si="96"/>
        <v>OS</v>
      </c>
      <c r="G1542" t="s">
        <v>25</v>
      </c>
      <c r="H1542" s="8">
        <v>27.91</v>
      </c>
      <c r="I1542" s="3">
        <f t="shared" si="97"/>
        <v>0.498</v>
      </c>
      <c r="J1542" s="4">
        <v>49.8</v>
      </c>
      <c r="K1542" s="11">
        <f>Table1[[#This Row],[original_price]]* (Table1[[#This Row],[Markdown percentage updated]])</f>
        <v>13.899179999999999</v>
      </c>
      <c r="L15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42" s="6">
        <v>14.01</v>
      </c>
      <c r="N15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42" s="7">
        <v>45701</v>
      </c>
      <c r="P1542">
        <v>12</v>
      </c>
      <c r="Q1542" s="16" t="str">
        <f>IF(Table1[[#This Row],[stock_quantity]]=0,"NO STOCK",
IF(Table1[[#This Row],[stock_quantity]]&lt;=10,"LOW STOCK",
"IN STOCK"))</f>
        <v>IN STOCK</v>
      </c>
      <c r="R1542" s="1">
        <f t="shared" si="98"/>
        <v>2.6</v>
      </c>
      <c r="S1542">
        <v>2.6</v>
      </c>
      <c r="T1542" t="b">
        <v>0</v>
      </c>
      <c r="U1542" t="str">
        <f t="shared" si="99"/>
        <v>No Return</v>
      </c>
    </row>
    <row r="1543" spans="1:22" hidden="1" x14ac:dyDescent="0.3">
      <c r="A1543" t="s">
        <v>1596</v>
      </c>
      <c r="B1543" t="s">
        <v>27</v>
      </c>
      <c r="C1543" t="s">
        <v>48</v>
      </c>
      <c r="D1543" t="s">
        <v>23</v>
      </c>
      <c r="E1543" t="str">
        <f t="shared" si="96"/>
        <v>OS</v>
      </c>
      <c r="G1543" t="s">
        <v>64</v>
      </c>
      <c r="H1543" s="8">
        <v>79.69</v>
      </c>
      <c r="I1543" s="3">
        <f t="shared" si="97"/>
        <v>0</v>
      </c>
      <c r="J1543" s="4">
        <v>0</v>
      </c>
      <c r="K1543" s="11">
        <f>Table1[[#This Row],[original_price]]* (Table1[[#This Row],[Markdown percentage updated]])</f>
        <v>0</v>
      </c>
      <c r="L15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43" s="6">
        <v>79.69</v>
      </c>
      <c r="N15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43" s="7">
        <v>45875</v>
      </c>
      <c r="P1543">
        <v>44</v>
      </c>
      <c r="Q1543" s="16" t="str">
        <f>IF(Table1[[#This Row],[stock_quantity]]=0,"NO STOCK",
IF(Table1[[#This Row],[stock_quantity]]&lt;=10,"LOW STOCK",
"IN STOCK"))</f>
        <v>IN STOCK</v>
      </c>
      <c r="R1543" s="1">
        <f t="shared" si="98"/>
        <v>1.6</v>
      </c>
      <c r="S1543">
        <v>1.6</v>
      </c>
      <c r="T1543" t="b">
        <v>0</v>
      </c>
      <c r="U1543" t="str">
        <f t="shared" si="99"/>
        <v>No Return</v>
      </c>
    </row>
    <row r="1544" spans="1:22" hidden="1" x14ac:dyDescent="0.3">
      <c r="A1544" t="s">
        <v>1597</v>
      </c>
      <c r="B1544" t="s">
        <v>38</v>
      </c>
      <c r="C1544" t="s">
        <v>75</v>
      </c>
      <c r="D1544" t="s">
        <v>34</v>
      </c>
      <c r="E1544" t="str">
        <f t="shared" si="96"/>
        <v>S</v>
      </c>
      <c r="F1544" t="s">
        <v>39</v>
      </c>
      <c r="G1544" t="s">
        <v>70</v>
      </c>
      <c r="H1544" s="8">
        <v>47.22</v>
      </c>
      <c r="I1544" s="3">
        <f t="shared" si="97"/>
        <v>0</v>
      </c>
      <c r="J1544" s="4">
        <v>0</v>
      </c>
      <c r="K1544" s="11">
        <f>Table1[[#This Row],[original_price]]* (Table1[[#This Row],[Markdown percentage updated]])</f>
        <v>0</v>
      </c>
      <c r="L15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44" s="6">
        <v>47.22</v>
      </c>
      <c r="N15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44" s="7">
        <v>45875</v>
      </c>
      <c r="P1544">
        <v>19</v>
      </c>
      <c r="Q1544" s="16" t="str">
        <f>IF(Table1[[#This Row],[stock_quantity]]=0,"NO STOCK",
IF(Table1[[#This Row],[stock_quantity]]&lt;=10,"LOW STOCK",
"IN STOCK"))</f>
        <v>IN STOCK</v>
      </c>
      <c r="R1544" s="1">
        <f t="shared" si="98"/>
        <v>1.9</v>
      </c>
      <c r="S1544">
        <v>1.9</v>
      </c>
      <c r="T1544" t="b">
        <v>0</v>
      </c>
      <c r="U1544" t="str">
        <f t="shared" si="99"/>
        <v>No Return</v>
      </c>
    </row>
    <row r="1545" spans="1:22" hidden="1" x14ac:dyDescent="0.3">
      <c r="A1545" t="s">
        <v>1598</v>
      </c>
      <c r="B1545" t="s">
        <v>30</v>
      </c>
      <c r="C1545" t="s">
        <v>48</v>
      </c>
      <c r="D1545" t="s">
        <v>34</v>
      </c>
      <c r="E1545" t="str">
        <f t="shared" si="96"/>
        <v>OS</v>
      </c>
      <c r="G1545" t="s">
        <v>70</v>
      </c>
      <c r="H1545" s="8">
        <v>172.27</v>
      </c>
      <c r="I1545" s="3">
        <f t="shared" si="97"/>
        <v>0.14899999999999999</v>
      </c>
      <c r="J1545" s="4">
        <v>14.9</v>
      </c>
      <c r="K1545" s="11">
        <f>Table1[[#This Row],[original_price]]* (Table1[[#This Row],[Markdown percentage updated]])</f>
        <v>25.668230000000001</v>
      </c>
      <c r="L15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45" s="6">
        <v>146.6</v>
      </c>
      <c r="N15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45" s="7">
        <v>45875</v>
      </c>
      <c r="P1545">
        <v>8</v>
      </c>
      <c r="Q1545" s="17" t="str">
        <f>IF(Table1[[#This Row],[stock_quantity]]=0,"NO STOCK",
IF(Table1[[#This Row],[stock_quantity]]&lt;=10,"LOW STOCK",
"IN STOCK"))</f>
        <v>LOW STOCK</v>
      </c>
      <c r="R1545" s="1">
        <f t="shared" si="98"/>
        <v>3.7</v>
      </c>
      <c r="S1545">
        <v>3.7</v>
      </c>
      <c r="T1545" t="b">
        <v>0</v>
      </c>
      <c r="U1545" t="str">
        <f t="shared" si="99"/>
        <v>No Return</v>
      </c>
    </row>
    <row r="1546" spans="1:22" x14ac:dyDescent="0.3">
      <c r="A1546" t="s">
        <v>1599</v>
      </c>
      <c r="B1546" t="s">
        <v>27</v>
      </c>
      <c r="C1546" t="s">
        <v>16</v>
      </c>
      <c r="D1546" t="s">
        <v>23</v>
      </c>
      <c r="E1546" t="str">
        <f t="shared" si="96"/>
        <v>M</v>
      </c>
      <c r="G1546" t="s">
        <v>28</v>
      </c>
      <c r="H1546" s="8">
        <v>27.9</v>
      </c>
      <c r="I1546" s="3">
        <f t="shared" si="97"/>
        <v>0</v>
      </c>
      <c r="J1546" s="4">
        <v>0</v>
      </c>
      <c r="K1546" s="11">
        <f>Table1[[#This Row],[original_price]]* (Table1[[#This Row],[Markdown percentage updated]])</f>
        <v>0</v>
      </c>
      <c r="L15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46" s="6">
        <v>27.9</v>
      </c>
      <c r="N15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46" s="7">
        <v>45875</v>
      </c>
      <c r="P1546">
        <v>27</v>
      </c>
      <c r="Q1546" s="16" t="str">
        <f>IF(Table1[[#This Row],[stock_quantity]]=0,"NO STOCK",
IF(Table1[[#This Row],[stock_quantity]]&lt;=10,"LOW STOCK",
"IN STOCK"))</f>
        <v>IN STOCK</v>
      </c>
      <c r="R1546" s="1">
        <f t="shared" si="98"/>
        <v>3</v>
      </c>
      <c r="S1546">
        <v>3</v>
      </c>
      <c r="T1546" t="b">
        <v>1</v>
      </c>
      <c r="U1546" s="13" t="str">
        <f t="shared" si="99"/>
        <v>Changed Mind</v>
      </c>
      <c r="V1546" t="s">
        <v>115</v>
      </c>
    </row>
    <row r="1547" spans="1:22" hidden="1" x14ac:dyDescent="0.3">
      <c r="A1547" t="s">
        <v>1600</v>
      </c>
      <c r="B1547" t="s">
        <v>42</v>
      </c>
      <c r="C1547" t="s">
        <v>16</v>
      </c>
      <c r="D1547" t="s">
        <v>17</v>
      </c>
      <c r="E1547" t="str">
        <f t="shared" si="96"/>
        <v>XL</v>
      </c>
      <c r="F1547" t="s">
        <v>39</v>
      </c>
      <c r="G1547" t="s">
        <v>56</v>
      </c>
      <c r="H1547" s="8">
        <v>139.26</v>
      </c>
      <c r="I1547" s="3">
        <f t="shared" si="97"/>
        <v>0</v>
      </c>
      <c r="J1547" s="4">
        <v>0</v>
      </c>
      <c r="K1547" s="11">
        <f>Table1[[#This Row],[original_price]]* (Table1[[#This Row],[Markdown percentage updated]])</f>
        <v>0</v>
      </c>
      <c r="L15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47" s="6">
        <v>139.26</v>
      </c>
      <c r="N15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47" s="7">
        <v>45659</v>
      </c>
      <c r="P1547">
        <v>32</v>
      </c>
      <c r="Q1547" s="16" t="str">
        <f>IF(Table1[[#This Row],[stock_quantity]]=0,"NO STOCK",
IF(Table1[[#This Row],[stock_quantity]]&lt;=10,"LOW STOCK",
"IN STOCK"))</f>
        <v>IN STOCK</v>
      </c>
      <c r="R1547" s="1">
        <f t="shared" si="98"/>
        <v>3.4</v>
      </c>
      <c r="S1547">
        <v>3.4</v>
      </c>
      <c r="T1547" t="b">
        <v>0</v>
      </c>
      <c r="U1547" t="str">
        <f t="shared" si="99"/>
        <v>No Return</v>
      </c>
    </row>
    <row r="1548" spans="1:22" hidden="1" x14ac:dyDescent="0.3">
      <c r="A1548" t="s">
        <v>1601</v>
      </c>
      <c r="B1548" t="s">
        <v>27</v>
      </c>
      <c r="C1548" t="s">
        <v>53</v>
      </c>
      <c r="D1548" t="s">
        <v>62</v>
      </c>
      <c r="E1548" t="str">
        <f t="shared" si="96"/>
        <v>XS</v>
      </c>
      <c r="G1548" t="s">
        <v>40</v>
      </c>
      <c r="H1548" s="8">
        <v>30.47</v>
      </c>
      <c r="I1548" s="3">
        <f t="shared" si="97"/>
        <v>0</v>
      </c>
      <c r="J1548" s="4">
        <v>0</v>
      </c>
      <c r="K1548" s="11">
        <f>Table1[[#This Row],[original_price]]* (Table1[[#This Row],[Markdown percentage updated]])</f>
        <v>0</v>
      </c>
      <c r="L15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48" s="6">
        <v>30.47</v>
      </c>
      <c r="N15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48" s="7">
        <v>45875</v>
      </c>
      <c r="P1548">
        <v>34</v>
      </c>
      <c r="Q1548" s="16" t="str">
        <f>IF(Table1[[#This Row],[stock_quantity]]=0,"NO STOCK",
IF(Table1[[#This Row],[stock_quantity]]&lt;=10,"LOW STOCK",
"IN STOCK"))</f>
        <v>IN STOCK</v>
      </c>
      <c r="R1548" s="1">
        <f t="shared" si="98"/>
        <v>4.2</v>
      </c>
      <c r="S1548">
        <v>4.2</v>
      </c>
      <c r="T1548" t="b">
        <v>0</v>
      </c>
      <c r="U1548" t="str">
        <f t="shared" si="99"/>
        <v>No Return</v>
      </c>
    </row>
    <row r="1549" spans="1:22" hidden="1" x14ac:dyDescent="0.3">
      <c r="A1549" t="s">
        <v>1602</v>
      </c>
      <c r="B1549" t="s">
        <v>15</v>
      </c>
      <c r="C1549" t="s">
        <v>61</v>
      </c>
      <c r="D1549" t="s">
        <v>34</v>
      </c>
      <c r="E1549" t="str">
        <f t="shared" si="96"/>
        <v>OS</v>
      </c>
      <c r="F1549" t="s">
        <v>58</v>
      </c>
      <c r="G1549" t="s">
        <v>66</v>
      </c>
      <c r="H1549" s="8">
        <v>141.53</v>
      </c>
      <c r="I1549" s="3">
        <f t="shared" si="97"/>
        <v>0.39799999999999996</v>
      </c>
      <c r="J1549" s="4">
        <v>39.799999999999997</v>
      </c>
      <c r="K1549" s="11">
        <f>Table1[[#This Row],[original_price]]* (Table1[[#This Row],[Markdown percentage updated]])</f>
        <v>56.328939999999996</v>
      </c>
      <c r="L15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49" s="6">
        <v>85.2</v>
      </c>
      <c r="N15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49" s="7">
        <v>45875</v>
      </c>
      <c r="P1549">
        <v>47</v>
      </c>
      <c r="Q1549" s="16" t="str">
        <f>IF(Table1[[#This Row],[stock_quantity]]=0,"NO STOCK",
IF(Table1[[#This Row],[stock_quantity]]&lt;=10,"LOW STOCK",
"IN STOCK"))</f>
        <v>IN STOCK</v>
      </c>
      <c r="R1549" s="1">
        <f t="shared" si="98"/>
        <v>3.5</v>
      </c>
      <c r="S1549">
        <v>3.5</v>
      </c>
      <c r="T1549" t="b">
        <v>0</v>
      </c>
      <c r="U1549" t="str">
        <f t="shared" si="99"/>
        <v>No Return</v>
      </c>
    </row>
    <row r="1550" spans="1:22" hidden="1" x14ac:dyDescent="0.3">
      <c r="A1550" t="s">
        <v>1603</v>
      </c>
      <c r="B1550" t="s">
        <v>42</v>
      </c>
      <c r="C1550" t="s">
        <v>61</v>
      </c>
      <c r="D1550" t="s">
        <v>17</v>
      </c>
      <c r="E1550" t="str">
        <f t="shared" si="96"/>
        <v>XL</v>
      </c>
      <c r="F1550" t="s">
        <v>18</v>
      </c>
      <c r="G1550" t="s">
        <v>40</v>
      </c>
      <c r="H1550" s="8">
        <v>47.45</v>
      </c>
      <c r="I1550" s="3">
        <f t="shared" si="97"/>
        <v>0.24399999999999999</v>
      </c>
      <c r="J1550" s="4">
        <v>24.4</v>
      </c>
      <c r="K1550" s="11">
        <f>Table1[[#This Row],[original_price]]* (Table1[[#This Row],[Markdown percentage updated]])</f>
        <v>11.5778</v>
      </c>
      <c r="L15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550" s="6">
        <v>35.869999999999997</v>
      </c>
      <c r="N15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50" s="7">
        <v>45823</v>
      </c>
      <c r="P1550">
        <v>42</v>
      </c>
      <c r="Q1550" s="16" t="str">
        <f>IF(Table1[[#This Row],[stock_quantity]]=0,"NO STOCK",
IF(Table1[[#This Row],[stock_quantity]]&lt;=10,"LOW STOCK",
"IN STOCK"))</f>
        <v>IN STOCK</v>
      </c>
      <c r="R1550" s="1">
        <f t="shared" si="98"/>
        <v>2.8</v>
      </c>
      <c r="S1550">
        <v>2.8</v>
      </c>
      <c r="T1550" t="b">
        <v>0</v>
      </c>
      <c r="U1550" t="str">
        <f t="shared" si="99"/>
        <v>No Return</v>
      </c>
    </row>
    <row r="1551" spans="1:22" hidden="1" x14ac:dyDescent="0.3">
      <c r="A1551" t="s">
        <v>1604</v>
      </c>
      <c r="B1551" t="s">
        <v>38</v>
      </c>
      <c r="C1551" t="s">
        <v>61</v>
      </c>
      <c r="D1551" t="s">
        <v>23</v>
      </c>
      <c r="E1551" t="str">
        <f t="shared" si="96"/>
        <v>XS</v>
      </c>
      <c r="F1551" t="s">
        <v>55</v>
      </c>
      <c r="G1551" t="s">
        <v>64</v>
      </c>
      <c r="H1551" s="8">
        <v>51.39</v>
      </c>
      <c r="I1551" s="3">
        <f t="shared" si="97"/>
        <v>6.3E-2</v>
      </c>
      <c r="J1551" s="4">
        <v>6.3</v>
      </c>
      <c r="K1551" s="11">
        <f>Table1[[#This Row],[original_price]]* (Table1[[#This Row],[Markdown percentage updated]])</f>
        <v>3.2375699999999998</v>
      </c>
      <c r="L15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51" s="6">
        <v>48.15</v>
      </c>
      <c r="N15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51" s="7">
        <v>45875</v>
      </c>
      <c r="P1551">
        <v>46</v>
      </c>
      <c r="Q1551" s="16" t="str">
        <f>IF(Table1[[#This Row],[stock_quantity]]=0,"NO STOCK",
IF(Table1[[#This Row],[stock_quantity]]&lt;=10,"LOW STOCK",
"IN STOCK"))</f>
        <v>IN STOCK</v>
      </c>
      <c r="R1551" s="1">
        <f t="shared" si="98"/>
        <v>0</v>
      </c>
      <c r="T1551" t="b">
        <v>0</v>
      </c>
      <c r="U1551" t="str">
        <f t="shared" si="99"/>
        <v>No Return</v>
      </c>
    </row>
    <row r="1552" spans="1:22" hidden="1" x14ac:dyDescent="0.3">
      <c r="A1552" t="s">
        <v>1605</v>
      </c>
      <c r="B1552" t="s">
        <v>21</v>
      </c>
      <c r="C1552" t="s">
        <v>61</v>
      </c>
      <c r="D1552" t="s">
        <v>17</v>
      </c>
      <c r="E1552" t="str">
        <f t="shared" si="96"/>
        <v>S</v>
      </c>
      <c r="G1552" t="s">
        <v>35</v>
      </c>
      <c r="H1552" s="8">
        <v>74.13</v>
      </c>
      <c r="I1552" s="3">
        <f t="shared" si="97"/>
        <v>0</v>
      </c>
      <c r="J1552" s="4">
        <v>0</v>
      </c>
      <c r="K1552" s="11">
        <f>Table1[[#This Row],[original_price]]* (Table1[[#This Row],[Markdown percentage updated]])</f>
        <v>0</v>
      </c>
      <c r="L15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52" s="6">
        <v>74.13</v>
      </c>
      <c r="N15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52" s="7">
        <v>45609</v>
      </c>
      <c r="P1552">
        <v>23</v>
      </c>
      <c r="Q1552" s="16" t="str">
        <f>IF(Table1[[#This Row],[stock_quantity]]=0,"NO STOCK",
IF(Table1[[#This Row],[stock_quantity]]&lt;=10,"LOW STOCK",
"IN STOCK"))</f>
        <v>IN STOCK</v>
      </c>
      <c r="R1552" s="1">
        <f t="shared" si="98"/>
        <v>0</v>
      </c>
      <c r="T1552" t="b">
        <v>0</v>
      </c>
      <c r="U1552" t="str">
        <f t="shared" si="99"/>
        <v>No Return</v>
      </c>
    </row>
    <row r="1553" spans="1:22" hidden="1" x14ac:dyDescent="0.3">
      <c r="A1553" t="s">
        <v>1606</v>
      </c>
      <c r="B1553" t="s">
        <v>42</v>
      </c>
      <c r="C1553" t="s">
        <v>16</v>
      </c>
      <c r="D1553" t="s">
        <v>34</v>
      </c>
      <c r="E1553" t="str">
        <f t="shared" si="96"/>
        <v>L</v>
      </c>
      <c r="F1553" t="s">
        <v>18</v>
      </c>
      <c r="G1553" t="s">
        <v>66</v>
      </c>
      <c r="H1553" s="8">
        <v>156.13999999999999</v>
      </c>
      <c r="I1553" s="3">
        <f t="shared" si="97"/>
        <v>0.05</v>
      </c>
      <c r="J1553" s="4">
        <v>5</v>
      </c>
      <c r="K1553" s="11">
        <f>Table1[[#This Row],[original_price]]* (Table1[[#This Row],[Markdown percentage updated]])</f>
        <v>7.8069999999999995</v>
      </c>
      <c r="L15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53" s="6">
        <v>148.33000000000001</v>
      </c>
      <c r="N15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53" s="7">
        <v>45875</v>
      </c>
      <c r="P1553">
        <v>39</v>
      </c>
      <c r="Q1553" s="16" t="str">
        <f>IF(Table1[[#This Row],[stock_quantity]]=0,"NO STOCK",
IF(Table1[[#This Row],[stock_quantity]]&lt;=10,"LOW STOCK",
"IN STOCK"))</f>
        <v>IN STOCK</v>
      </c>
      <c r="R1553" s="1">
        <f t="shared" si="98"/>
        <v>0</v>
      </c>
      <c r="T1553" t="b">
        <v>0</v>
      </c>
      <c r="U1553" t="str">
        <f t="shared" si="99"/>
        <v>No Return</v>
      </c>
    </row>
    <row r="1554" spans="1:22" hidden="1" x14ac:dyDescent="0.3">
      <c r="A1554" t="s">
        <v>1607</v>
      </c>
      <c r="B1554" t="s">
        <v>15</v>
      </c>
      <c r="C1554" t="s">
        <v>32</v>
      </c>
      <c r="D1554" t="s">
        <v>62</v>
      </c>
      <c r="E1554" t="str">
        <f t="shared" si="96"/>
        <v>M</v>
      </c>
      <c r="F1554" t="s">
        <v>55</v>
      </c>
      <c r="G1554" t="s">
        <v>46</v>
      </c>
      <c r="H1554" s="8">
        <v>105.3</v>
      </c>
      <c r="I1554" s="3">
        <f t="shared" si="97"/>
        <v>0</v>
      </c>
      <c r="J1554" s="4">
        <v>0</v>
      </c>
      <c r="K1554" s="11">
        <f>Table1[[#This Row],[original_price]]* (Table1[[#This Row],[Markdown percentage updated]])</f>
        <v>0</v>
      </c>
      <c r="L15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54" s="6">
        <v>105.3</v>
      </c>
      <c r="N15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54" s="7">
        <v>45875</v>
      </c>
      <c r="P1554">
        <v>1</v>
      </c>
      <c r="Q1554" s="17" t="str">
        <f>IF(Table1[[#This Row],[stock_quantity]]=0,"NO STOCK",
IF(Table1[[#This Row],[stock_quantity]]&lt;=10,"LOW STOCK",
"IN STOCK"))</f>
        <v>LOW STOCK</v>
      </c>
      <c r="R1554" s="1">
        <f t="shared" si="98"/>
        <v>3</v>
      </c>
      <c r="S1554">
        <v>3</v>
      </c>
      <c r="T1554" t="b">
        <v>0</v>
      </c>
      <c r="U1554" t="str">
        <f t="shared" si="99"/>
        <v>No Return</v>
      </c>
    </row>
    <row r="1555" spans="1:22" hidden="1" x14ac:dyDescent="0.3">
      <c r="A1555" t="s">
        <v>1608</v>
      </c>
      <c r="B1555" t="s">
        <v>42</v>
      </c>
      <c r="C1555" t="s">
        <v>48</v>
      </c>
      <c r="D1555" t="s">
        <v>23</v>
      </c>
      <c r="E1555" t="str">
        <f t="shared" si="96"/>
        <v>OS</v>
      </c>
      <c r="F1555" t="s">
        <v>39</v>
      </c>
      <c r="G1555" t="s">
        <v>64</v>
      </c>
      <c r="H1555" s="8">
        <v>126.76</v>
      </c>
      <c r="I1555" s="3">
        <f t="shared" si="97"/>
        <v>0</v>
      </c>
      <c r="J1555" s="4">
        <v>0</v>
      </c>
      <c r="K1555" s="11">
        <f>Table1[[#This Row],[original_price]]* (Table1[[#This Row],[Markdown percentage updated]])</f>
        <v>0</v>
      </c>
      <c r="L15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55" s="6">
        <v>126.76</v>
      </c>
      <c r="N15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55" s="7">
        <v>45875</v>
      </c>
      <c r="P1555">
        <v>24</v>
      </c>
      <c r="Q1555" s="16" t="str">
        <f>IF(Table1[[#This Row],[stock_quantity]]=0,"NO STOCK",
IF(Table1[[#This Row],[stock_quantity]]&lt;=10,"LOW STOCK",
"IN STOCK"))</f>
        <v>IN STOCK</v>
      </c>
      <c r="R1555" s="1">
        <f t="shared" si="98"/>
        <v>2.2000000000000002</v>
      </c>
      <c r="S1555">
        <v>2.2000000000000002</v>
      </c>
      <c r="T1555" t="b">
        <v>0</v>
      </c>
      <c r="U1555" t="str">
        <f t="shared" si="99"/>
        <v>No Return</v>
      </c>
    </row>
    <row r="1556" spans="1:22" hidden="1" x14ac:dyDescent="0.3">
      <c r="A1556" t="s">
        <v>1609</v>
      </c>
      <c r="B1556" t="s">
        <v>21</v>
      </c>
      <c r="C1556" t="s">
        <v>61</v>
      </c>
      <c r="D1556" t="s">
        <v>23</v>
      </c>
      <c r="E1556" t="str">
        <f t="shared" si="96"/>
        <v>XL</v>
      </c>
      <c r="F1556" t="s">
        <v>24</v>
      </c>
      <c r="G1556" t="s">
        <v>64</v>
      </c>
      <c r="H1556" s="8">
        <v>35.409999999999997</v>
      </c>
      <c r="I1556" s="3">
        <f t="shared" si="97"/>
        <v>0</v>
      </c>
      <c r="J1556" s="4">
        <v>0</v>
      </c>
      <c r="K1556" s="11">
        <f>Table1[[#This Row],[original_price]]* (Table1[[#This Row],[Markdown percentage updated]])</f>
        <v>0</v>
      </c>
      <c r="L15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56" s="6">
        <v>35.409999999999997</v>
      </c>
      <c r="N15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56" s="7">
        <v>45875</v>
      </c>
      <c r="P1556">
        <v>48</v>
      </c>
      <c r="Q1556" s="16" t="str">
        <f>IF(Table1[[#This Row],[stock_quantity]]=0,"NO STOCK",
IF(Table1[[#This Row],[stock_quantity]]&lt;=10,"LOW STOCK",
"IN STOCK"))</f>
        <v>IN STOCK</v>
      </c>
      <c r="R1556" s="1">
        <f t="shared" si="98"/>
        <v>4.3</v>
      </c>
      <c r="S1556">
        <v>4.3</v>
      </c>
      <c r="T1556" t="b">
        <v>1</v>
      </c>
      <c r="U1556" s="13" t="str">
        <f t="shared" si="99"/>
        <v>Damaged</v>
      </c>
      <c r="V1556" t="s">
        <v>78</v>
      </c>
    </row>
    <row r="1557" spans="1:22" hidden="1" x14ac:dyDescent="0.3">
      <c r="A1557" t="s">
        <v>1610</v>
      </c>
      <c r="B1557" t="s">
        <v>15</v>
      </c>
      <c r="C1557" t="s">
        <v>53</v>
      </c>
      <c r="D1557" t="s">
        <v>23</v>
      </c>
      <c r="E1557" t="str">
        <f t="shared" si="96"/>
        <v>L</v>
      </c>
      <c r="F1557" t="s">
        <v>58</v>
      </c>
      <c r="G1557" t="s">
        <v>35</v>
      </c>
      <c r="H1557" s="8">
        <v>80.040000000000006</v>
      </c>
      <c r="I1557" s="3">
        <f t="shared" si="97"/>
        <v>0</v>
      </c>
      <c r="J1557" s="4">
        <v>0</v>
      </c>
      <c r="K1557" s="11">
        <f>Table1[[#This Row],[original_price]]* (Table1[[#This Row],[Markdown percentage updated]])</f>
        <v>0</v>
      </c>
      <c r="L15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57" s="6">
        <v>80.040000000000006</v>
      </c>
      <c r="N15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57" s="7">
        <v>45875</v>
      </c>
      <c r="P1557">
        <v>13</v>
      </c>
      <c r="Q1557" s="16" t="str">
        <f>IF(Table1[[#This Row],[stock_quantity]]=0,"NO STOCK",
IF(Table1[[#This Row],[stock_quantity]]&lt;=10,"LOW STOCK",
"IN STOCK"))</f>
        <v>IN STOCK</v>
      </c>
      <c r="R1557" s="1">
        <f t="shared" si="98"/>
        <v>2.2999999999999998</v>
      </c>
      <c r="S1557">
        <v>2.2999999999999998</v>
      </c>
      <c r="T1557" t="b">
        <v>0</v>
      </c>
      <c r="U1557" t="str">
        <f t="shared" si="99"/>
        <v>No Return</v>
      </c>
    </row>
    <row r="1558" spans="1:22" hidden="1" x14ac:dyDescent="0.3">
      <c r="A1558" t="s">
        <v>1611</v>
      </c>
      <c r="B1558" t="s">
        <v>38</v>
      </c>
      <c r="C1558" t="s">
        <v>61</v>
      </c>
      <c r="D1558" t="s">
        <v>34</v>
      </c>
      <c r="E1558" t="str">
        <f t="shared" si="96"/>
        <v>OS</v>
      </c>
      <c r="G1558" t="s">
        <v>64</v>
      </c>
      <c r="H1558" s="8">
        <v>68.16</v>
      </c>
      <c r="I1558" s="3">
        <f t="shared" si="97"/>
        <v>0</v>
      </c>
      <c r="J1558" s="4">
        <v>0</v>
      </c>
      <c r="K1558" s="11">
        <f>Table1[[#This Row],[original_price]]* (Table1[[#This Row],[Markdown percentage updated]])</f>
        <v>0</v>
      </c>
      <c r="L15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58" s="6">
        <v>68.16</v>
      </c>
      <c r="N15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58" s="7">
        <v>45875</v>
      </c>
      <c r="P1558">
        <v>34</v>
      </c>
      <c r="Q1558" s="16" t="str">
        <f>IF(Table1[[#This Row],[stock_quantity]]=0,"NO STOCK",
IF(Table1[[#This Row],[stock_quantity]]&lt;=10,"LOW STOCK",
"IN STOCK"))</f>
        <v>IN STOCK</v>
      </c>
      <c r="R1558" s="1">
        <f t="shared" si="98"/>
        <v>2.7</v>
      </c>
      <c r="S1558">
        <v>2.7</v>
      </c>
      <c r="T1558" t="b">
        <v>0</v>
      </c>
      <c r="U1558" t="str">
        <f t="shared" si="99"/>
        <v>No Return</v>
      </c>
    </row>
    <row r="1559" spans="1:22" hidden="1" x14ac:dyDescent="0.3">
      <c r="A1559" t="s">
        <v>1612</v>
      </c>
      <c r="B1559" t="s">
        <v>42</v>
      </c>
      <c r="C1559" t="s">
        <v>53</v>
      </c>
      <c r="D1559" t="s">
        <v>34</v>
      </c>
      <c r="E1559" t="str">
        <f t="shared" si="96"/>
        <v>L</v>
      </c>
      <c r="F1559" t="s">
        <v>18</v>
      </c>
      <c r="G1559" t="s">
        <v>35</v>
      </c>
      <c r="H1559" s="8">
        <v>60.87</v>
      </c>
      <c r="I1559" s="3">
        <f t="shared" si="97"/>
        <v>0</v>
      </c>
      <c r="J1559" s="4">
        <v>0</v>
      </c>
      <c r="K1559" s="11">
        <f>Table1[[#This Row],[original_price]]* (Table1[[#This Row],[Markdown percentage updated]])</f>
        <v>0</v>
      </c>
      <c r="L15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59" s="6">
        <v>60.87</v>
      </c>
      <c r="N15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59" s="7">
        <v>45875</v>
      </c>
      <c r="P1559">
        <v>35</v>
      </c>
      <c r="Q1559" s="16" t="str">
        <f>IF(Table1[[#This Row],[stock_quantity]]=0,"NO STOCK",
IF(Table1[[#This Row],[stock_quantity]]&lt;=10,"LOW STOCK",
"IN STOCK"))</f>
        <v>IN STOCK</v>
      </c>
      <c r="R1559" s="1">
        <f t="shared" si="98"/>
        <v>0</v>
      </c>
      <c r="T1559" t="b">
        <v>0</v>
      </c>
      <c r="U1559" t="str">
        <f t="shared" si="99"/>
        <v>No Return</v>
      </c>
    </row>
    <row r="1560" spans="1:22" hidden="1" x14ac:dyDescent="0.3">
      <c r="A1560" t="s">
        <v>1613</v>
      </c>
      <c r="B1560" t="s">
        <v>21</v>
      </c>
      <c r="C1560" t="s">
        <v>48</v>
      </c>
      <c r="D1560" t="s">
        <v>17</v>
      </c>
      <c r="E1560" t="str">
        <f t="shared" si="96"/>
        <v>XL</v>
      </c>
      <c r="F1560" t="s">
        <v>24</v>
      </c>
      <c r="G1560" t="s">
        <v>70</v>
      </c>
      <c r="H1560" s="8">
        <v>59.8</v>
      </c>
      <c r="I1560" s="3">
        <f t="shared" si="97"/>
        <v>0</v>
      </c>
      <c r="J1560" s="4">
        <v>0</v>
      </c>
      <c r="K1560" s="11">
        <f>Table1[[#This Row],[original_price]]* (Table1[[#This Row],[Markdown percentage updated]])</f>
        <v>0</v>
      </c>
      <c r="L15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60" s="6">
        <v>59.8</v>
      </c>
      <c r="N15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60" s="7">
        <v>45753</v>
      </c>
      <c r="P1560">
        <v>50</v>
      </c>
      <c r="Q1560" s="16" t="str">
        <f>IF(Table1[[#This Row],[stock_quantity]]=0,"NO STOCK",
IF(Table1[[#This Row],[stock_quantity]]&lt;=10,"LOW STOCK",
"IN STOCK"))</f>
        <v>IN STOCK</v>
      </c>
      <c r="R1560" s="1">
        <f t="shared" si="98"/>
        <v>2.2000000000000002</v>
      </c>
      <c r="S1560">
        <v>2.2000000000000002</v>
      </c>
      <c r="T1560" t="b">
        <v>1</v>
      </c>
      <c r="U1560" s="13" t="str">
        <f t="shared" si="99"/>
        <v>Size Issue</v>
      </c>
      <c r="V1560" t="s">
        <v>73</v>
      </c>
    </row>
    <row r="1561" spans="1:22" hidden="1" x14ac:dyDescent="0.3">
      <c r="A1561" t="s">
        <v>1614</v>
      </c>
      <c r="B1561" t="s">
        <v>27</v>
      </c>
      <c r="C1561" t="s">
        <v>61</v>
      </c>
      <c r="D1561" t="s">
        <v>34</v>
      </c>
      <c r="E1561" t="str">
        <f t="shared" si="96"/>
        <v>M</v>
      </c>
      <c r="G1561" t="s">
        <v>28</v>
      </c>
      <c r="H1561" s="8">
        <v>75.83</v>
      </c>
      <c r="I1561" s="3">
        <f t="shared" si="97"/>
        <v>0</v>
      </c>
      <c r="J1561" s="4">
        <v>0</v>
      </c>
      <c r="K1561" s="11">
        <f>Table1[[#This Row],[original_price]]* (Table1[[#This Row],[Markdown percentage updated]])</f>
        <v>0</v>
      </c>
      <c r="L15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61" s="6">
        <v>75.83</v>
      </c>
      <c r="N15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61" s="7">
        <v>45875</v>
      </c>
      <c r="P1561">
        <v>8</v>
      </c>
      <c r="Q1561" s="17" t="str">
        <f>IF(Table1[[#This Row],[stock_quantity]]=0,"NO STOCK",
IF(Table1[[#This Row],[stock_quantity]]&lt;=10,"LOW STOCK",
"IN STOCK"))</f>
        <v>LOW STOCK</v>
      </c>
      <c r="R1561" s="1">
        <f t="shared" si="98"/>
        <v>2</v>
      </c>
      <c r="S1561">
        <v>2</v>
      </c>
      <c r="T1561" t="b">
        <v>0</v>
      </c>
      <c r="U1561" t="str">
        <f t="shared" si="99"/>
        <v>No Return</v>
      </c>
    </row>
    <row r="1562" spans="1:22" hidden="1" x14ac:dyDescent="0.3">
      <c r="A1562" t="s">
        <v>1615</v>
      </c>
      <c r="B1562" t="s">
        <v>21</v>
      </c>
      <c r="C1562" t="s">
        <v>48</v>
      </c>
      <c r="D1562" t="s">
        <v>62</v>
      </c>
      <c r="E1562" t="str">
        <f t="shared" si="96"/>
        <v>OS</v>
      </c>
      <c r="F1562" t="s">
        <v>24</v>
      </c>
      <c r="G1562" t="s">
        <v>56</v>
      </c>
      <c r="H1562" s="8">
        <v>55.97</v>
      </c>
      <c r="I1562" s="3">
        <f t="shared" si="97"/>
        <v>0</v>
      </c>
      <c r="J1562" s="4">
        <v>0</v>
      </c>
      <c r="K1562" s="11">
        <f>Table1[[#This Row],[original_price]]* (Table1[[#This Row],[Markdown percentage updated]])</f>
        <v>0</v>
      </c>
      <c r="L15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62" s="6">
        <v>55.97</v>
      </c>
      <c r="N15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62" s="7">
        <v>45875</v>
      </c>
      <c r="P1562">
        <v>30</v>
      </c>
      <c r="Q1562" s="16" t="str">
        <f>IF(Table1[[#This Row],[stock_quantity]]=0,"NO STOCK",
IF(Table1[[#This Row],[stock_quantity]]&lt;=10,"LOW STOCK",
"IN STOCK"))</f>
        <v>IN STOCK</v>
      </c>
      <c r="R1562" s="1">
        <f t="shared" si="98"/>
        <v>0</v>
      </c>
      <c r="T1562" t="b">
        <v>0</v>
      </c>
      <c r="U1562" t="str">
        <f t="shared" si="99"/>
        <v>No Return</v>
      </c>
    </row>
    <row r="1563" spans="1:22" hidden="1" x14ac:dyDescent="0.3">
      <c r="A1563" t="s">
        <v>1616</v>
      </c>
      <c r="B1563" t="s">
        <v>30</v>
      </c>
      <c r="C1563" t="s">
        <v>61</v>
      </c>
      <c r="D1563" t="s">
        <v>23</v>
      </c>
      <c r="E1563" t="str">
        <f t="shared" si="96"/>
        <v>XXL</v>
      </c>
      <c r="F1563" t="s">
        <v>18</v>
      </c>
      <c r="G1563" t="s">
        <v>56</v>
      </c>
      <c r="H1563" s="8">
        <v>190.52</v>
      </c>
      <c r="I1563" s="3">
        <f t="shared" si="97"/>
        <v>0.45200000000000001</v>
      </c>
      <c r="J1563" s="4">
        <v>45.2</v>
      </c>
      <c r="K1563" s="11">
        <f>Table1[[#This Row],[original_price]]* (Table1[[#This Row],[Markdown percentage updated]])</f>
        <v>86.115040000000008</v>
      </c>
      <c r="L15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63" s="6">
        <v>104.4</v>
      </c>
      <c r="N15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63" s="7">
        <v>45875</v>
      </c>
      <c r="P1563">
        <v>2</v>
      </c>
      <c r="Q1563" s="17" t="str">
        <f>IF(Table1[[#This Row],[stock_quantity]]=0,"NO STOCK",
IF(Table1[[#This Row],[stock_quantity]]&lt;=10,"LOW STOCK",
"IN STOCK"))</f>
        <v>LOW STOCK</v>
      </c>
      <c r="R1563" s="1">
        <f t="shared" si="98"/>
        <v>1.1000000000000001</v>
      </c>
      <c r="S1563">
        <v>1.1000000000000001</v>
      </c>
      <c r="T1563" t="b">
        <v>0</v>
      </c>
      <c r="U1563" t="str">
        <f t="shared" si="99"/>
        <v>No Return</v>
      </c>
    </row>
    <row r="1564" spans="1:22" hidden="1" x14ac:dyDescent="0.3">
      <c r="A1564" t="s">
        <v>1617</v>
      </c>
      <c r="B1564" t="s">
        <v>38</v>
      </c>
      <c r="C1564" t="s">
        <v>16</v>
      </c>
      <c r="D1564" t="s">
        <v>62</v>
      </c>
      <c r="E1564" t="str">
        <f t="shared" si="96"/>
        <v>M</v>
      </c>
      <c r="F1564" t="s">
        <v>58</v>
      </c>
      <c r="G1564" t="s">
        <v>25</v>
      </c>
      <c r="H1564" s="8">
        <v>89.19</v>
      </c>
      <c r="I1564" s="3">
        <f t="shared" si="97"/>
        <v>0.10300000000000001</v>
      </c>
      <c r="J1564" s="4">
        <v>10.3</v>
      </c>
      <c r="K1564" s="11">
        <f>Table1[[#This Row],[original_price]]* (Table1[[#This Row],[Markdown percentage updated]])</f>
        <v>9.1865699999999997</v>
      </c>
      <c r="L15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64" s="6">
        <v>80</v>
      </c>
      <c r="N15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64" s="7">
        <v>45875</v>
      </c>
      <c r="P1564">
        <v>4</v>
      </c>
      <c r="Q1564" s="17" t="str">
        <f>IF(Table1[[#This Row],[stock_quantity]]=0,"NO STOCK",
IF(Table1[[#This Row],[stock_quantity]]&lt;=10,"LOW STOCK",
"IN STOCK"))</f>
        <v>LOW STOCK</v>
      </c>
      <c r="R1564" s="1">
        <f t="shared" si="98"/>
        <v>0</v>
      </c>
      <c r="T1564" t="b">
        <v>0</v>
      </c>
      <c r="U1564" t="str">
        <f t="shared" si="99"/>
        <v>No Return</v>
      </c>
    </row>
    <row r="1565" spans="1:22" hidden="1" x14ac:dyDescent="0.3">
      <c r="A1565" t="s">
        <v>1618</v>
      </c>
      <c r="B1565" t="s">
        <v>30</v>
      </c>
      <c r="C1565" t="s">
        <v>32</v>
      </c>
      <c r="D1565" t="s">
        <v>62</v>
      </c>
      <c r="E1565" t="str">
        <f t="shared" si="96"/>
        <v>XS</v>
      </c>
      <c r="G1565" t="s">
        <v>35</v>
      </c>
      <c r="H1565" s="8">
        <v>79.59</v>
      </c>
      <c r="I1565" s="3">
        <f t="shared" si="97"/>
        <v>8.900000000000001E-2</v>
      </c>
      <c r="J1565" s="4">
        <v>8.9</v>
      </c>
      <c r="K1565" s="11">
        <f>Table1[[#This Row],[original_price]]* (Table1[[#This Row],[Markdown percentage updated]])</f>
        <v>7.0835100000000013</v>
      </c>
      <c r="L15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65" s="6">
        <v>72.510000000000005</v>
      </c>
      <c r="N15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65" s="7">
        <v>45875</v>
      </c>
      <c r="P1565">
        <v>16</v>
      </c>
      <c r="Q1565" s="16" t="str">
        <f>IF(Table1[[#This Row],[stock_quantity]]=0,"NO STOCK",
IF(Table1[[#This Row],[stock_quantity]]&lt;=10,"LOW STOCK",
"IN STOCK"))</f>
        <v>IN STOCK</v>
      </c>
      <c r="R1565" s="1">
        <f t="shared" si="98"/>
        <v>4.5999999999999996</v>
      </c>
      <c r="S1565">
        <v>4.5999999999999996</v>
      </c>
      <c r="T1565" t="b">
        <v>1</v>
      </c>
      <c r="U1565" s="13" t="str">
        <f t="shared" si="99"/>
        <v>Wrong Item</v>
      </c>
      <c r="V1565" t="s">
        <v>125</v>
      </c>
    </row>
    <row r="1566" spans="1:22" hidden="1" x14ac:dyDescent="0.3">
      <c r="A1566" t="s">
        <v>1619</v>
      </c>
      <c r="B1566" t="s">
        <v>38</v>
      </c>
      <c r="C1566" t="s">
        <v>43</v>
      </c>
      <c r="D1566" t="s">
        <v>17</v>
      </c>
      <c r="E1566" t="str">
        <f t="shared" si="96"/>
        <v>L</v>
      </c>
      <c r="F1566" t="s">
        <v>49</v>
      </c>
      <c r="G1566" t="s">
        <v>40</v>
      </c>
      <c r="H1566" s="8">
        <v>84.8</v>
      </c>
      <c r="I1566" s="3">
        <f t="shared" si="97"/>
        <v>0</v>
      </c>
      <c r="J1566" s="4">
        <v>0</v>
      </c>
      <c r="K1566" s="11">
        <f>Table1[[#This Row],[original_price]]* (Table1[[#This Row],[Markdown percentage updated]])</f>
        <v>0</v>
      </c>
      <c r="L15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66" s="6">
        <v>84.8</v>
      </c>
      <c r="N15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66" s="7">
        <v>45846</v>
      </c>
      <c r="P1566">
        <v>46</v>
      </c>
      <c r="Q1566" s="16" t="str">
        <f>IF(Table1[[#This Row],[stock_quantity]]=0,"NO STOCK",
IF(Table1[[#This Row],[stock_quantity]]&lt;=10,"LOW STOCK",
"IN STOCK"))</f>
        <v>IN STOCK</v>
      </c>
      <c r="R1566" s="1">
        <f t="shared" si="98"/>
        <v>4.5999999999999996</v>
      </c>
      <c r="S1566">
        <v>4.5999999999999996</v>
      </c>
      <c r="T1566" t="b">
        <v>0</v>
      </c>
      <c r="U1566" t="str">
        <f t="shared" si="99"/>
        <v>No Return</v>
      </c>
    </row>
    <row r="1567" spans="1:22" hidden="1" x14ac:dyDescent="0.3">
      <c r="A1567" t="s">
        <v>1620</v>
      </c>
      <c r="B1567" t="s">
        <v>38</v>
      </c>
      <c r="C1567" t="s">
        <v>75</v>
      </c>
      <c r="D1567" t="s">
        <v>34</v>
      </c>
      <c r="E1567" t="str">
        <f t="shared" si="96"/>
        <v>XS</v>
      </c>
      <c r="F1567" t="s">
        <v>58</v>
      </c>
      <c r="G1567" t="s">
        <v>28</v>
      </c>
      <c r="H1567" s="8">
        <v>69.209999999999994</v>
      </c>
      <c r="I1567" s="3">
        <f t="shared" si="97"/>
        <v>0</v>
      </c>
      <c r="J1567" s="4">
        <v>0</v>
      </c>
      <c r="K1567" s="11">
        <f>Table1[[#This Row],[original_price]]* (Table1[[#This Row],[Markdown percentage updated]])</f>
        <v>0</v>
      </c>
      <c r="L15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67" s="6">
        <v>69.209999999999994</v>
      </c>
      <c r="N15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67" s="7">
        <v>45875</v>
      </c>
      <c r="P1567">
        <v>41</v>
      </c>
      <c r="Q1567" s="16" t="str">
        <f>IF(Table1[[#This Row],[stock_quantity]]=0,"NO STOCK",
IF(Table1[[#This Row],[stock_quantity]]&lt;=10,"LOW STOCK",
"IN STOCK"))</f>
        <v>IN STOCK</v>
      </c>
      <c r="R1567" s="1">
        <f t="shared" si="98"/>
        <v>0</v>
      </c>
      <c r="T1567" t="b">
        <v>0</v>
      </c>
      <c r="U1567" t="str">
        <f t="shared" si="99"/>
        <v>No Return</v>
      </c>
    </row>
    <row r="1568" spans="1:22" hidden="1" x14ac:dyDescent="0.3">
      <c r="A1568" t="s">
        <v>1621</v>
      </c>
      <c r="B1568" t="s">
        <v>15</v>
      </c>
      <c r="C1568" t="s">
        <v>32</v>
      </c>
      <c r="D1568" t="s">
        <v>17</v>
      </c>
      <c r="E1568" t="str">
        <f t="shared" si="96"/>
        <v>OS</v>
      </c>
      <c r="F1568" t="s">
        <v>55</v>
      </c>
      <c r="G1568" t="s">
        <v>64</v>
      </c>
      <c r="H1568" s="8">
        <v>229.17</v>
      </c>
      <c r="I1568" s="3">
        <f t="shared" si="97"/>
        <v>0</v>
      </c>
      <c r="J1568" s="4">
        <v>0</v>
      </c>
      <c r="K1568" s="11">
        <f>Table1[[#This Row],[original_price]]* (Table1[[#This Row],[Markdown percentage updated]])</f>
        <v>0</v>
      </c>
      <c r="L15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68" s="6">
        <v>229.17</v>
      </c>
      <c r="N15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68" s="7">
        <v>45855</v>
      </c>
      <c r="P1568">
        <v>37</v>
      </c>
      <c r="Q1568" s="16" t="str">
        <f>IF(Table1[[#This Row],[stock_quantity]]=0,"NO STOCK",
IF(Table1[[#This Row],[stock_quantity]]&lt;=10,"LOW STOCK",
"IN STOCK"))</f>
        <v>IN STOCK</v>
      </c>
      <c r="R1568" s="1">
        <f t="shared" si="98"/>
        <v>2</v>
      </c>
      <c r="S1568">
        <v>2</v>
      </c>
      <c r="T1568" t="b">
        <v>0</v>
      </c>
      <c r="U1568" t="str">
        <f t="shared" si="99"/>
        <v>No Return</v>
      </c>
    </row>
    <row r="1569" spans="1:22" hidden="1" x14ac:dyDescent="0.3">
      <c r="A1569" t="s">
        <v>1622</v>
      </c>
      <c r="B1569" t="s">
        <v>42</v>
      </c>
      <c r="C1569" t="s">
        <v>32</v>
      </c>
      <c r="D1569" t="s">
        <v>23</v>
      </c>
      <c r="E1569" t="str">
        <f t="shared" si="96"/>
        <v>OS</v>
      </c>
      <c r="F1569" t="s">
        <v>24</v>
      </c>
      <c r="G1569" t="s">
        <v>35</v>
      </c>
      <c r="H1569" s="8">
        <v>103.9</v>
      </c>
      <c r="I1569" s="3">
        <f t="shared" si="97"/>
        <v>0</v>
      </c>
      <c r="J1569" s="4">
        <v>0</v>
      </c>
      <c r="K1569" s="11">
        <f>Table1[[#This Row],[original_price]]* (Table1[[#This Row],[Markdown percentage updated]])</f>
        <v>0</v>
      </c>
      <c r="L15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69" s="6">
        <v>103.9</v>
      </c>
      <c r="N15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69" s="7">
        <v>45875</v>
      </c>
      <c r="P1569">
        <v>40</v>
      </c>
      <c r="Q1569" s="16" t="str">
        <f>IF(Table1[[#This Row],[stock_quantity]]=0,"NO STOCK",
IF(Table1[[#This Row],[stock_quantity]]&lt;=10,"LOW STOCK",
"IN STOCK"))</f>
        <v>IN STOCK</v>
      </c>
      <c r="R1569" s="1">
        <f t="shared" si="98"/>
        <v>4.4000000000000004</v>
      </c>
      <c r="S1569">
        <v>4.4000000000000004</v>
      </c>
      <c r="T1569" t="b">
        <v>0</v>
      </c>
      <c r="U1569" t="str">
        <f t="shared" si="99"/>
        <v>No Return</v>
      </c>
    </row>
    <row r="1570" spans="1:22" hidden="1" x14ac:dyDescent="0.3">
      <c r="A1570" t="s">
        <v>1623</v>
      </c>
      <c r="B1570" t="s">
        <v>15</v>
      </c>
      <c r="C1570" t="s">
        <v>16</v>
      </c>
      <c r="D1570" t="s">
        <v>17</v>
      </c>
      <c r="E1570" t="str">
        <f t="shared" si="96"/>
        <v>XXL</v>
      </c>
      <c r="F1570" t="s">
        <v>55</v>
      </c>
      <c r="G1570" t="s">
        <v>56</v>
      </c>
      <c r="H1570" s="8">
        <v>228.46</v>
      </c>
      <c r="I1570" s="3">
        <f t="shared" si="97"/>
        <v>0</v>
      </c>
      <c r="J1570" s="4">
        <v>0</v>
      </c>
      <c r="K1570" s="11">
        <f>Table1[[#This Row],[original_price]]* (Table1[[#This Row],[Markdown percentage updated]])</f>
        <v>0</v>
      </c>
      <c r="L15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70" s="6">
        <v>228.46</v>
      </c>
      <c r="N15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70" s="7">
        <v>45695</v>
      </c>
      <c r="P1570">
        <v>7</v>
      </c>
      <c r="Q1570" s="17" t="str">
        <f>IF(Table1[[#This Row],[stock_quantity]]=0,"NO STOCK",
IF(Table1[[#This Row],[stock_quantity]]&lt;=10,"LOW STOCK",
"IN STOCK"))</f>
        <v>LOW STOCK</v>
      </c>
      <c r="R1570" s="1">
        <f t="shared" si="98"/>
        <v>2.5</v>
      </c>
      <c r="S1570">
        <v>2.5</v>
      </c>
      <c r="T1570" t="b">
        <v>1</v>
      </c>
      <c r="U1570" s="13" t="str">
        <f t="shared" si="99"/>
        <v>Quality Issue</v>
      </c>
      <c r="V1570" t="s">
        <v>83</v>
      </c>
    </row>
    <row r="1571" spans="1:22" hidden="1" x14ac:dyDescent="0.3">
      <c r="A1571" t="s">
        <v>1624</v>
      </c>
      <c r="B1571" t="s">
        <v>27</v>
      </c>
      <c r="C1571" t="s">
        <v>16</v>
      </c>
      <c r="D1571" t="s">
        <v>62</v>
      </c>
      <c r="E1571" t="str">
        <f t="shared" si="96"/>
        <v>OS</v>
      </c>
      <c r="G1571" t="s">
        <v>35</v>
      </c>
      <c r="H1571" s="8">
        <v>44.35</v>
      </c>
      <c r="I1571" s="3">
        <f t="shared" si="97"/>
        <v>0.29199999999999998</v>
      </c>
      <c r="J1571" s="4">
        <v>29.2</v>
      </c>
      <c r="K1571" s="11">
        <f>Table1[[#This Row],[original_price]]* (Table1[[#This Row],[Markdown percentage updated]])</f>
        <v>12.950199999999999</v>
      </c>
      <c r="L15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571" s="6">
        <v>31.4</v>
      </c>
      <c r="N15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71" s="7">
        <v>45875</v>
      </c>
      <c r="P1571">
        <v>20</v>
      </c>
      <c r="Q1571" s="16" t="str">
        <f>IF(Table1[[#This Row],[stock_quantity]]=0,"NO STOCK",
IF(Table1[[#This Row],[stock_quantity]]&lt;=10,"LOW STOCK",
"IN STOCK"))</f>
        <v>IN STOCK</v>
      </c>
      <c r="R1571" s="1">
        <f t="shared" si="98"/>
        <v>4.9000000000000004</v>
      </c>
      <c r="S1571">
        <v>4.9000000000000004</v>
      </c>
      <c r="T1571" t="b">
        <v>0</v>
      </c>
      <c r="U1571" t="str">
        <f t="shared" si="99"/>
        <v>No Return</v>
      </c>
    </row>
    <row r="1572" spans="1:22" hidden="1" x14ac:dyDescent="0.3">
      <c r="A1572" t="s">
        <v>1625</v>
      </c>
      <c r="B1572" t="s">
        <v>38</v>
      </c>
      <c r="C1572" t="s">
        <v>22</v>
      </c>
      <c r="D1572" t="s">
        <v>17</v>
      </c>
      <c r="E1572" t="str">
        <f t="shared" si="96"/>
        <v>S</v>
      </c>
      <c r="G1572" t="s">
        <v>40</v>
      </c>
      <c r="H1572" s="8">
        <v>28.76</v>
      </c>
      <c r="I1572" s="3">
        <f t="shared" si="97"/>
        <v>0.54700000000000004</v>
      </c>
      <c r="J1572" s="4">
        <v>54.7</v>
      </c>
      <c r="K1572" s="11">
        <f>Table1[[#This Row],[original_price]]* (Table1[[#This Row],[Markdown percentage updated]])</f>
        <v>15.731720000000003</v>
      </c>
      <c r="L15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72" s="6">
        <v>13.03</v>
      </c>
      <c r="N15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72" s="7">
        <v>45791</v>
      </c>
      <c r="P1572">
        <v>2</v>
      </c>
      <c r="Q1572" s="17" t="str">
        <f>IF(Table1[[#This Row],[stock_quantity]]=0,"NO STOCK",
IF(Table1[[#This Row],[stock_quantity]]&lt;=10,"LOW STOCK",
"IN STOCK"))</f>
        <v>LOW STOCK</v>
      </c>
      <c r="R1572" s="1">
        <f t="shared" si="98"/>
        <v>4.4000000000000004</v>
      </c>
      <c r="S1572">
        <v>4.4000000000000004</v>
      </c>
      <c r="T1572" t="b">
        <v>1</v>
      </c>
      <c r="U1572" s="13" t="str">
        <f t="shared" si="99"/>
        <v>Color Mismatch</v>
      </c>
      <c r="V1572" t="s">
        <v>36</v>
      </c>
    </row>
    <row r="1573" spans="1:22" hidden="1" x14ac:dyDescent="0.3">
      <c r="A1573" t="s">
        <v>1626</v>
      </c>
      <c r="B1573" t="s">
        <v>15</v>
      </c>
      <c r="C1573" t="s">
        <v>43</v>
      </c>
      <c r="D1573" t="s">
        <v>17</v>
      </c>
      <c r="E1573" t="str">
        <f t="shared" si="96"/>
        <v>S</v>
      </c>
      <c r="F1573" t="s">
        <v>49</v>
      </c>
      <c r="G1573" t="s">
        <v>19</v>
      </c>
      <c r="H1573" s="8">
        <v>158.34</v>
      </c>
      <c r="I1573" s="3">
        <f t="shared" si="97"/>
        <v>0.36599999999999999</v>
      </c>
      <c r="J1573" s="4">
        <v>36.6</v>
      </c>
      <c r="K1573" s="11">
        <f>Table1[[#This Row],[original_price]]* (Table1[[#This Row],[Markdown percentage updated]])</f>
        <v>57.952440000000003</v>
      </c>
      <c r="L15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73" s="6">
        <v>100.39</v>
      </c>
      <c r="N15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73" s="7">
        <v>45684</v>
      </c>
      <c r="P1573">
        <v>11</v>
      </c>
      <c r="Q1573" s="16" t="str">
        <f>IF(Table1[[#This Row],[stock_quantity]]=0,"NO STOCK",
IF(Table1[[#This Row],[stock_quantity]]&lt;=10,"LOW STOCK",
"IN STOCK"))</f>
        <v>IN STOCK</v>
      </c>
      <c r="R1573" s="1">
        <f t="shared" si="98"/>
        <v>4.5</v>
      </c>
      <c r="S1573">
        <v>4.5</v>
      </c>
      <c r="T1573" t="b">
        <v>0</v>
      </c>
      <c r="U1573" t="str">
        <f t="shared" si="99"/>
        <v>No Return</v>
      </c>
    </row>
    <row r="1574" spans="1:22" hidden="1" x14ac:dyDescent="0.3">
      <c r="A1574" t="s">
        <v>1627</v>
      </c>
      <c r="B1574" t="s">
        <v>27</v>
      </c>
      <c r="C1574" t="s">
        <v>16</v>
      </c>
      <c r="D1574" t="s">
        <v>17</v>
      </c>
      <c r="E1574" t="str">
        <f t="shared" si="96"/>
        <v>S</v>
      </c>
      <c r="G1574" t="s">
        <v>70</v>
      </c>
      <c r="H1574" s="8">
        <v>39.049999999999997</v>
      </c>
      <c r="I1574" s="3">
        <f t="shared" si="97"/>
        <v>0.12</v>
      </c>
      <c r="J1574" s="4">
        <v>12</v>
      </c>
      <c r="K1574" s="11">
        <f>Table1[[#This Row],[original_price]]* (Table1[[#This Row],[Markdown percentage updated]])</f>
        <v>4.6859999999999991</v>
      </c>
      <c r="L15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74" s="6">
        <v>34.36</v>
      </c>
      <c r="N15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74" s="7">
        <v>45565</v>
      </c>
      <c r="P1574">
        <v>0</v>
      </c>
      <c r="Q1574" s="13" t="str">
        <f>IF(Table1[[#This Row],[stock_quantity]]=0,"NO STOCK",
IF(Table1[[#This Row],[stock_quantity]]&lt;=10,"LOW STOCK",
"IN STOCK"))</f>
        <v>NO STOCK</v>
      </c>
      <c r="R1574" s="1">
        <f t="shared" si="98"/>
        <v>3.1</v>
      </c>
      <c r="S1574">
        <v>3.1</v>
      </c>
      <c r="T1574" t="b">
        <v>0</v>
      </c>
      <c r="U1574" t="str">
        <f t="shared" si="99"/>
        <v>No Return</v>
      </c>
    </row>
    <row r="1575" spans="1:22" hidden="1" x14ac:dyDescent="0.3">
      <c r="A1575" t="s">
        <v>1628</v>
      </c>
      <c r="B1575" t="s">
        <v>21</v>
      </c>
      <c r="C1575" t="s">
        <v>53</v>
      </c>
      <c r="D1575" t="s">
        <v>17</v>
      </c>
      <c r="E1575" t="str">
        <f t="shared" si="96"/>
        <v>L</v>
      </c>
      <c r="F1575" t="s">
        <v>39</v>
      </c>
      <c r="G1575" t="s">
        <v>44</v>
      </c>
      <c r="H1575" s="8">
        <v>52.46</v>
      </c>
      <c r="I1575" s="3">
        <f t="shared" si="97"/>
        <v>0.122</v>
      </c>
      <c r="J1575" s="4">
        <v>12.2</v>
      </c>
      <c r="K1575" s="11">
        <f>Table1[[#This Row],[original_price]]* (Table1[[#This Row],[Markdown percentage updated]])</f>
        <v>6.4001200000000003</v>
      </c>
      <c r="L15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75" s="6">
        <v>46.06</v>
      </c>
      <c r="N15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75" s="7">
        <v>45645</v>
      </c>
      <c r="P1575">
        <v>39</v>
      </c>
      <c r="Q1575" s="16" t="str">
        <f>IF(Table1[[#This Row],[stock_quantity]]=0,"NO STOCK",
IF(Table1[[#This Row],[stock_quantity]]&lt;=10,"LOW STOCK",
"IN STOCK"))</f>
        <v>IN STOCK</v>
      </c>
      <c r="R1575" s="1">
        <f t="shared" si="98"/>
        <v>2.2999999999999998</v>
      </c>
      <c r="S1575">
        <v>2.2999999999999998</v>
      </c>
      <c r="T1575" t="b">
        <v>0</v>
      </c>
      <c r="U1575" t="str">
        <f t="shared" si="99"/>
        <v>No Return</v>
      </c>
    </row>
    <row r="1576" spans="1:22" hidden="1" x14ac:dyDescent="0.3">
      <c r="A1576" t="s">
        <v>1629</v>
      </c>
      <c r="B1576" t="s">
        <v>38</v>
      </c>
      <c r="C1576" t="s">
        <v>61</v>
      </c>
      <c r="D1576" t="s">
        <v>17</v>
      </c>
      <c r="E1576" t="str">
        <f t="shared" si="96"/>
        <v>XS</v>
      </c>
      <c r="F1576" t="s">
        <v>39</v>
      </c>
      <c r="G1576" t="s">
        <v>19</v>
      </c>
      <c r="H1576" s="8">
        <v>70.31</v>
      </c>
      <c r="I1576" s="3">
        <f t="shared" si="97"/>
        <v>0.34399999999999997</v>
      </c>
      <c r="J1576" s="4">
        <v>34.4</v>
      </c>
      <c r="K1576" s="11">
        <f>Table1[[#This Row],[original_price]]* (Table1[[#This Row],[Markdown percentage updated]])</f>
        <v>24.186640000000001</v>
      </c>
      <c r="L15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76" s="6">
        <v>46.12</v>
      </c>
      <c r="N15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76" s="7">
        <v>45681</v>
      </c>
      <c r="P1576">
        <v>28</v>
      </c>
      <c r="Q1576" s="16" t="str">
        <f>IF(Table1[[#This Row],[stock_quantity]]=0,"NO STOCK",
IF(Table1[[#This Row],[stock_quantity]]&lt;=10,"LOW STOCK",
"IN STOCK"))</f>
        <v>IN STOCK</v>
      </c>
      <c r="R1576" s="1">
        <f t="shared" si="98"/>
        <v>3.1</v>
      </c>
      <c r="S1576">
        <v>3.1</v>
      </c>
      <c r="T1576" t="b">
        <v>0</v>
      </c>
      <c r="U1576" t="str">
        <f t="shared" si="99"/>
        <v>No Return</v>
      </c>
    </row>
    <row r="1577" spans="1:22" hidden="1" x14ac:dyDescent="0.3">
      <c r="A1577" t="s">
        <v>1630</v>
      </c>
      <c r="B1577" t="s">
        <v>15</v>
      </c>
      <c r="C1577" t="s">
        <v>75</v>
      </c>
      <c r="D1577" t="s">
        <v>62</v>
      </c>
      <c r="E1577" t="str">
        <f t="shared" si="96"/>
        <v>XL</v>
      </c>
      <c r="F1577" t="s">
        <v>39</v>
      </c>
      <c r="G1577" t="s">
        <v>56</v>
      </c>
      <c r="H1577" s="8">
        <v>123.27</v>
      </c>
      <c r="I1577" s="3">
        <f t="shared" si="97"/>
        <v>0</v>
      </c>
      <c r="J1577" s="4">
        <v>0</v>
      </c>
      <c r="K1577" s="11">
        <f>Table1[[#This Row],[original_price]]* (Table1[[#This Row],[Markdown percentage updated]])</f>
        <v>0</v>
      </c>
      <c r="L15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77" s="6">
        <v>123.27</v>
      </c>
      <c r="N15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77" s="7">
        <v>45875</v>
      </c>
      <c r="P1577">
        <v>13</v>
      </c>
      <c r="Q1577" s="16" t="str">
        <f>IF(Table1[[#This Row],[stock_quantity]]=0,"NO STOCK",
IF(Table1[[#This Row],[stock_quantity]]&lt;=10,"LOW STOCK",
"IN STOCK"))</f>
        <v>IN STOCK</v>
      </c>
      <c r="R1577" s="1">
        <f t="shared" si="98"/>
        <v>2.8</v>
      </c>
      <c r="S1577">
        <v>2.8</v>
      </c>
      <c r="T1577" t="b">
        <v>0</v>
      </c>
      <c r="U1577" t="str">
        <f t="shared" si="99"/>
        <v>No Return</v>
      </c>
    </row>
    <row r="1578" spans="1:22" hidden="1" x14ac:dyDescent="0.3">
      <c r="A1578" t="s">
        <v>1631</v>
      </c>
      <c r="B1578" t="s">
        <v>15</v>
      </c>
      <c r="C1578" t="s">
        <v>43</v>
      </c>
      <c r="D1578" t="s">
        <v>62</v>
      </c>
      <c r="E1578" t="str">
        <f t="shared" si="96"/>
        <v>L</v>
      </c>
      <c r="F1578" t="s">
        <v>24</v>
      </c>
      <c r="G1578" t="s">
        <v>64</v>
      </c>
      <c r="H1578" s="8">
        <v>215.82</v>
      </c>
      <c r="I1578" s="3">
        <f t="shared" si="97"/>
        <v>0.16500000000000001</v>
      </c>
      <c r="J1578" s="4">
        <v>16.5</v>
      </c>
      <c r="K1578" s="11">
        <f>Table1[[#This Row],[original_price]]* (Table1[[#This Row],[Markdown percentage updated]])</f>
        <v>35.610300000000002</v>
      </c>
      <c r="L15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78" s="6">
        <v>180.21</v>
      </c>
      <c r="N15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78" s="7">
        <v>45875</v>
      </c>
      <c r="P1578">
        <v>9</v>
      </c>
      <c r="Q1578" s="17" t="str">
        <f>IF(Table1[[#This Row],[stock_quantity]]=0,"NO STOCK",
IF(Table1[[#This Row],[stock_quantity]]&lt;=10,"LOW STOCK",
"IN STOCK"))</f>
        <v>LOW STOCK</v>
      </c>
      <c r="R1578" s="1">
        <f t="shared" si="98"/>
        <v>2.4</v>
      </c>
      <c r="S1578">
        <v>2.4</v>
      </c>
      <c r="T1578" t="b">
        <v>0</v>
      </c>
      <c r="U1578" t="str">
        <f t="shared" si="99"/>
        <v>No Return</v>
      </c>
    </row>
    <row r="1579" spans="1:22" hidden="1" x14ac:dyDescent="0.3">
      <c r="A1579" t="s">
        <v>1632</v>
      </c>
      <c r="B1579" t="s">
        <v>15</v>
      </c>
      <c r="C1579" t="s">
        <v>61</v>
      </c>
      <c r="D1579" t="s">
        <v>62</v>
      </c>
      <c r="E1579" t="str">
        <f t="shared" si="96"/>
        <v>OS</v>
      </c>
      <c r="F1579" t="s">
        <v>55</v>
      </c>
      <c r="G1579" t="s">
        <v>44</v>
      </c>
      <c r="H1579" s="8">
        <v>82.91</v>
      </c>
      <c r="I1579" s="3">
        <f t="shared" si="97"/>
        <v>6.9999999999999993E-3</v>
      </c>
      <c r="J1579" s="4">
        <v>0.7</v>
      </c>
      <c r="K1579" s="11">
        <f>Table1[[#This Row],[original_price]]* (Table1[[#This Row],[Markdown percentage updated]])</f>
        <v>0.58036999999999994</v>
      </c>
      <c r="L15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79" s="6">
        <v>82.33</v>
      </c>
      <c r="N15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79" s="7">
        <v>45875</v>
      </c>
      <c r="P1579">
        <v>24</v>
      </c>
      <c r="Q1579" s="16" t="str">
        <f>IF(Table1[[#This Row],[stock_quantity]]=0,"NO STOCK",
IF(Table1[[#This Row],[stock_quantity]]&lt;=10,"LOW STOCK",
"IN STOCK"))</f>
        <v>IN STOCK</v>
      </c>
      <c r="R1579" s="1">
        <f t="shared" si="98"/>
        <v>0</v>
      </c>
      <c r="T1579" t="b">
        <v>1</v>
      </c>
      <c r="U1579" s="13" t="str">
        <f t="shared" si="99"/>
        <v>Damaged</v>
      </c>
      <c r="V1579" t="s">
        <v>78</v>
      </c>
    </row>
    <row r="1580" spans="1:22" hidden="1" x14ac:dyDescent="0.3">
      <c r="A1580" t="s">
        <v>1633</v>
      </c>
      <c r="B1580" t="s">
        <v>21</v>
      </c>
      <c r="C1580" t="s">
        <v>61</v>
      </c>
      <c r="D1580" t="s">
        <v>23</v>
      </c>
      <c r="E1580" t="str">
        <f t="shared" si="96"/>
        <v>S</v>
      </c>
      <c r="F1580" t="s">
        <v>18</v>
      </c>
      <c r="G1580" t="s">
        <v>66</v>
      </c>
      <c r="H1580" s="8">
        <v>33.46</v>
      </c>
      <c r="I1580" s="3">
        <f t="shared" si="97"/>
        <v>0</v>
      </c>
      <c r="J1580" s="4">
        <v>0</v>
      </c>
      <c r="K1580" s="11">
        <f>Table1[[#This Row],[original_price]]* (Table1[[#This Row],[Markdown percentage updated]])</f>
        <v>0</v>
      </c>
      <c r="L15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80" s="6">
        <v>33.46</v>
      </c>
      <c r="N15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80" s="7">
        <v>45875</v>
      </c>
      <c r="P1580">
        <v>36</v>
      </c>
      <c r="Q1580" s="16" t="str">
        <f>IF(Table1[[#This Row],[stock_quantity]]=0,"NO STOCK",
IF(Table1[[#This Row],[stock_quantity]]&lt;=10,"LOW STOCK",
"IN STOCK"))</f>
        <v>IN STOCK</v>
      </c>
      <c r="R1580" s="1">
        <f t="shared" si="98"/>
        <v>3.6</v>
      </c>
      <c r="S1580">
        <v>3.6</v>
      </c>
      <c r="T1580" t="b">
        <v>0</v>
      </c>
      <c r="U1580" t="str">
        <f t="shared" si="99"/>
        <v>No Return</v>
      </c>
    </row>
    <row r="1581" spans="1:22" hidden="1" x14ac:dyDescent="0.3">
      <c r="A1581" t="s">
        <v>1634</v>
      </c>
      <c r="B1581" t="s">
        <v>38</v>
      </c>
      <c r="C1581" t="s">
        <v>32</v>
      </c>
      <c r="D1581" t="s">
        <v>17</v>
      </c>
      <c r="E1581" t="str">
        <f t="shared" si="96"/>
        <v>XL</v>
      </c>
      <c r="F1581" t="s">
        <v>24</v>
      </c>
      <c r="G1581" t="s">
        <v>40</v>
      </c>
      <c r="H1581" s="8">
        <v>37.21</v>
      </c>
      <c r="I1581" s="3">
        <f t="shared" si="97"/>
        <v>0.53900000000000003</v>
      </c>
      <c r="J1581" s="4">
        <v>53.9</v>
      </c>
      <c r="K1581" s="11">
        <f>Table1[[#This Row],[original_price]]* (Table1[[#This Row],[Markdown percentage updated]])</f>
        <v>20.056190000000001</v>
      </c>
      <c r="L15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81" s="6">
        <v>17.149999999999999</v>
      </c>
      <c r="N15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81" s="7">
        <v>45835</v>
      </c>
      <c r="P1581">
        <v>48</v>
      </c>
      <c r="Q1581" s="16" t="str">
        <f>IF(Table1[[#This Row],[stock_quantity]]=0,"NO STOCK",
IF(Table1[[#This Row],[stock_quantity]]&lt;=10,"LOW STOCK",
"IN STOCK"))</f>
        <v>IN STOCK</v>
      </c>
      <c r="R1581" s="1">
        <f t="shared" si="98"/>
        <v>3.8</v>
      </c>
      <c r="S1581">
        <v>3.8</v>
      </c>
      <c r="T1581" t="b">
        <v>0</v>
      </c>
      <c r="U1581" t="str">
        <f t="shared" si="99"/>
        <v>No Return</v>
      </c>
    </row>
    <row r="1582" spans="1:22" hidden="1" x14ac:dyDescent="0.3">
      <c r="A1582" t="s">
        <v>1635</v>
      </c>
      <c r="B1582" t="s">
        <v>38</v>
      </c>
      <c r="C1582" t="s">
        <v>43</v>
      </c>
      <c r="D1582" t="s">
        <v>23</v>
      </c>
      <c r="E1582" t="str">
        <f t="shared" si="96"/>
        <v>XXL</v>
      </c>
      <c r="G1582" t="s">
        <v>19</v>
      </c>
      <c r="H1582" s="8">
        <v>76.86</v>
      </c>
      <c r="I1582" s="3">
        <f t="shared" si="97"/>
        <v>0.48899999999999999</v>
      </c>
      <c r="J1582" s="4">
        <v>48.9</v>
      </c>
      <c r="K1582" s="11">
        <f>Table1[[#This Row],[original_price]]* (Table1[[#This Row],[Markdown percentage updated]])</f>
        <v>37.584539999999997</v>
      </c>
      <c r="L15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82" s="6">
        <v>39.28</v>
      </c>
      <c r="N15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82" s="7">
        <v>45875</v>
      </c>
      <c r="P1582">
        <v>5</v>
      </c>
      <c r="Q1582" s="17" t="str">
        <f>IF(Table1[[#This Row],[stock_quantity]]=0,"NO STOCK",
IF(Table1[[#This Row],[stock_quantity]]&lt;=10,"LOW STOCK",
"IN STOCK"))</f>
        <v>LOW STOCK</v>
      </c>
      <c r="R1582" s="1">
        <f t="shared" si="98"/>
        <v>1.2</v>
      </c>
      <c r="S1582">
        <v>1.2</v>
      </c>
      <c r="T1582" t="b">
        <v>0</v>
      </c>
      <c r="U1582" t="str">
        <f t="shared" si="99"/>
        <v>No Return</v>
      </c>
    </row>
    <row r="1583" spans="1:22" hidden="1" x14ac:dyDescent="0.3">
      <c r="A1583" t="s">
        <v>1636</v>
      </c>
      <c r="B1583" t="s">
        <v>15</v>
      </c>
      <c r="C1583" t="s">
        <v>48</v>
      </c>
      <c r="D1583" t="s">
        <v>23</v>
      </c>
      <c r="E1583" t="str">
        <f t="shared" si="96"/>
        <v>OS</v>
      </c>
      <c r="F1583" t="s">
        <v>39</v>
      </c>
      <c r="G1583" t="s">
        <v>56</v>
      </c>
      <c r="H1583" s="8">
        <v>208.57</v>
      </c>
      <c r="I1583" s="3">
        <f t="shared" si="97"/>
        <v>0</v>
      </c>
      <c r="J1583" s="4">
        <v>0</v>
      </c>
      <c r="K1583" s="11">
        <f>Table1[[#This Row],[original_price]]* (Table1[[#This Row],[Markdown percentage updated]])</f>
        <v>0</v>
      </c>
      <c r="L15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83" s="6">
        <v>208.57</v>
      </c>
      <c r="N15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83" s="7">
        <v>45875</v>
      </c>
      <c r="P1583">
        <v>24</v>
      </c>
      <c r="Q1583" s="16" t="str">
        <f>IF(Table1[[#This Row],[stock_quantity]]=0,"NO STOCK",
IF(Table1[[#This Row],[stock_quantity]]&lt;=10,"LOW STOCK",
"IN STOCK"))</f>
        <v>IN STOCK</v>
      </c>
      <c r="R1583" s="1">
        <f t="shared" si="98"/>
        <v>3.6</v>
      </c>
      <c r="S1583">
        <v>3.6</v>
      </c>
      <c r="T1583" t="b">
        <v>0</v>
      </c>
      <c r="U1583" t="str">
        <f t="shared" si="99"/>
        <v>No Return</v>
      </c>
    </row>
    <row r="1584" spans="1:22" hidden="1" x14ac:dyDescent="0.3">
      <c r="A1584" t="s">
        <v>1637</v>
      </c>
      <c r="B1584" t="s">
        <v>42</v>
      </c>
      <c r="C1584" t="s">
        <v>61</v>
      </c>
      <c r="D1584" t="s">
        <v>17</v>
      </c>
      <c r="E1584" t="str">
        <f t="shared" si="96"/>
        <v>OS</v>
      </c>
      <c r="F1584" t="s">
        <v>18</v>
      </c>
      <c r="G1584" t="s">
        <v>19</v>
      </c>
      <c r="H1584" s="8">
        <v>131.69999999999999</v>
      </c>
      <c r="I1584" s="3">
        <f t="shared" si="97"/>
        <v>0.158</v>
      </c>
      <c r="J1584" s="4">
        <v>15.8</v>
      </c>
      <c r="K1584" s="11">
        <f>Table1[[#This Row],[original_price]]* (Table1[[#This Row],[Markdown percentage updated]])</f>
        <v>20.808599999999998</v>
      </c>
      <c r="L15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84" s="6">
        <v>110.89</v>
      </c>
      <c r="N15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584" s="7">
        <v>45516</v>
      </c>
      <c r="P1584">
        <v>49</v>
      </c>
      <c r="Q1584" s="16" t="str">
        <f>IF(Table1[[#This Row],[stock_quantity]]=0,"NO STOCK",
IF(Table1[[#This Row],[stock_quantity]]&lt;=10,"LOW STOCK",
"IN STOCK"))</f>
        <v>IN STOCK</v>
      </c>
      <c r="R1584" s="1">
        <f t="shared" si="98"/>
        <v>1.4</v>
      </c>
      <c r="S1584">
        <v>1.4</v>
      </c>
      <c r="T1584" t="b">
        <v>1</v>
      </c>
      <c r="U1584" s="13" t="str">
        <f t="shared" si="99"/>
        <v>Damaged</v>
      </c>
      <c r="V1584" t="s">
        <v>78</v>
      </c>
    </row>
    <row r="1585" spans="1:22" hidden="1" x14ac:dyDescent="0.3">
      <c r="A1585" t="s">
        <v>1638</v>
      </c>
      <c r="B1585" t="s">
        <v>38</v>
      </c>
      <c r="C1585" t="s">
        <v>43</v>
      </c>
      <c r="D1585" t="s">
        <v>62</v>
      </c>
      <c r="E1585" t="str">
        <f t="shared" si="96"/>
        <v>L</v>
      </c>
      <c r="F1585" t="s">
        <v>49</v>
      </c>
      <c r="G1585" t="s">
        <v>44</v>
      </c>
      <c r="H1585" s="8">
        <v>117.21</v>
      </c>
      <c r="I1585" s="3">
        <f t="shared" si="97"/>
        <v>0</v>
      </c>
      <c r="J1585" s="4">
        <v>0</v>
      </c>
      <c r="K1585" s="11">
        <f>Table1[[#This Row],[original_price]]* (Table1[[#This Row],[Markdown percentage updated]])</f>
        <v>0</v>
      </c>
      <c r="L15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85" s="6">
        <v>117.21</v>
      </c>
      <c r="N15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85" s="7">
        <v>45875</v>
      </c>
      <c r="P1585">
        <v>14</v>
      </c>
      <c r="Q1585" s="16" t="str">
        <f>IF(Table1[[#This Row],[stock_quantity]]=0,"NO STOCK",
IF(Table1[[#This Row],[stock_quantity]]&lt;=10,"LOW STOCK",
"IN STOCK"))</f>
        <v>IN STOCK</v>
      </c>
      <c r="R1585" s="1">
        <f t="shared" si="98"/>
        <v>3.2</v>
      </c>
      <c r="S1585">
        <v>3.2</v>
      </c>
      <c r="T1585" t="b">
        <v>0</v>
      </c>
      <c r="U1585" t="str">
        <f t="shared" si="99"/>
        <v>No Return</v>
      </c>
    </row>
    <row r="1586" spans="1:22" hidden="1" x14ac:dyDescent="0.3">
      <c r="A1586" t="s">
        <v>1639</v>
      </c>
      <c r="B1586" t="s">
        <v>27</v>
      </c>
      <c r="C1586" t="s">
        <v>43</v>
      </c>
      <c r="D1586" t="s">
        <v>62</v>
      </c>
      <c r="E1586" t="str">
        <f t="shared" si="96"/>
        <v>OS</v>
      </c>
      <c r="G1586" t="s">
        <v>46</v>
      </c>
      <c r="H1586" s="8">
        <v>23.01</v>
      </c>
      <c r="I1586" s="3">
        <f t="shared" si="97"/>
        <v>0.48799999999999999</v>
      </c>
      <c r="J1586" s="4">
        <v>48.8</v>
      </c>
      <c r="K1586" s="11">
        <f>Table1[[#This Row],[original_price]]* (Table1[[#This Row],[Markdown percentage updated]])</f>
        <v>11.22888</v>
      </c>
      <c r="L15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86" s="6">
        <v>11.78</v>
      </c>
      <c r="N15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86" s="7">
        <v>45875</v>
      </c>
      <c r="P1586">
        <v>13</v>
      </c>
      <c r="Q1586" s="16" t="str">
        <f>IF(Table1[[#This Row],[stock_quantity]]=0,"NO STOCK",
IF(Table1[[#This Row],[stock_quantity]]&lt;=10,"LOW STOCK",
"IN STOCK"))</f>
        <v>IN STOCK</v>
      </c>
      <c r="R1586" s="1">
        <f t="shared" si="98"/>
        <v>3.6</v>
      </c>
      <c r="S1586">
        <v>3.6</v>
      </c>
      <c r="T1586" t="b">
        <v>0</v>
      </c>
      <c r="U1586" t="str">
        <f t="shared" si="99"/>
        <v>No Return</v>
      </c>
    </row>
    <row r="1587" spans="1:22" hidden="1" x14ac:dyDescent="0.3">
      <c r="A1587" t="s">
        <v>1640</v>
      </c>
      <c r="B1587" t="s">
        <v>27</v>
      </c>
      <c r="C1587" t="s">
        <v>75</v>
      </c>
      <c r="D1587" t="s">
        <v>62</v>
      </c>
      <c r="E1587" t="str">
        <f t="shared" si="96"/>
        <v>L</v>
      </c>
      <c r="G1587" t="s">
        <v>19</v>
      </c>
      <c r="H1587" s="8">
        <v>47.6</v>
      </c>
      <c r="I1587" s="3">
        <f t="shared" si="97"/>
        <v>0</v>
      </c>
      <c r="J1587" s="4">
        <v>0</v>
      </c>
      <c r="K1587" s="11">
        <f>Table1[[#This Row],[original_price]]* (Table1[[#This Row],[Markdown percentage updated]])</f>
        <v>0</v>
      </c>
      <c r="L15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87" s="6">
        <v>47.6</v>
      </c>
      <c r="N15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87" s="7">
        <v>45875</v>
      </c>
      <c r="P1587">
        <v>24</v>
      </c>
      <c r="Q1587" s="16" t="str">
        <f>IF(Table1[[#This Row],[stock_quantity]]=0,"NO STOCK",
IF(Table1[[#This Row],[stock_quantity]]&lt;=10,"LOW STOCK",
"IN STOCK"))</f>
        <v>IN STOCK</v>
      </c>
      <c r="R1587" s="1">
        <f t="shared" si="98"/>
        <v>4.4000000000000004</v>
      </c>
      <c r="S1587">
        <v>4.4000000000000004</v>
      </c>
      <c r="T1587" t="b">
        <v>1</v>
      </c>
      <c r="U1587" s="13" t="str">
        <f t="shared" si="99"/>
        <v>Wrong Item</v>
      </c>
      <c r="V1587" t="s">
        <v>125</v>
      </c>
    </row>
    <row r="1588" spans="1:22" hidden="1" x14ac:dyDescent="0.3">
      <c r="A1588" t="s">
        <v>1641</v>
      </c>
      <c r="B1588" t="s">
        <v>38</v>
      </c>
      <c r="C1588" t="s">
        <v>16</v>
      </c>
      <c r="D1588" t="s">
        <v>34</v>
      </c>
      <c r="E1588" t="str">
        <f t="shared" si="96"/>
        <v>XS</v>
      </c>
      <c r="F1588" t="s">
        <v>24</v>
      </c>
      <c r="G1588" t="s">
        <v>25</v>
      </c>
      <c r="H1588" s="8">
        <v>33.22</v>
      </c>
      <c r="I1588" s="3">
        <f t="shared" si="97"/>
        <v>0.38400000000000001</v>
      </c>
      <c r="J1588" s="4">
        <v>38.4</v>
      </c>
      <c r="K1588" s="11">
        <f>Table1[[#This Row],[original_price]]* (Table1[[#This Row],[Markdown percentage updated]])</f>
        <v>12.75648</v>
      </c>
      <c r="L15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588" s="6">
        <v>20.46</v>
      </c>
      <c r="N15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88" s="7">
        <v>45875</v>
      </c>
      <c r="P1588">
        <v>11</v>
      </c>
      <c r="Q1588" s="16" t="str">
        <f>IF(Table1[[#This Row],[stock_quantity]]=0,"NO STOCK",
IF(Table1[[#This Row],[stock_quantity]]&lt;=10,"LOW STOCK",
"IN STOCK"))</f>
        <v>IN STOCK</v>
      </c>
      <c r="R1588" s="1">
        <f t="shared" si="98"/>
        <v>2.9</v>
      </c>
      <c r="S1588">
        <v>2.9</v>
      </c>
      <c r="T1588" t="b">
        <v>0</v>
      </c>
      <c r="U1588" t="str">
        <f t="shared" si="99"/>
        <v>No Return</v>
      </c>
    </row>
    <row r="1589" spans="1:22" hidden="1" x14ac:dyDescent="0.3">
      <c r="A1589" t="s">
        <v>1642</v>
      </c>
      <c r="B1589" t="s">
        <v>27</v>
      </c>
      <c r="C1589" t="s">
        <v>22</v>
      </c>
      <c r="D1589" t="s">
        <v>23</v>
      </c>
      <c r="E1589" t="str">
        <f t="shared" si="96"/>
        <v>XXL</v>
      </c>
      <c r="G1589" t="s">
        <v>64</v>
      </c>
      <c r="H1589" s="8">
        <v>65.97</v>
      </c>
      <c r="I1589" s="3">
        <f t="shared" si="97"/>
        <v>6.8000000000000005E-2</v>
      </c>
      <c r="J1589" s="4">
        <v>6.8</v>
      </c>
      <c r="K1589" s="11">
        <f>Table1[[#This Row],[original_price]]* (Table1[[#This Row],[Markdown percentage updated]])</f>
        <v>4.4859600000000004</v>
      </c>
      <c r="L15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89" s="6">
        <v>61.48</v>
      </c>
      <c r="N15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89" s="7">
        <v>45875</v>
      </c>
      <c r="P1589">
        <v>41</v>
      </c>
      <c r="Q1589" s="16" t="str">
        <f>IF(Table1[[#This Row],[stock_quantity]]=0,"NO STOCK",
IF(Table1[[#This Row],[stock_quantity]]&lt;=10,"LOW STOCK",
"IN STOCK"))</f>
        <v>IN STOCK</v>
      </c>
      <c r="R1589" s="1">
        <f t="shared" si="98"/>
        <v>4.3</v>
      </c>
      <c r="S1589">
        <v>4.3</v>
      </c>
      <c r="T1589" t="b">
        <v>0</v>
      </c>
      <c r="U1589" t="str">
        <f t="shared" si="99"/>
        <v>No Return</v>
      </c>
    </row>
    <row r="1590" spans="1:22" hidden="1" x14ac:dyDescent="0.3">
      <c r="A1590" t="s">
        <v>1643</v>
      </c>
      <c r="B1590" t="s">
        <v>21</v>
      </c>
      <c r="C1590" t="s">
        <v>48</v>
      </c>
      <c r="D1590" t="s">
        <v>17</v>
      </c>
      <c r="E1590" t="str">
        <f t="shared" si="96"/>
        <v>XXL</v>
      </c>
      <c r="F1590" t="s">
        <v>24</v>
      </c>
      <c r="G1590" t="s">
        <v>46</v>
      </c>
      <c r="H1590" s="8">
        <v>47.25</v>
      </c>
      <c r="I1590" s="3">
        <f t="shared" si="97"/>
        <v>0.28999999999999998</v>
      </c>
      <c r="J1590" s="4">
        <v>29</v>
      </c>
      <c r="K1590" s="11">
        <f>Table1[[#This Row],[original_price]]* (Table1[[#This Row],[Markdown percentage updated]])</f>
        <v>13.702499999999999</v>
      </c>
      <c r="L15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590" s="6">
        <v>33.549999999999997</v>
      </c>
      <c r="N15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590" s="7">
        <v>45828</v>
      </c>
      <c r="P1590">
        <v>38</v>
      </c>
      <c r="Q1590" s="16" t="str">
        <f>IF(Table1[[#This Row],[stock_quantity]]=0,"NO STOCK",
IF(Table1[[#This Row],[stock_quantity]]&lt;=10,"LOW STOCK",
"IN STOCK"))</f>
        <v>IN STOCK</v>
      </c>
      <c r="R1590" s="1">
        <f t="shared" si="98"/>
        <v>5</v>
      </c>
      <c r="S1590">
        <v>5</v>
      </c>
      <c r="T1590" t="b">
        <v>0</v>
      </c>
      <c r="U1590" t="str">
        <f t="shared" si="99"/>
        <v>No Return</v>
      </c>
    </row>
    <row r="1591" spans="1:22" hidden="1" x14ac:dyDescent="0.3">
      <c r="A1591" t="s">
        <v>1644</v>
      </c>
      <c r="B1591" t="s">
        <v>21</v>
      </c>
      <c r="C1591" t="s">
        <v>75</v>
      </c>
      <c r="D1591" t="s">
        <v>17</v>
      </c>
      <c r="E1591" t="str">
        <f t="shared" si="96"/>
        <v>OS</v>
      </c>
      <c r="F1591" t="s">
        <v>55</v>
      </c>
      <c r="G1591" t="s">
        <v>46</v>
      </c>
      <c r="H1591" s="8">
        <v>93.74</v>
      </c>
      <c r="I1591" s="3">
        <f t="shared" si="97"/>
        <v>0</v>
      </c>
      <c r="J1591" s="4">
        <v>0</v>
      </c>
      <c r="K1591" s="11">
        <f>Table1[[#This Row],[original_price]]* (Table1[[#This Row],[Markdown percentage updated]])</f>
        <v>0</v>
      </c>
      <c r="L15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91" s="6">
        <v>93.74</v>
      </c>
      <c r="N15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91" s="7">
        <v>45653</v>
      </c>
      <c r="P1591">
        <v>39</v>
      </c>
      <c r="Q1591" s="16" t="str">
        <f>IF(Table1[[#This Row],[stock_quantity]]=0,"NO STOCK",
IF(Table1[[#This Row],[stock_quantity]]&lt;=10,"LOW STOCK",
"IN STOCK"))</f>
        <v>IN STOCK</v>
      </c>
      <c r="R1591" s="1">
        <f t="shared" si="98"/>
        <v>4</v>
      </c>
      <c r="S1591">
        <v>4</v>
      </c>
      <c r="T1591" t="b">
        <v>0</v>
      </c>
      <c r="U1591" t="str">
        <f t="shared" si="99"/>
        <v>No Return</v>
      </c>
    </row>
    <row r="1592" spans="1:22" hidden="1" x14ac:dyDescent="0.3">
      <c r="A1592" t="s">
        <v>1645</v>
      </c>
      <c r="B1592" t="s">
        <v>38</v>
      </c>
      <c r="C1592" t="s">
        <v>75</v>
      </c>
      <c r="D1592" t="s">
        <v>62</v>
      </c>
      <c r="E1592" t="str">
        <f t="shared" si="96"/>
        <v>XXL</v>
      </c>
      <c r="F1592" t="s">
        <v>49</v>
      </c>
      <c r="G1592" t="s">
        <v>35</v>
      </c>
      <c r="H1592" s="8">
        <v>31.57</v>
      </c>
      <c r="I1592" s="3">
        <f t="shared" si="97"/>
        <v>0</v>
      </c>
      <c r="J1592" s="4">
        <v>0</v>
      </c>
      <c r="K1592" s="11">
        <f>Table1[[#This Row],[original_price]]* (Table1[[#This Row],[Markdown percentage updated]])</f>
        <v>0</v>
      </c>
      <c r="L15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92" s="6">
        <v>31.57</v>
      </c>
      <c r="N15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92" s="7">
        <v>45875</v>
      </c>
      <c r="P1592">
        <v>2</v>
      </c>
      <c r="Q1592" s="17" t="str">
        <f>IF(Table1[[#This Row],[stock_quantity]]=0,"NO STOCK",
IF(Table1[[#This Row],[stock_quantity]]&lt;=10,"LOW STOCK",
"IN STOCK"))</f>
        <v>LOW STOCK</v>
      </c>
      <c r="R1592" s="1">
        <f t="shared" si="98"/>
        <v>0</v>
      </c>
      <c r="T1592" t="b">
        <v>0</v>
      </c>
      <c r="U1592" t="str">
        <f t="shared" si="99"/>
        <v>No Return</v>
      </c>
    </row>
    <row r="1593" spans="1:22" hidden="1" x14ac:dyDescent="0.3">
      <c r="A1593" t="s">
        <v>1646</v>
      </c>
      <c r="B1593" t="s">
        <v>38</v>
      </c>
      <c r="C1593" t="s">
        <v>32</v>
      </c>
      <c r="D1593" t="s">
        <v>23</v>
      </c>
      <c r="E1593" t="str">
        <f t="shared" si="96"/>
        <v>M</v>
      </c>
      <c r="F1593" t="s">
        <v>49</v>
      </c>
      <c r="G1593" t="s">
        <v>70</v>
      </c>
      <c r="H1593" s="8">
        <v>64.209999999999994</v>
      </c>
      <c r="I1593" s="3">
        <f t="shared" si="97"/>
        <v>0</v>
      </c>
      <c r="J1593" s="4">
        <v>0</v>
      </c>
      <c r="K1593" s="11">
        <f>Table1[[#This Row],[original_price]]* (Table1[[#This Row],[Markdown percentage updated]])</f>
        <v>0</v>
      </c>
      <c r="L15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93" s="6">
        <v>64.209999999999994</v>
      </c>
      <c r="N15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93" s="7">
        <v>45875</v>
      </c>
      <c r="P1593">
        <v>3</v>
      </c>
      <c r="Q1593" s="17" t="str">
        <f>IF(Table1[[#This Row],[stock_quantity]]=0,"NO STOCK",
IF(Table1[[#This Row],[stock_quantity]]&lt;=10,"LOW STOCK",
"IN STOCK"))</f>
        <v>LOW STOCK</v>
      </c>
      <c r="R1593" s="1">
        <f t="shared" si="98"/>
        <v>2.8</v>
      </c>
      <c r="S1593">
        <v>2.8</v>
      </c>
      <c r="T1593" t="b">
        <v>0</v>
      </c>
      <c r="U1593" t="str">
        <f t="shared" si="99"/>
        <v>No Return</v>
      </c>
    </row>
    <row r="1594" spans="1:22" hidden="1" x14ac:dyDescent="0.3">
      <c r="A1594" t="s">
        <v>1647</v>
      </c>
      <c r="B1594" t="s">
        <v>27</v>
      </c>
      <c r="C1594" t="s">
        <v>32</v>
      </c>
      <c r="D1594" t="s">
        <v>23</v>
      </c>
      <c r="E1594" t="str">
        <f t="shared" si="96"/>
        <v>S</v>
      </c>
      <c r="G1594" t="s">
        <v>46</v>
      </c>
      <c r="H1594" s="8">
        <v>56.13</v>
      </c>
      <c r="I1594" s="3">
        <f t="shared" si="97"/>
        <v>8.1000000000000003E-2</v>
      </c>
      <c r="J1594" s="4">
        <v>8.1</v>
      </c>
      <c r="K1594" s="11">
        <f>Table1[[#This Row],[original_price]]* (Table1[[#This Row],[Markdown percentage updated]])</f>
        <v>4.5465300000000006</v>
      </c>
      <c r="L15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594" s="6">
        <v>51.58</v>
      </c>
      <c r="N15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594" s="7">
        <v>45875</v>
      </c>
      <c r="P1594">
        <v>12</v>
      </c>
      <c r="Q1594" s="16" t="str">
        <f>IF(Table1[[#This Row],[stock_quantity]]=0,"NO STOCK",
IF(Table1[[#This Row],[stock_quantity]]&lt;=10,"LOW STOCK",
"IN STOCK"))</f>
        <v>IN STOCK</v>
      </c>
      <c r="R1594" s="1">
        <f t="shared" si="98"/>
        <v>3.8</v>
      </c>
      <c r="S1594">
        <v>3.8</v>
      </c>
      <c r="T1594" t="b">
        <v>0</v>
      </c>
      <c r="U1594" t="str">
        <f t="shared" si="99"/>
        <v>No Return</v>
      </c>
    </row>
    <row r="1595" spans="1:22" hidden="1" x14ac:dyDescent="0.3">
      <c r="A1595" t="s">
        <v>1648</v>
      </c>
      <c r="B1595" t="s">
        <v>21</v>
      </c>
      <c r="C1595" t="s">
        <v>22</v>
      </c>
      <c r="D1595" t="s">
        <v>62</v>
      </c>
      <c r="E1595" t="str">
        <f t="shared" si="96"/>
        <v>XL</v>
      </c>
      <c r="F1595" t="s">
        <v>49</v>
      </c>
      <c r="G1595" t="s">
        <v>56</v>
      </c>
      <c r="H1595" s="8">
        <v>70.89</v>
      </c>
      <c r="I1595" s="3">
        <f t="shared" si="97"/>
        <v>0</v>
      </c>
      <c r="J1595" s="4">
        <v>0</v>
      </c>
      <c r="K1595" s="11">
        <f>Table1[[#This Row],[original_price]]* (Table1[[#This Row],[Markdown percentage updated]])</f>
        <v>0</v>
      </c>
      <c r="L15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95" s="6">
        <v>70.89</v>
      </c>
      <c r="N15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95" s="7">
        <v>45875</v>
      </c>
      <c r="P1595">
        <v>14</v>
      </c>
      <c r="Q1595" s="16" t="str">
        <f>IF(Table1[[#This Row],[stock_quantity]]=0,"NO STOCK",
IF(Table1[[#This Row],[stock_quantity]]&lt;=10,"LOW STOCK",
"IN STOCK"))</f>
        <v>IN STOCK</v>
      </c>
      <c r="R1595" s="1">
        <f t="shared" si="98"/>
        <v>4.7</v>
      </c>
      <c r="S1595">
        <v>4.7</v>
      </c>
      <c r="T1595" t="b">
        <v>1</v>
      </c>
      <c r="U1595" s="13" t="str">
        <f t="shared" si="99"/>
        <v>Size Issue</v>
      </c>
      <c r="V1595" t="s">
        <v>73</v>
      </c>
    </row>
    <row r="1596" spans="1:22" hidden="1" x14ac:dyDescent="0.3">
      <c r="A1596" t="s">
        <v>1649</v>
      </c>
      <c r="B1596" t="s">
        <v>30</v>
      </c>
      <c r="C1596" t="s">
        <v>32</v>
      </c>
      <c r="D1596" t="s">
        <v>23</v>
      </c>
      <c r="E1596" t="str">
        <f t="shared" si="96"/>
        <v>M</v>
      </c>
      <c r="F1596" t="s">
        <v>58</v>
      </c>
      <c r="G1596" t="s">
        <v>66</v>
      </c>
      <c r="H1596" s="8">
        <v>149.65</v>
      </c>
      <c r="I1596" s="3">
        <f t="shared" si="97"/>
        <v>0</v>
      </c>
      <c r="J1596" s="4">
        <v>0</v>
      </c>
      <c r="K1596" s="11">
        <f>Table1[[#This Row],[original_price]]* (Table1[[#This Row],[Markdown percentage updated]])</f>
        <v>0</v>
      </c>
      <c r="L15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96" s="6">
        <v>149.65</v>
      </c>
      <c r="N15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96" s="7">
        <v>45875</v>
      </c>
      <c r="P1596">
        <v>26</v>
      </c>
      <c r="Q1596" s="16" t="str">
        <f>IF(Table1[[#This Row],[stock_quantity]]=0,"NO STOCK",
IF(Table1[[#This Row],[stock_quantity]]&lt;=10,"LOW STOCK",
"IN STOCK"))</f>
        <v>IN STOCK</v>
      </c>
      <c r="R1596" s="1">
        <f t="shared" si="98"/>
        <v>3.8</v>
      </c>
      <c r="S1596">
        <v>3.8</v>
      </c>
      <c r="T1596" t="b">
        <v>0</v>
      </c>
      <c r="U1596" t="str">
        <f t="shared" si="99"/>
        <v>No Return</v>
      </c>
    </row>
    <row r="1597" spans="1:22" hidden="1" x14ac:dyDescent="0.3">
      <c r="A1597" t="s">
        <v>1650</v>
      </c>
      <c r="B1597" t="s">
        <v>30</v>
      </c>
      <c r="C1597" t="s">
        <v>16</v>
      </c>
      <c r="D1597" t="s">
        <v>17</v>
      </c>
      <c r="E1597" t="str">
        <f t="shared" si="96"/>
        <v>M</v>
      </c>
      <c r="F1597" t="s">
        <v>39</v>
      </c>
      <c r="G1597" t="s">
        <v>35</v>
      </c>
      <c r="H1597" s="8">
        <v>83.17</v>
      </c>
      <c r="I1597" s="3">
        <f t="shared" si="97"/>
        <v>0</v>
      </c>
      <c r="J1597" s="4">
        <v>0</v>
      </c>
      <c r="K1597" s="11">
        <f>Table1[[#This Row],[original_price]]* (Table1[[#This Row],[Markdown percentage updated]])</f>
        <v>0</v>
      </c>
      <c r="L15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97" s="6">
        <v>83.17</v>
      </c>
      <c r="N15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97" s="7">
        <v>45538</v>
      </c>
      <c r="P1597">
        <v>48</v>
      </c>
      <c r="Q1597" s="16" t="str">
        <f>IF(Table1[[#This Row],[stock_quantity]]=0,"NO STOCK",
IF(Table1[[#This Row],[stock_quantity]]&lt;=10,"LOW STOCK",
"IN STOCK"))</f>
        <v>IN STOCK</v>
      </c>
      <c r="R1597" s="1">
        <f t="shared" si="98"/>
        <v>3.2</v>
      </c>
      <c r="S1597">
        <v>3.2</v>
      </c>
      <c r="T1597" t="b">
        <v>0</v>
      </c>
      <c r="U1597" t="str">
        <f t="shared" si="99"/>
        <v>No Return</v>
      </c>
    </row>
    <row r="1598" spans="1:22" hidden="1" x14ac:dyDescent="0.3">
      <c r="A1598" t="s">
        <v>1651</v>
      </c>
      <c r="B1598" t="s">
        <v>15</v>
      </c>
      <c r="C1598" t="s">
        <v>48</v>
      </c>
      <c r="D1598" t="s">
        <v>34</v>
      </c>
      <c r="E1598" t="str">
        <f t="shared" si="96"/>
        <v>XS</v>
      </c>
      <c r="F1598" t="s">
        <v>18</v>
      </c>
      <c r="G1598" t="s">
        <v>44</v>
      </c>
      <c r="H1598" s="8">
        <v>121.56</v>
      </c>
      <c r="I1598" s="3">
        <f t="shared" si="97"/>
        <v>0</v>
      </c>
      <c r="J1598" s="4">
        <v>0</v>
      </c>
      <c r="K1598" s="11">
        <f>Table1[[#This Row],[original_price]]* (Table1[[#This Row],[Markdown percentage updated]])</f>
        <v>0</v>
      </c>
      <c r="L15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98" s="6">
        <v>121.56</v>
      </c>
      <c r="N15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98" s="7">
        <v>45875</v>
      </c>
      <c r="P1598">
        <v>18</v>
      </c>
      <c r="Q1598" s="16" t="str">
        <f>IF(Table1[[#This Row],[stock_quantity]]=0,"NO STOCK",
IF(Table1[[#This Row],[stock_quantity]]&lt;=10,"LOW STOCK",
"IN STOCK"))</f>
        <v>IN STOCK</v>
      </c>
      <c r="R1598" s="1">
        <f t="shared" si="98"/>
        <v>3.3</v>
      </c>
      <c r="S1598">
        <v>3.3</v>
      </c>
      <c r="T1598" t="b">
        <v>0</v>
      </c>
      <c r="U1598" t="str">
        <f t="shared" si="99"/>
        <v>No Return</v>
      </c>
    </row>
    <row r="1599" spans="1:22" hidden="1" x14ac:dyDescent="0.3">
      <c r="A1599" t="s">
        <v>1652</v>
      </c>
      <c r="B1599" t="s">
        <v>38</v>
      </c>
      <c r="C1599" t="s">
        <v>16</v>
      </c>
      <c r="D1599" t="s">
        <v>23</v>
      </c>
      <c r="E1599" t="str">
        <f t="shared" si="96"/>
        <v>M</v>
      </c>
      <c r="F1599" t="s">
        <v>58</v>
      </c>
      <c r="G1599" t="s">
        <v>66</v>
      </c>
      <c r="H1599" s="8">
        <v>48.62</v>
      </c>
      <c r="I1599" s="3">
        <f t="shared" si="97"/>
        <v>0</v>
      </c>
      <c r="J1599" s="4">
        <v>0</v>
      </c>
      <c r="K1599" s="11">
        <f>Table1[[#This Row],[original_price]]* (Table1[[#This Row],[Markdown percentage updated]])</f>
        <v>0</v>
      </c>
      <c r="L15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599" s="6">
        <v>48.62</v>
      </c>
      <c r="N15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599" s="7">
        <v>45875</v>
      </c>
      <c r="P1599">
        <v>3</v>
      </c>
      <c r="Q1599" s="17" t="str">
        <f>IF(Table1[[#This Row],[stock_quantity]]=0,"NO STOCK",
IF(Table1[[#This Row],[stock_quantity]]&lt;=10,"LOW STOCK",
"IN STOCK"))</f>
        <v>LOW STOCK</v>
      </c>
      <c r="R1599" s="1">
        <f t="shared" si="98"/>
        <v>0</v>
      </c>
      <c r="T1599" t="b">
        <v>1</v>
      </c>
      <c r="U1599" s="13" t="str">
        <f t="shared" si="99"/>
        <v>Damaged</v>
      </c>
      <c r="V1599" t="s">
        <v>78</v>
      </c>
    </row>
    <row r="1600" spans="1:22" hidden="1" x14ac:dyDescent="0.3">
      <c r="A1600" t="s">
        <v>1653</v>
      </c>
      <c r="B1600" t="s">
        <v>42</v>
      </c>
      <c r="C1600" t="s">
        <v>53</v>
      </c>
      <c r="D1600" t="s">
        <v>23</v>
      </c>
      <c r="E1600" t="str">
        <f t="shared" si="96"/>
        <v>OS</v>
      </c>
      <c r="F1600" t="s">
        <v>58</v>
      </c>
      <c r="G1600" t="s">
        <v>44</v>
      </c>
      <c r="H1600" s="8">
        <v>79.040000000000006</v>
      </c>
      <c r="I1600" s="3">
        <f t="shared" si="97"/>
        <v>0</v>
      </c>
      <c r="J1600" s="4">
        <v>0</v>
      </c>
      <c r="K1600" s="11">
        <f>Table1[[#This Row],[original_price]]* (Table1[[#This Row],[Markdown percentage updated]])</f>
        <v>0</v>
      </c>
      <c r="L16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00" s="6">
        <v>79.040000000000006</v>
      </c>
      <c r="N16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00" s="7">
        <v>45875</v>
      </c>
      <c r="P1600">
        <v>4</v>
      </c>
      <c r="Q1600" s="17" t="str">
        <f>IF(Table1[[#This Row],[stock_quantity]]=0,"NO STOCK",
IF(Table1[[#This Row],[stock_quantity]]&lt;=10,"LOW STOCK",
"IN STOCK"))</f>
        <v>LOW STOCK</v>
      </c>
      <c r="R1600" s="1">
        <f t="shared" si="98"/>
        <v>4.0999999999999996</v>
      </c>
      <c r="S1600">
        <v>4.0999999999999996</v>
      </c>
      <c r="T1600" t="b">
        <v>0</v>
      </c>
      <c r="U1600" t="str">
        <f t="shared" si="99"/>
        <v>No Return</v>
      </c>
    </row>
    <row r="1601" spans="1:22" hidden="1" x14ac:dyDescent="0.3">
      <c r="A1601" t="s">
        <v>1654</v>
      </c>
      <c r="B1601" t="s">
        <v>15</v>
      </c>
      <c r="C1601" t="s">
        <v>43</v>
      </c>
      <c r="D1601" t="s">
        <v>17</v>
      </c>
      <c r="E1601" t="str">
        <f t="shared" si="96"/>
        <v>OS</v>
      </c>
      <c r="F1601" t="s">
        <v>55</v>
      </c>
      <c r="G1601" t="s">
        <v>40</v>
      </c>
      <c r="H1601" s="8">
        <v>198.58</v>
      </c>
      <c r="I1601" s="3">
        <f t="shared" si="97"/>
        <v>0</v>
      </c>
      <c r="J1601" s="4">
        <v>0</v>
      </c>
      <c r="K1601" s="11">
        <f>Table1[[#This Row],[original_price]]* (Table1[[#This Row],[Markdown percentage updated]])</f>
        <v>0</v>
      </c>
      <c r="L16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01" s="6">
        <v>198.58</v>
      </c>
      <c r="N16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01" s="7">
        <v>45681</v>
      </c>
      <c r="P1601">
        <v>46</v>
      </c>
      <c r="Q1601" s="16" t="str">
        <f>IF(Table1[[#This Row],[stock_quantity]]=0,"NO STOCK",
IF(Table1[[#This Row],[stock_quantity]]&lt;=10,"LOW STOCK",
"IN STOCK"))</f>
        <v>IN STOCK</v>
      </c>
      <c r="R1601" s="1">
        <f t="shared" si="98"/>
        <v>0</v>
      </c>
      <c r="T1601" t="b">
        <v>0</v>
      </c>
      <c r="U1601" t="str">
        <f t="shared" si="99"/>
        <v>No Return</v>
      </c>
    </row>
    <row r="1602" spans="1:22" hidden="1" x14ac:dyDescent="0.3">
      <c r="A1602" t="s">
        <v>1655</v>
      </c>
      <c r="B1602" t="s">
        <v>15</v>
      </c>
      <c r="C1602" t="s">
        <v>32</v>
      </c>
      <c r="D1602" t="s">
        <v>62</v>
      </c>
      <c r="E1602" t="str">
        <f t="shared" ref="E1602:E1665" si="100">IF(ISBLANK(F1605),"OS",F1605)</f>
        <v>XS</v>
      </c>
      <c r="F1602" t="s">
        <v>58</v>
      </c>
      <c r="G1602" t="s">
        <v>46</v>
      </c>
      <c r="H1602" s="8">
        <v>109.82</v>
      </c>
      <c r="I1602" s="3">
        <f t="shared" ref="I1602:I1665" si="101">J1602/100</f>
        <v>0</v>
      </c>
      <c r="J1602" s="4">
        <v>0</v>
      </c>
      <c r="K1602" s="11">
        <f>Table1[[#This Row],[original_price]]* (Table1[[#This Row],[Markdown percentage updated]])</f>
        <v>0</v>
      </c>
      <c r="L16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02" s="6">
        <v>109.82</v>
      </c>
      <c r="N16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02" s="7">
        <v>45875</v>
      </c>
      <c r="P1602">
        <v>32</v>
      </c>
      <c r="Q1602" s="16" t="str">
        <f>IF(Table1[[#This Row],[stock_quantity]]=0,"NO STOCK",
IF(Table1[[#This Row],[stock_quantity]]&lt;=10,"LOW STOCK",
"IN STOCK"))</f>
        <v>IN STOCK</v>
      </c>
      <c r="R1602" s="1">
        <f t="shared" si="98"/>
        <v>2.2999999999999998</v>
      </c>
      <c r="S1602">
        <v>2.2999999999999998</v>
      </c>
      <c r="T1602" t="b">
        <v>0</v>
      </c>
      <c r="U1602" t="str">
        <f t="shared" si="99"/>
        <v>No Return</v>
      </c>
    </row>
    <row r="1603" spans="1:22" hidden="1" x14ac:dyDescent="0.3">
      <c r="A1603" t="s">
        <v>1656</v>
      </c>
      <c r="B1603" t="s">
        <v>27</v>
      </c>
      <c r="C1603" t="s">
        <v>32</v>
      </c>
      <c r="D1603" t="s">
        <v>62</v>
      </c>
      <c r="E1603" t="str">
        <f t="shared" si="100"/>
        <v>XL</v>
      </c>
      <c r="G1603" t="s">
        <v>19</v>
      </c>
      <c r="H1603" s="8">
        <v>34.42</v>
      </c>
      <c r="I1603" s="3">
        <f t="shared" si="101"/>
        <v>0.495</v>
      </c>
      <c r="J1603" s="4">
        <v>49.5</v>
      </c>
      <c r="K1603" s="11">
        <f>Table1[[#This Row],[original_price]]* (Table1[[#This Row],[Markdown percentage updated]])</f>
        <v>17.0379</v>
      </c>
      <c r="L16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03" s="6">
        <v>17.38</v>
      </c>
      <c r="N16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03" s="7">
        <v>45875</v>
      </c>
      <c r="P1603">
        <v>26</v>
      </c>
      <c r="Q1603" s="16" t="str">
        <f>IF(Table1[[#This Row],[stock_quantity]]=0,"NO STOCK",
IF(Table1[[#This Row],[stock_quantity]]&lt;=10,"LOW STOCK",
"IN STOCK"))</f>
        <v>IN STOCK</v>
      </c>
      <c r="R1603" s="1">
        <f t="shared" ref="R1603:R1666" si="102">IF(ISBLANK(S1603), 0, S1603)</f>
        <v>2.2000000000000002</v>
      </c>
      <c r="S1603">
        <v>2.2000000000000002</v>
      </c>
      <c r="T1603" t="b">
        <v>0</v>
      </c>
      <c r="U1603" t="str">
        <f t="shared" ref="U1603:U1666" si="103">IF(V1603="","No Return",V1603)</f>
        <v>No Return</v>
      </c>
    </row>
    <row r="1604" spans="1:22" hidden="1" x14ac:dyDescent="0.3">
      <c r="A1604" t="s">
        <v>1657</v>
      </c>
      <c r="B1604" t="s">
        <v>30</v>
      </c>
      <c r="C1604" t="s">
        <v>16</v>
      </c>
      <c r="D1604" t="s">
        <v>23</v>
      </c>
      <c r="E1604" t="str">
        <f t="shared" si="100"/>
        <v>XXL</v>
      </c>
      <c r="G1604" t="s">
        <v>40</v>
      </c>
      <c r="H1604" s="8">
        <v>112.1</v>
      </c>
      <c r="I1604" s="3">
        <f t="shared" si="101"/>
        <v>0</v>
      </c>
      <c r="J1604" s="4">
        <v>0</v>
      </c>
      <c r="K1604" s="11">
        <f>Table1[[#This Row],[original_price]]* (Table1[[#This Row],[Markdown percentage updated]])</f>
        <v>0</v>
      </c>
      <c r="L16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04" s="6">
        <v>112.1</v>
      </c>
      <c r="N16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04" s="7">
        <v>45875</v>
      </c>
      <c r="P1604">
        <v>5</v>
      </c>
      <c r="Q1604" s="17" t="str">
        <f>IF(Table1[[#This Row],[stock_quantity]]=0,"NO STOCK",
IF(Table1[[#This Row],[stock_quantity]]&lt;=10,"LOW STOCK",
"IN STOCK"))</f>
        <v>LOW STOCK</v>
      </c>
      <c r="R1604" s="1">
        <f t="shared" si="102"/>
        <v>2</v>
      </c>
      <c r="S1604">
        <v>2</v>
      </c>
      <c r="T1604" t="b">
        <v>1</v>
      </c>
      <c r="U1604" s="13" t="str">
        <f t="shared" si="103"/>
        <v>Color Mismatch</v>
      </c>
      <c r="V1604" t="s">
        <v>36</v>
      </c>
    </row>
    <row r="1605" spans="1:22" hidden="1" x14ac:dyDescent="0.3">
      <c r="A1605" t="s">
        <v>1658</v>
      </c>
      <c r="B1605" t="s">
        <v>38</v>
      </c>
      <c r="C1605" t="s">
        <v>61</v>
      </c>
      <c r="D1605" t="s">
        <v>34</v>
      </c>
      <c r="E1605" t="str">
        <f t="shared" si="100"/>
        <v>XS</v>
      </c>
      <c r="F1605" t="s">
        <v>55</v>
      </c>
      <c r="G1605" t="s">
        <v>35</v>
      </c>
      <c r="H1605" s="8">
        <v>25.07</v>
      </c>
      <c r="I1605" s="3">
        <f t="shared" si="101"/>
        <v>0</v>
      </c>
      <c r="J1605" s="4">
        <v>0</v>
      </c>
      <c r="K1605" s="11">
        <f>Table1[[#This Row],[original_price]]* (Table1[[#This Row],[Markdown percentage updated]])</f>
        <v>0</v>
      </c>
      <c r="L16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05" s="6">
        <v>25.07</v>
      </c>
      <c r="N16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05" s="7">
        <v>45875</v>
      </c>
      <c r="P1605">
        <v>9</v>
      </c>
      <c r="Q1605" s="17" t="str">
        <f>IF(Table1[[#This Row],[stock_quantity]]=0,"NO STOCK",
IF(Table1[[#This Row],[stock_quantity]]&lt;=10,"LOW STOCK",
"IN STOCK"))</f>
        <v>LOW STOCK</v>
      </c>
      <c r="R1605" s="1">
        <f t="shared" si="102"/>
        <v>2.5</v>
      </c>
      <c r="S1605">
        <v>2.5</v>
      </c>
      <c r="T1605" t="b">
        <v>0</v>
      </c>
      <c r="U1605" t="str">
        <f t="shared" si="103"/>
        <v>No Return</v>
      </c>
    </row>
    <row r="1606" spans="1:22" hidden="1" x14ac:dyDescent="0.3">
      <c r="A1606" t="s">
        <v>1659</v>
      </c>
      <c r="B1606" t="s">
        <v>42</v>
      </c>
      <c r="C1606" t="s">
        <v>22</v>
      </c>
      <c r="D1606" t="s">
        <v>17</v>
      </c>
      <c r="E1606" t="str">
        <f t="shared" si="100"/>
        <v>OS</v>
      </c>
      <c r="F1606" t="s">
        <v>18</v>
      </c>
      <c r="G1606" t="s">
        <v>46</v>
      </c>
      <c r="H1606" s="8">
        <v>170.38</v>
      </c>
      <c r="I1606" s="3">
        <f t="shared" si="101"/>
        <v>0</v>
      </c>
      <c r="J1606" s="4">
        <v>0</v>
      </c>
      <c r="K1606" s="11">
        <f>Table1[[#This Row],[original_price]]* (Table1[[#This Row],[Markdown percentage updated]])</f>
        <v>0</v>
      </c>
      <c r="L16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06" s="6">
        <v>170.38</v>
      </c>
      <c r="N16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06" s="7">
        <v>45540</v>
      </c>
      <c r="P1606">
        <v>23</v>
      </c>
      <c r="Q1606" s="16" t="str">
        <f>IF(Table1[[#This Row],[stock_quantity]]=0,"NO STOCK",
IF(Table1[[#This Row],[stock_quantity]]&lt;=10,"LOW STOCK",
"IN STOCK"))</f>
        <v>IN STOCK</v>
      </c>
      <c r="R1606" s="1">
        <f t="shared" si="102"/>
        <v>4.3</v>
      </c>
      <c r="S1606">
        <v>4.3</v>
      </c>
      <c r="T1606" t="b">
        <v>0</v>
      </c>
      <c r="U1606" t="str">
        <f t="shared" si="103"/>
        <v>No Return</v>
      </c>
    </row>
    <row r="1607" spans="1:22" hidden="1" x14ac:dyDescent="0.3">
      <c r="A1607" t="s">
        <v>1660</v>
      </c>
      <c r="B1607" t="s">
        <v>42</v>
      </c>
      <c r="C1607" t="s">
        <v>43</v>
      </c>
      <c r="D1607" t="s">
        <v>23</v>
      </c>
      <c r="E1607" t="str">
        <f t="shared" si="100"/>
        <v>XL</v>
      </c>
      <c r="F1607" t="s">
        <v>49</v>
      </c>
      <c r="G1607" t="s">
        <v>46</v>
      </c>
      <c r="H1607" s="8">
        <v>77.319999999999993</v>
      </c>
      <c r="I1607" s="3">
        <f t="shared" si="101"/>
        <v>0</v>
      </c>
      <c r="J1607" s="4">
        <v>0</v>
      </c>
      <c r="K1607" s="11">
        <f>Table1[[#This Row],[original_price]]* (Table1[[#This Row],[Markdown percentage updated]])</f>
        <v>0</v>
      </c>
      <c r="L16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07" s="6">
        <v>77.319999999999993</v>
      </c>
      <c r="N16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07" s="7">
        <v>45875</v>
      </c>
      <c r="P1607">
        <v>30</v>
      </c>
      <c r="Q1607" s="16" t="str">
        <f>IF(Table1[[#This Row],[stock_quantity]]=0,"NO STOCK",
IF(Table1[[#This Row],[stock_quantity]]&lt;=10,"LOW STOCK",
"IN STOCK"))</f>
        <v>IN STOCK</v>
      </c>
      <c r="R1607" s="1">
        <f t="shared" si="102"/>
        <v>2.2000000000000002</v>
      </c>
      <c r="S1607">
        <v>2.2000000000000002</v>
      </c>
      <c r="T1607" t="b">
        <v>1</v>
      </c>
      <c r="U1607" s="13" t="str">
        <f t="shared" si="103"/>
        <v>Color Mismatch</v>
      </c>
      <c r="V1607" t="s">
        <v>36</v>
      </c>
    </row>
    <row r="1608" spans="1:22" hidden="1" x14ac:dyDescent="0.3">
      <c r="A1608" t="s">
        <v>1661</v>
      </c>
      <c r="B1608" t="s">
        <v>30</v>
      </c>
      <c r="C1608" t="s">
        <v>43</v>
      </c>
      <c r="D1608" t="s">
        <v>23</v>
      </c>
      <c r="E1608" t="str">
        <f t="shared" si="100"/>
        <v>OS</v>
      </c>
      <c r="F1608" t="s">
        <v>55</v>
      </c>
      <c r="G1608" t="s">
        <v>28</v>
      </c>
      <c r="H1608" s="8">
        <v>111.88</v>
      </c>
      <c r="I1608" s="3">
        <f t="shared" si="101"/>
        <v>0</v>
      </c>
      <c r="J1608" s="4">
        <v>0</v>
      </c>
      <c r="K1608" s="11">
        <f>Table1[[#This Row],[original_price]]* (Table1[[#This Row],[Markdown percentage updated]])</f>
        <v>0</v>
      </c>
      <c r="L16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08" s="6">
        <v>111.88</v>
      </c>
      <c r="N16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08" s="7">
        <v>45875</v>
      </c>
      <c r="P1608">
        <v>17</v>
      </c>
      <c r="Q1608" s="16" t="str">
        <f>IF(Table1[[#This Row],[stock_quantity]]=0,"NO STOCK",
IF(Table1[[#This Row],[stock_quantity]]&lt;=10,"LOW STOCK",
"IN STOCK"))</f>
        <v>IN STOCK</v>
      </c>
      <c r="R1608" s="1">
        <f t="shared" si="102"/>
        <v>4.5999999999999996</v>
      </c>
      <c r="S1608">
        <v>4.5999999999999996</v>
      </c>
      <c r="T1608" t="b">
        <v>0</v>
      </c>
      <c r="U1608" t="str">
        <f t="shared" si="103"/>
        <v>No Return</v>
      </c>
    </row>
    <row r="1609" spans="1:22" hidden="1" x14ac:dyDescent="0.3">
      <c r="A1609" t="s">
        <v>1662</v>
      </c>
      <c r="B1609" t="s">
        <v>27</v>
      </c>
      <c r="C1609" t="s">
        <v>75</v>
      </c>
      <c r="D1609" t="s">
        <v>34</v>
      </c>
      <c r="E1609" t="str">
        <f t="shared" si="100"/>
        <v>OS</v>
      </c>
      <c r="G1609" t="s">
        <v>28</v>
      </c>
      <c r="H1609" s="8">
        <v>24.71</v>
      </c>
      <c r="I1609" s="3">
        <f t="shared" si="101"/>
        <v>0</v>
      </c>
      <c r="J1609" s="4">
        <v>0</v>
      </c>
      <c r="K1609" s="11">
        <f>Table1[[#This Row],[original_price]]* (Table1[[#This Row],[Markdown percentage updated]])</f>
        <v>0</v>
      </c>
      <c r="L16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09" s="6">
        <v>24.71</v>
      </c>
      <c r="N16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09" s="7">
        <v>45875</v>
      </c>
      <c r="P1609">
        <v>37</v>
      </c>
      <c r="Q1609" s="16" t="str">
        <f>IF(Table1[[#This Row],[stock_quantity]]=0,"NO STOCK",
IF(Table1[[#This Row],[stock_quantity]]&lt;=10,"LOW STOCK",
"IN STOCK"))</f>
        <v>IN STOCK</v>
      </c>
      <c r="R1609" s="1">
        <f t="shared" si="102"/>
        <v>0</v>
      </c>
      <c r="T1609" t="b">
        <v>0</v>
      </c>
      <c r="U1609" t="str">
        <f t="shared" si="103"/>
        <v>No Return</v>
      </c>
    </row>
    <row r="1610" spans="1:22" hidden="1" x14ac:dyDescent="0.3">
      <c r="A1610" t="s">
        <v>1663</v>
      </c>
      <c r="B1610" t="s">
        <v>21</v>
      </c>
      <c r="C1610" t="s">
        <v>22</v>
      </c>
      <c r="D1610" t="s">
        <v>17</v>
      </c>
      <c r="E1610" t="str">
        <f t="shared" si="100"/>
        <v>XL</v>
      </c>
      <c r="F1610" t="s">
        <v>18</v>
      </c>
      <c r="G1610" t="s">
        <v>19</v>
      </c>
      <c r="H1610" s="8">
        <v>61.42</v>
      </c>
      <c r="I1610" s="3">
        <f t="shared" si="101"/>
        <v>0</v>
      </c>
      <c r="J1610" s="4">
        <v>0</v>
      </c>
      <c r="K1610" s="11">
        <f>Table1[[#This Row],[original_price]]* (Table1[[#This Row],[Markdown percentage updated]])</f>
        <v>0</v>
      </c>
      <c r="L16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10" s="6">
        <v>61.42</v>
      </c>
      <c r="N16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10" s="7">
        <v>45526</v>
      </c>
      <c r="P1610">
        <v>41</v>
      </c>
      <c r="Q1610" s="16" t="str">
        <f>IF(Table1[[#This Row],[stock_quantity]]=0,"NO STOCK",
IF(Table1[[#This Row],[stock_quantity]]&lt;=10,"LOW STOCK",
"IN STOCK"))</f>
        <v>IN STOCK</v>
      </c>
      <c r="R1610" s="1">
        <f t="shared" si="102"/>
        <v>3.5</v>
      </c>
      <c r="S1610">
        <v>3.5</v>
      </c>
      <c r="T1610" t="b">
        <v>0</v>
      </c>
      <c r="U1610" t="str">
        <f t="shared" si="103"/>
        <v>No Return</v>
      </c>
    </row>
    <row r="1611" spans="1:22" hidden="1" x14ac:dyDescent="0.3">
      <c r="A1611" t="s">
        <v>1664</v>
      </c>
      <c r="B1611" t="s">
        <v>27</v>
      </c>
      <c r="C1611" t="s">
        <v>61</v>
      </c>
      <c r="D1611" t="s">
        <v>34</v>
      </c>
      <c r="E1611" t="str">
        <f t="shared" si="100"/>
        <v>XXL</v>
      </c>
      <c r="G1611" t="s">
        <v>44</v>
      </c>
      <c r="H1611" s="8">
        <v>60.48</v>
      </c>
      <c r="I1611" s="3">
        <f t="shared" si="101"/>
        <v>7.2999999999999995E-2</v>
      </c>
      <c r="J1611" s="4">
        <v>7.3</v>
      </c>
      <c r="K1611" s="11">
        <f>Table1[[#This Row],[original_price]]* (Table1[[#This Row],[Markdown percentage updated]])</f>
        <v>4.4150399999999994</v>
      </c>
      <c r="L16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11" s="6">
        <v>56.06</v>
      </c>
      <c r="N16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11" s="7">
        <v>45875</v>
      </c>
      <c r="P1611">
        <v>46</v>
      </c>
      <c r="Q1611" s="16" t="str">
        <f>IF(Table1[[#This Row],[stock_quantity]]=0,"NO STOCK",
IF(Table1[[#This Row],[stock_quantity]]&lt;=10,"LOW STOCK",
"IN STOCK"))</f>
        <v>IN STOCK</v>
      </c>
      <c r="R1611" s="1">
        <f t="shared" si="102"/>
        <v>3.6</v>
      </c>
      <c r="S1611">
        <v>3.6</v>
      </c>
      <c r="T1611" t="b">
        <v>0</v>
      </c>
      <c r="U1611" t="str">
        <f t="shared" si="103"/>
        <v>No Return</v>
      </c>
    </row>
    <row r="1612" spans="1:22" hidden="1" x14ac:dyDescent="0.3">
      <c r="A1612" t="s">
        <v>1665</v>
      </c>
      <c r="B1612" t="s">
        <v>27</v>
      </c>
      <c r="C1612" t="s">
        <v>43</v>
      </c>
      <c r="D1612" t="s">
        <v>34</v>
      </c>
      <c r="E1612" t="str">
        <f t="shared" si="100"/>
        <v>S</v>
      </c>
      <c r="G1612" t="s">
        <v>66</v>
      </c>
      <c r="H1612" s="8">
        <v>34.94</v>
      </c>
      <c r="I1612" s="3">
        <f t="shared" si="101"/>
        <v>5.2000000000000005E-2</v>
      </c>
      <c r="J1612" s="4">
        <v>5.2</v>
      </c>
      <c r="K1612" s="11">
        <f>Table1[[#This Row],[original_price]]* (Table1[[#This Row],[Markdown percentage updated]])</f>
        <v>1.8168800000000001</v>
      </c>
      <c r="L16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12" s="6">
        <v>33.119999999999997</v>
      </c>
      <c r="N16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12" s="7">
        <v>45875</v>
      </c>
      <c r="P1612">
        <v>18</v>
      </c>
      <c r="Q1612" s="16" t="str">
        <f>IF(Table1[[#This Row],[stock_quantity]]=0,"NO STOCK",
IF(Table1[[#This Row],[stock_quantity]]&lt;=10,"LOW STOCK",
"IN STOCK"))</f>
        <v>IN STOCK</v>
      </c>
      <c r="R1612" s="1">
        <f t="shared" si="102"/>
        <v>0</v>
      </c>
      <c r="T1612" t="b">
        <v>0</v>
      </c>
      <c r="U1612" t="str">
        <f t="shared" si="103"/>
        <v>No Return</v>
      </c>
    </row>
    <row r="1613" spans="1:22" hidden="1" x14ac:dyDescent="0.3">
      <c r="A1613" t="s">
        <v>1666</v>
      </c>
      <c r="B1613" t="s">
        <v>38</v>
      </c>
      <c r="C1613" t="s">
        <v>32</v>
      </c>
      <c r="D1613" t="s">
        <v>17</v>
      </c>
      <c r="E1613" t="str">
        <f t="shared" si="100"/>
        <v>S</v>
      </c>
      <c r="F1613" t="s">
        <v>18</v>
      </c>
      <c r="G1613" t="s">
        <v>19</v>
      </c>
      <c r="H1613" s="8">
        <v>30.51</v>
      </c>
      <c r="I1613" s="3">
        <f t="shared" si="101"/>
        <v>0</v>
      </c>
      <c r="J1613" s="4">
        <v>0</v>
      </c>
      <c r="K1613" s="11">
        <f>Table1[[#This Row],[original_price]]* (Table1[[#This Row],[Markdown percentage updated]])</f>
        <v>0</v>
      </c>
      <c r="L16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13" s="6">
        <v>30.51</v>
      </c>
      <c r="N16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13" s="7">
        <v>45671</v>
      </c>
      <c r="P1613">
        <v>17</v>
      </c>
      <c r="Q1613" s="16" t="str">
        <f>IF(Table1[[#This Row],[stock_quantity]]=0,"NO STOCK",
IF(Table1[[#This Row],[stock_quantity]]&lt;=10,"LOW STOCK",
"IN STOCK"))</f>
        <v>IN STOCK</v>
      </c>
      <c r="R1613" s="1">
        <f t="shared" si="102"/>
        <v>1.2</v>
      </c>
      <c r="S1613">
        <v>1.2</v>
      </c>
      <c r="T1613" t="b">
        <v>0</v>
      </c>
      <c r="U1613" t="str">
        <f t="shared" si="103"/>
        <v>No Return</v>
      </c>
    </row>
    <row r="1614" spans="1:22" hidden="1" x14ac:dyDescent="0.3">
      <c r="A1614" t="s">
        <v>1667</v>
      </c>
      <c r="B1614" t="s">
        <v>42</v>
      </c>
      <c r="C1614" t="s">
        <v>32</v>
      </c>
      <c r="D1614" t="s">
        <v>23</v>
      </c>
      <c r="E1614" t="str">
        <f t="shared" si="100"/>
        <v>S</v>
      </c>
      <c r="F1614" t="s">
        <v>49</v>
      </c>
      <c r="G1614" t="s">
        <v>64</v>
      </c>
      <c r="H1614" s="8">
        <v>65.540000000000006</v>
      </c>
      <c r="I1614" s="3">
        <f t="shared" si="101"/>
        <v>0.40299999999999997</v>
      </c>
      <c r="J1614" s="4">
        <v>40.299999999999997</v>
      </c>
      <c r="K1614" s="11">
        <f>Table1[[#This Row],[original_price]]* (Table1[[#This Row],[Markdown percentage updated]])</f>
        <v>26.41262</v>
      </c>
      <c r="L16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14" s="6">
        <v>39.130000000000003</v>
      </c>
      <c r="N16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14" s="7">
        <v>45875</v>
      </c>
      <c r="P1614">
        <v>27</v>
      </c>
      <c r="Q1614" s="16" t="str">
        <f>IF(Table1[[#This Row],[stock_quantity]]=0,"NO STOCK",
IF(Table1[[#This Row],[stock_quantity]]&lt;=10,"LOW STOCK",
"IN STOCK"))</f>
        <v>IN STOCK</v>
      </c>
      <c r="R1614" s="1">
        <f t="shared" si="102"/>
        <v>1.2</v>
      </c>
      <c r="S1614">
        <v>1.2</v>
      </c>
      <c r="T1614" t="b">
        <v>0</v>
      </c>
      <c r="U1614" t="str">
        <f t="shared" si="103"/>
        <v>No Return</v>
      </c>
    </row>
    <row r="1615" spans="1:22" hidden="1" x14ac:dyDescent="0.3">
      <c r="A1615" t="s">
        <v>1668</v>
      </c>
      <c r="B1615" t="s">
        <v>30</v>
      </c>
      <c r="C1615" t="s">
        <v>75</v>
      </c>
      <c r="D1615" t="s">
        <v>62</v>
      </c>
      <c r="E1615" t="str">
        <f t="shared" si="100"/>
        <v>XXL</v>
      </c>
      <c r="F1615" t="s">
        <v>39</v>
      </c>
      <c r="G1615" t="s">
        <v>56</v>
      </c>
      <c r="H1615" s="8">
        <v>114.37</v>
      </c>
      <c r="I1615" s="3">
        <f t="shared" si="101"/>
        <v>0.43200000000000005</v>
      </c>
      <c r="J1615" s="4">
        <v>43.2</v>
      </c>
      <c r="K1615" s="11">
        <f>Table1[[#This Row],[original_price]]* (Table1[[#This Row],[Markdown percentage updated]])</f>
        <v>49.407840000000007</v>
      </c>
      <c r="L16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15" s="6">
        <v>64.959999999999994</v>
      </c>
      <c r="N16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15" s="7">
        <v>45875</v>
      </c>
      <c r="P1615">
        <v>16</v>
      </c>
      <c r="Q1615" s="16" t="str">
        <f>IF(Table1[[#This Row],[stock_quantity]]=0,"NO STOCK",
IF(Table1[[#This Row],[stock_quantity]]&lt;=10,"LOW STOCK",
"IN STOCK"))</f>
        <v>IN STOCK</v>
      </c>
      <c r="R1615" s="1">
        <f t="shared" si="102"/>
        <v>1.4</v>
      </c>
      <c r="S1615">
        <v>1.4</v>
      </c>
      <c r="T1615" t="b">
        <v>0</v>
      </c>
      <c r="U1615" t="str">
        <f t="shared" si="103"/>
        <v>No Return</v>
      </c>
    </row>
    <row r="1616" spans="1:22" hidden="1" x14ac:dyDescent="0.3">
      <c r="A1616" t="s">
        <v>1669</v>
      </c>
      <c r="B1616" t="s">
        <v>42</v>
      </c>
      <c r="C1616" t="s">
        <v>43</v>
      </c>
      <c r="D1616" t="s">
        <v>17</v>
      </c>
      <c r="E1616" t="str">
        <f t="shared" si="100"/>
        <v>M</v>
      </c>
      <c r="F1616" t="s">
        <v>39</v>
      </c>
      <c r="G1616" t="s">
        <v>35</v>
      </c>
      <c r="H1616" s="8">
        <v>145.80000000000001</v>
      </c>
      <c r="I1616" s="3">
        <f t="shared" si="101"/>
        <v>0</v>
      </c>
      <c r="J1616" s="4">
        <v>0</v>
      </c>
      <c r="K1616" s="11">
        <f>Table1[[#This Row],[original_price]]* (Table1[[#This Row],[Markdown percentage updated]])</f>
        <v>0</v>
      </c>
      <c r="L16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16" s="6">
        <v>145.80000000000001</v>
      </c>
      <c r="N16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16" s="7">
        <v>45562</v>
      </c>
      <c r="P1616">
        <v>13</v>
      </c>
      <c r="Q1616" s="16" t="str">
        <f>IF(Table1[[#This Row],[stock_quantity]]=0,"NO STOCK",
IF(Table1[[#This Row],[stock_quantity]]&lt;=10,"LOW STOCK",
"IN STOCK"))</f>
        <v>IN STOCK</v>
      </c>
      <c r="R1616" s="1">
        <f t="shared" si="102"/>
        <v>4</v>
      </c>
      <c r="S1616">
        <v>4</v>
      </c>
      <c r="T1616" t="b">
        <v>0</v>
      </c>
      <c r="U1616" t="str">
        <f t="shared" si="103"/>
        <v>No Return</v>
      </c>
    </row>
    <row r="1617" spans="1:22" hidden="1" x14ac:dyDescent="0.3">
      <c r="A1617" t="s">
        <v>1670</v>
      </c>
      <c r="B1617" t="s">
        <v>30</v>
      </c>
      <c r="C1617" t="s">
        <v>16</v>
      </c>
      <c r="D1617" t="s">
        <v>62</v>
      </c>
      <c r="E1617" t="str">
        <f t="shared" si="100"/>
        <v>S</v>
      </c>
      <c r="F1617" t="s">
        <v>39</v>
      </c>
      <c r="G1617" t="s">
        <v>19</v>
      </c>
      <c r="H1617" s="8">
        <v>121.43</v>
      </c>
      <c r="I1617" s="3">
        <f t="shared" si="101"/>
        <v>0.441</v>
      </c>
      <c r="J1617" s="4">
        <v>44.1</v>
      </c>
      <c r="K1617" s="11">
        <f>Table1[[#This Row],[original_price]]* (Table1[[#This Row],[Markdown percentage updated]])</f>
        <v>53.550630000000005</v>
      </c>
      <c r="L16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17" s="6">
        <v>67.88</v>
      </c>
      <c r="N16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17" s="7">
        <v>45875</v>
      </c>
      <c r="P1617">
        <v>2</v>
      </c>
      <c r="Q1617" s="17" t="str">
        <f>IF(Table1[[#This Row],[stock_quantity]]=0,"NO STOCK",
IF(Table1[[#This Row],[stock_quantity]]&lt;=10,"LOW STOCK",
"IN STOCK"))</f>
        <v>LOW STOCK</v>
      </c>
      <c r="R1617" s="1">
        <f t="shared" si="102"/>
        <v>4.4000000000000004</v>
      </c>
      <c r="S1617">
        <v>4.4000000000000004</v>
      </c>
      <c r="T1617" t="b">
        <v>0</v>
      </c>
      <c r="U1617" t="str">
        <f t="shared" si="103"/>
        <v>No Return</v>
      </c>
    </row>
    <row r="1618" spans="1:22" hidden="1" x14ac:dyDescent="0.3">
      <c r="A1618" t="s">
        <v>1671</v>
      </c>
      <c r="B1618" t="s">
        <v>30</v>
      </c>
      <c r="C1618" t="s">
        <v>75</v>
      </c>
      <c r="D1618" t="s">
        <v>62</v>
      </c>
      <c r="E1618" t="str">
        <f t="shared" si="100"/>
        <v>XL</v>
      </c>
      <c r="F1618" t="s">
        <v>49</v>
      </c>
      <c r="G1618" t="s">
        <v>46</v>
      </c>
      <c r="H1618" s="8">
        <v>94.49</v>
      </c>
      <c r="I1618" s="3">
        <f t="shared" si="101"/>
        <v>0</v>
      </c>
      <c r="J1618" s="4">
        <v>0</v>
      </c>
      <c r="K1618" s="11">
        <f>Table1[[#This Row],[original_price]]* (Table1[[#This Row],[Markdown percentage updated]])</f>
        <v>0</v>
      </c>
      <c r="L16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18" s="6">
        <v>94.49</v>
      </c>
      <c r="N16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18" s="7">
        <v>45875</v>
      </c>
      <c r="P1618">
        <v>30</v>
      </c>
      <c r="Q1618" s="16" t="str">
        <f>IF(Table1[[#This Row],[stock_quantity]]=0,"NO STOCK",
IF(Table1[[#This Row],[stock_quantity]]&lt;=10,"LOW STOCK",
"IN STOCK"))</f>
        <v>IN STOCK</v>
      </c>
      <c r="R1618" s="1">
        <f t="shared" si="102"/>
        <v>1.5</v>
      </c>
      <c r="S1618">
        <v>1.5</v>
      </c>
      <c r="T1618" t="b">
        <v>0</v>
      </c>
      <c r="U1618" t="str">
        <f t="shared" si="103"/>
        <v>No Return</v>
      </c>
    </row>
    <row r="1619" spans="1:22" hidden="1" x14ac:dyDescent="0.3">
      <c r="A1619" t="s">
        <v>1672</v>
      </c>
      <c r="B1619" t="s">
        <v>15</v>
      </c>
      <c r="C1619" t="s">
        <v>75</v>
      </c>
      <c r="D1619" t="s">
        <v>34</v>
      </c>
      <c r="E1619" t="str">
        <f t="shared" si="100"/>
        <v>XS</v>
      </c>
      <c r="F1619" t="s">
        <v>58</v>
      </c>
      <c r="G1619" t="s">
        <v>66</v>
      </c>
      <c r="H1619" s="8">
        <v>218.64</v>
      </c>
      <c r="I1619" s="3">
        <f t="shared" si="101"/>
        <v>0</v>
      </c>
      <c r="J1619" s="4">
        <v>0</v>
      </c>
      <c r="K1619" s="11">
        <f>Table1[[#This Row],[original_price]]* (Table1[[#This Row],[Markdown percentage updated]])</f>
        <v>0</v>
      </c>
      <c r="L16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19" s="6">
        <v>218.64</v>
      </c>
      <c r="N16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19" s="7">
        <v>45875</v>
      </c>
      <c r="P1619">
        <v>5</v>
      </c>
      <c r="Q1619" s="17" t="str">
        <f>IF(Table1[[#This Row],[stock_quantity]]=0,"NO STOCK",
IF(Table1[[#This Row],[stock_quantity]]&lt;=10,"LOW STOCK",
"IN STOCK"))</f>
        <v>LOW STOCK</v>
      </c>
      <c r="R1619" s="1">
        <f t="shared" si="102"/>
        <v>0</v>
      </c>
      <c r="T1619" t="b">
        <v>0</v>
      </c>
      <c r="U1619" t="str">
        <f t="shared" si="103"/>
        <v>No Return</v>
      </c>
    </row>
    <row r="1620" spans="1:22" hidden="1" x14ac:dyDescent="0.3">
      <c r="A1620" t="s">
        <v>1673</v>
      </c>
      <c r="B1620" t="s">
        <v>15</v>
      </c>
      <c r="C1620" t="s">
        <v>22</v>
      </c>
      <c r="D1620" t="s">
        <v>34</v>
      </c>
      <c r="E1620" t="str">
        <f t="shared" si="100"/>
        <v>XS</v>
      </c>
      <c r="F1620" t="s">
        <v>39</v>
      </c>
      <c r="G1620" t="s">
        <v>28</v>
      </c>
      <c r="H1620" s="8">
        <v>80.41</v>
      </c>
      <c r="I1620" s="3">
        <f t="shared" si="101"/>
        <v>0.11900000000000001</v>
      </c>
      <c r="J1620" s="4">
        <v>11.9</v>
      </c>
      <c r="K1620" s="11">
        <f>Table1[[#This Row],[original_price]]* (Table1[[#This Row],[Markdown percentage updated]])</f>
        <v>9.5687899999999999</v>
      </c>
      <c r="L16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20" s="6">
        <v>70.84</v>
      </c>
      <c r="N16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20" s="7">
        <v>45875</v>
      </c>
      <c r="P1620">
        <v>35</v>
      </c>
      <c r="Q1620" s="16" t="str">
        <f>IF(Table1[[#This Row],[stock_quantity]]=0,"NO STOCK",
IF(Table1[[#This Row],[stock_quantity]]&lt;=10,"LOW STOCK",
"IN STOCK"))</f>
        <v>IN STOCK</v>
      </c>
      <c r="R1620" s="1">
        <f t="shared" si="102"/>
        <v>1.5</v>
      </c>
      <c r="S1620">
        <v>1.5</v>
      </c>
      <c r="T1620" t="b">
        <v>0</v>
      </c>
      <c r="U1620" t="str">
        <f t="shared" si="103"/>
        <v>No Return</v>
      </c>
    </row>
    <row r="1621" spans="1:22" hidden="1" x14ac:dyDescent="0.3">
      <c r="A1621" t="s">
        <v>1674</v>
      </c>
      <c r="B1621" t="s">
        <v>30</v>
      </c>
      <c r="C1621" t="s">
        <v>61</v>
      </c>
      <c r="D1621" t="s">
        <v>23</v>
      </c>
      <c r="E1621" t="str">
        <f t="shared" si="100"/>
        <v>S</v>
      </c>
      <c r="F1621" t="s">
        <v>18</v>
      </c>
      <c r="G1621" t="s">
        <v>56</v>
      </c>
      <c r="H1621" s="8">
        <v>183.3</v>
      </c>
      <c r="I1621" s="3">
        <f t="shared" si="101"/>
        <v>0</v>
      </c>
      <c r="J1621" s="4">
        <v>0</v>
      </c>
      <c r="K1621" s="11">
        <f>Table1[[#This Row],[original_price]]* (Table1[[#This Row],[Markdown percentage updated]])</f>
        <v>0</v>
      </c>
      <c r="L16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21" s="6">
        <v>183.3</v>
      </c>
      <c r="N16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21" s="7">
        <v>45875</v>
      </c>
      <c r="P1621">
        <v>7</v>
      </c>
      <c r="Q1621" s="17" t="str">
        <f>IF(Table1[[#This Row],[stock_quantity]]=0,"NO STOCK",
IF(Table1[[#This Row],[stock_quantity]]&lt;=10,"LOW STOCK",
"IN STOCK"))</f>
        <v>LOW STOCK</v>
      </c>
      <c r="R1621" s="1">
        <f t="shared" si="102"/>
        <v>2</v>
      </c>
      <c r="S1621">
        <v>2</v>
      </c>
      <c r="T1621" t="b">
        <v>0</v>
      </c>
      <c r="U1621" t="str">
        <f t="shared" si="103"/>
        <v>No Return</v>
      </c>
    </row>
    <row r="1622" spans="1:22" hidden="1" x14ac:dyDescent="0.3">
      <c r="A1622" t="s">
        <v>1675</v>
      </c>
      <c r="B1622" t="s">
        <v>15</v>
      </c>
      <c r="C1622" t="s">
        <v>22</v>
      </c>
      <c r="D1622" t="s">
        <v>34</v>
      </c>
      <c r="E1622" t="str">
        <f t="shared" si="100"/>
        <v>OS</v>
      </c>
      <c r="F1622" t="s">
        <v>55</v>
      </c>
      <c r="G1622" t="s">
        <v>35</v>
      </c>
      <c r="H1622" s="8">
        <v>241.81</v>
      </c>
      <c r="I1622" s="3">
        <f t="shared" si="101"/>
        <v>0</v>
      </c>
      <c r="J1622" s="4">
        <v>0</v>
      </c>
      <c r="K1622" s="11">
        <f>Table1[[#This Row],[original_price]]* (Table1[[#This Row],[Markdown percentage updated]])</f>
        <v>0</v>
      </c>
      <c r="L16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22" s="6">
        <v>241.81</v>
      </c>
      <c r="N16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22" s="7">
        <v>45875</v>
      </c>
      <c r="P1622">
        <v>38</v>
      </c>
      <c r="Q1622" s="16" t="str">
        <f>IF(Table1[[#This Row],[stock_quantity]]=0,"NO STOCK",
IF(Table1[[#This Row],[stock_quantity]]&lt;=10,"LOW STOCK",
"IN STOCK"))</f>
        <v>IN STOCK</v>
      </c>
      <c r="R1622" s="1">
        <f t="shared" si="102"/>
        <v>3.5</v>
      </c>
      <c r="S1622">
        <v>3.5</v>
      </c>
      <c r="T1622" t="b">
        <v>0</v>
      </c>
      <c r="U1622" t="str">
        <f t="shared" si="103"/>
        <v>No Return</v>
      </c>
    </row>
    <row r="1623" spans="1:22" hidden="1" x14ac:dyDescent="0.3">
      <c r="A1623" t="s">
        <v>1676</v>
      </c>
      <c r="B1623" t="s">
        <v>15</v>
      </c>
      <c r="C1623" t="s">
        <v>43</v>
      </c>
      <c r="D1623" t="s">
        <v>17</v>
      </c>
      <c r="E1623" t="str">
        <f t="shared" si="100"/>
        <v>XXL</v>
      </c>
      <c r="F1623" t="s">
        <v>55</v>
      </c>
      <c r="G1623" t="s">
        <v>35</v>
      </c>
      <c r="H1623" s="8">
        <v>216.46</v>
      </c>
      <c r="I1623" s="3">
        <f t="shared" si="101"/>
        <v>0.28800000000000003</v>
      </c>
      <c r="J1623" s="4">
        <v>28.8</v>
      </c>
      <c r="K1623" s="11">
        <f>Table1[[#This Row],[original_price]]* (Table1[[#This Row],[Markdown percentage updated]])</f>
        <v>62.340480000000007</v>
      </c>
      <c r="L16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623" s="6">
        <v>154.12</v>
      </c>
      <c r="N16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23" s="7">
        <v>45516</v>
      </c>
      <c r="P1623">
        <v>43</v>
      </c>
      <c r="Q1623" s="16" t="str">
        <f>IF(Table1[[#This Row],[stock_quantity]]=0,"NO STOCK",
IF(Table1[[#This Row],[stock_quantity]]&lt;=10,"LOW STOCK",
"IN STOCK"))</f>
        <v>IN STOCK</v>
      </c>
      <c r="R1623" s="1">
        <f t="shared" si="102"/>
        <v>1.3</v>
      </c>
      <c r="S1623">
        <v>1.3</v>
      </c>
      <c r="T1623" t="b">
        <v>0</v>
      </c>
      <c r="U1623" t="str">
        <f t="shared" si="103"/>
        <v>No Return</v>
      </c>
    </row>
    <row r="1624" spans="1:22" hidden="1" x14ac:dyDescent="0.3">
      <c r="A1624" t="s">
        <v>1677</v>
      </c>
      <c r="B1624" t="s">
        <v>42</v>
      </c>
      <c r="C1624" t="s">
        <v>22</v>
      </c>
      <c r="D1624" t="s">
        <v>17</v>
      </c>
      <c r="E1624" t="str">
        <f t="shared" si="100"/>
        <v>XXL</v>
      </c>
      <c r="F1624" t="s">
        <v>39</v>
      </c>
      <c r="G1624" t="s">
        <v>25</v>
      </c>
      <c r="H1624" s="8">
        <v>63.07</v>
      </c>
      <c r="I1624" s="3">
        <f t="shared" si="101"/>
        <v>0.53600000000000003</v>
      </c>
      <c r="J1624" s="4">
        <v>53.6</v>
      </c>
      <c r="K1624" s="11">
        <f>Table1[[#This Row],[original_price]]* (Table1[[#This Row],[Markdown percentage updated]])</f>
        <v>33.805520000000001</v>
      </c>
      <c r="L16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24" s="6">
        <v>29.26</v>
      </c>
      <c r="N16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24" s="7">
        <v>45797</v>
      </c>
      <c r="P1624">
        <v>4</v>
      </c>
      <c r="Q1624" s="17" t="str">
        <f>IF(Table1[[#This Row],[stock_quantity]]=0,"NO STOCK",
IF(Table1[[#This Row],[stock_quantity]]&lt;=10,"LOW STOCK",
"IN STOCK"))</f>
        <v>LOW STOCK</v>
      </c>
      <c r="R1624" s="1">
        <f t="shared" si="102"/>
        <v>1.5</v>
      </c>
      <c r="S1624">
        <v>1.5</v>
      </c>
      <c r="T1624" t="b">
        <v>1</v>
      </c>
      <c r="U1624" s="13" t="str">
        <f t="shared" si="103"/>
        <v>Color Mismatch</v>
      </c>
      <c r="V1624" t="s">
        <v>36</v>
      </c>
    </row>
    <row r="1625" spans="1:22" hidden="1" x14ac:dyDescent="0.3">
      <c r="A1625" t="s">
        <v>1678</v>
      </c>
      <c r="B1625" t="s">
        <v>27</v>
      </c>
      <c r="C1625" t="s">
        <v>32</v>
      </c>
      <c r="D1625" t="s">
        <v>17</v>
      </c>
      <c r="E1625" t="str">
        <f t="shared" si="100"/>
        <v>M</v>
      </c>
      <c r="G1625" t="s">
        <v>46</v>
      </c>
      <c r="H1625" s="8">
        <v>44.7</v>
      </c>
      <c r="I1625" s="3">
        <f t="shared" si="101"/>
        <v>0</v>
      </c>
      <c r="J1625" s="4">
        <v>0</v>
      </c>
      <c r="K1625" s="11">
        <f>Table1[[#This Row],[original_price]]* (Table1[[#This Row],[Markdown percentage updated]])</f>
        <v>0</v>
      </c>
      <c r="L16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25" s="6">
        <v>44.7</v>
      </c>
      <c r="N16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25" s="7">
        <v>45733</v>
      </c>
      <c r="P1625">
        <v>29</v>
      </c>
      <c r="Q1625" s="16" t="str">
        <f>IF(Table1[[#This Row],[stock_quantity]]=0,"NO STOCK",
IF(Table1[[#This Row],[stock_quantity]]&lt;=10,"LOW STOCK",
"IN STOCK"))</f>
        <v>IN STOCK</v>
      </c>
      <c r="R1625" s="1">
        <f t="shared" si="102"/>
        <v>3.2</v>
      </c>
      <c r="S1625">
        <v>3.2</v>
      </c>
      <c r="T1625" t="b">
        <v>0</v>
      </c>
      <c r="U1625" t="str">
        <f t="shared" si="103"/>
        <v>No Return</v>
      </c>
    </row>
    <row r="1626" spans="1:22" hidden="1" x14ac:dyDescent="0.3">
      <c r="A1626" t="s">
        <v>1679</v>
      </c>
      <c r="B1626" t="s">
        <v>21</v>
      </c>
      <c r="C1626" t="s">
        <v>16</v>
      </c>
      <c r="D1626" t="s">
        <v>34</v>
      </c>
      <c r="E1626" t="str">
        <f t="shared" si="100"/>
        <v>S</v>
      </c>
      <c r="F1626" t="s">
        <v>49</v>
      </c>
      <c r="G1626" t="s">
        <v>35</v>
      </c>
      <c r="H1626" s="8">
        <v>28.23</v>
      </c>
      <c r="I1626" s="3">
        <f t="shared" si="101"/>
        <v>0.40299999999999997</v>
      </c>
      <c r="J1626" s="4">
        <v>40.299999999999997</v>
      </c>
      <c r="K1626" s="11">
        <f>Table1[[#This Row],[original_price]]* (Table1[[#This Row],[Markdown percentage updated]])</f>
        <v>11.37669</v>
      </c>
      <c r="L16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26" s="6">
        <v>16.850000000000001</v>
      </c>
      <c r="N16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26" s="7">
        <v>45875</v>
      </c>
      <c r="P1626">
        <v>21</v>
      </c>
      <c r="Q1626" s="16" t="str">
        <f>IF(Table1[[#This Row],[stock_quantity]]=0,"NO STOCK",
IF(Table1[[#This Row],[stock_quantity]]&lt;=10,"LOW STOCK",
"IN STOCK"))</f>
        <v>IN STOCK</v>
      </c>
      <c r="R1626" s="1">
        <f t="shared" si="102"/>
        <v>2.7</v>
      </c>
      <c r="S1626">
        <v>2.7</v>
      </c>
      <c r="T1626" t="b">
        <v>0</v>
      </c>
      <c r="U1626" t="str">
        <f t="shared" si="103"/>
        <v>No Return</v>
      </c>
    </row>
    <row r="1627" spans="1:22" hidden="1" x14ac:dyDescent="0.3">
      <c r="A1627" t="s">
        <v>1680</v>
      </c>
      <c r="B1627" t="s">
        <v>30</v>
      </c>
      <c r="C1627" t="s">
        <v>53</v>
      </c>
      <c r="D1627" t="s">
        <v>34</v>
      </c>
      <c r="E1627" t="str">
        <f t="shared" si="100"/>
        <v>M</v>
      </c>
      <c r="F1627" t="s">
        <v>49</v>
      </c>
      <c r="G1627" t="s">
        <v>46</v>
      </c>
      <c r="H1627" s="8">
        <v>131.94</v>
      </c>
      <c r="I1627" s="3">
        <f t="shared" si="101"/>
        <v>0.27300000000000002</v>
      </c>
      <c r="J1627" s="4">
        <v>27.3</v>
      </c>
      <c r="K1627" s="11">
        <f>Table1[[#This Row],[original_price]]* (Table1[[#This Row],[Markdown percentage updated]])</f>
        <v>36.019620000000003</v>
      </c>
      <c r="L16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627" s="6">
        <v>95.92</v>
      </c>
      <c r="N16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27" s="7">
        <v>45875</v>
      </c>
      <c r="P1627">
        <v>6</v>
      </c>
      <c r="Q1627" s="17" t="str">
        <f>IF(Table1[[#This Row],[stock_quantity]]=0,"NO STOCK",
IF(Table1[[#This Row],[stock_quantity]]&lt;=10,"LOW STOCK",
"IN STOCK"))</f>
        <v>LOW STOCK</v>
      </c>
      <c r="R1627" s="1">
        <f t="shared" si="102"/>
        <v>2.8</v>
      </c>
      <c r="S1627">
        <v>2.8</v>
      </c>
      <c r="T1627" t="b">
        <v>1</v>
      </c>
      <c r="U1627" s="13" t="str">
        <f t="shared" si="103"/>
        <v>Damaged</v>
      </c>
      <c r="V1627" t="s">
        <v>78</v>
      </c>
    </row>
    <row r="1628" spans="1:22" x14ac:dyDescent="0.3">
      <c r="A1628" t="s">
        <v>1681</v>
      </c>
      <c r="B1628" t="s">
        <v>15</v>
      </c>
      <c r="C1628" t="s">
        <v>75</v>
      </c>
      <c r="D1628" t="s">
        <v>34</v>
      </c>
      <c r="E1628" t="str">
        <f t="shared" si="100"/>
        <v>M</v>
      </c>
      <c r="F1628" t="s">
        <v>58</v>
      </c>
      <c r="G1628" t="s">
        <v>44</v>
      </c>
      <c r="H1628" s="8">
        <v>166.85</v>
      </c>
      <c r="I1628" s="3">
        <f t="shared" si="101"/>
        <v>0.309</v>
      </c>
      <c r="J1628" s="4">
        <v>30.9</v>
      </c>
      <c r="K1628" s="11">
        <f>Table1[[#This Row],[original_price]]* (Table1[[#This Row],[Markdown percentage updated]])</f>
        <v>51.556649999999998</v>
      </c>
      <c r="L16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28" s="6">
        <v>115.29</v>
      </c>
      <c r="N16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28" s="7">
        <v>45875</v>
      </c>
      <c r="P1628">
        <v>14</v>
      </c>
      <c r="Q1628" s="16" t="str">
        <f>IF(Table1[[#This Row],[stock_quantity]]=0,"NO STOCK",
IF(Table1[[#This Row],[stock_quantity]]&lt;=10,"LOW STOCK",
"IN STOCK"))</f>
        <v>IN STOCK</v>
      </c>
      <c r="R1628" s="1">
        <f t="shared" si="102"/>
        <v>4.2</v>
      </c>
      <c r="S1628">
        <v>4.2</v>
      </c>
      <c r="T1628" t="b">
        <v>1</v>
      </c>
      <c r="U1628" s="13" t="str">
        <f t="shared" si="103"/>
        <v>Changed Mind</v>
      </c>
      <c r="V1628" t="s">
        <v>115</v>
      </c>
    </row>
    <row r="1629" spans="1:22" hidden="1" x14ac:dyDescent="0.3">
      <c r="A1629" t="s">
        <v>1682</v>
      </c>
      <c r="B1629" t="s">
        <v>21</v>
      </c>
      <c r="C1629" t="s">
        <v>32</v>
      </c>
      <c r="D1629" t="s">
        <v>23</v>
      </c>
      <c r="E1629" t="str">
        <f t="shared" si="100"/>
        <v>OS</v>
      </c>
      <c r="F1629" t="s">
        <v>39</v>
      </c>
      <c r="G1629" t="s">
        <v>64</v>
      </c>
      <c r="H1629" s="8">
        <v>39.58</v>
      </c>
      <c r="I1629" s="3">
        <f t="shared" si="101"/>
        <v>0.309</v>
      </c>
      <c r="J1629" s="4">
        <v>30.9</v>
      </c>
      <c r="K1629" s="11">
        <f>Table1[[#This Row],[original_price]]* (Table1[[#This Row],[Markdown percentage updated]])</f>
        <v>12.230219999999999</v>
      </c>
      <c r="L16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29" s="6">
        <v>27.35</v>
      </c>
      <c r="N16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29" s="7">
        <v>45875</v>
      </c>
      <c r="P1629">
        <v>17</v>
      </c>
      <c r="Q1629" s="16" t="str">
        <f>IF(Table1[[#This Row],[stock_quantity]]=0,"NO STOCK",
IF(Table1[[#This Row],[stock_quantity]]&lt;=10,"LOW STOCK",
"IN STOCK"))</f>
        <v>IN STOCK</v>
      </c>
      <c r="R1629" s="1">
        <f t="shared" si="102"/>
        <v>2.5</v>
      </c>
      <c r="S1629">
        <v>2.5</v>
      </c>
      <c r="T1629" t="b">
        <v>0</v>
      </c>
      <c r="U1629" t="str">
        <f t="shared" si="103"/>
        <v>No Return</v>
      </c>
    </row>
    <row r="1630" spans="1:22" hidden="1" x14ac:dyDescent="0.3">
      <c r="A1630" t="s">
        <v>1683</v>
      </c>
      <c r="B1630" t="s">
        <v>15</v>
      </c>
      <c r="C1630" t="s">
        <v>22</v>
      </c>
      <c r="D1630" t="s">
        <v>62</v>
      </c>
      <c r="E1630" t="str">
        <f t="shared" si="100"/>
        <v>XL</v>
      </c>
      <c r="F1630" t="s">
        <v>58</v>
      </c>
      <c r="G1630" t="s">
        <v>44</v>
      </c>
      <c r="H1630" s="8">
        <v>89.55</v>
      </c>
      <c r="I1630" s="3">
        <f t="shared" si="101"/>
        <v>0.57999999999999996</v>
      </c>
      <c r="J1630" s="4">
        <v>58</v>
      </c>
      <c r="K1630" s="11">
        <f>Table1[[#This Row],[original_price]]* (Table1[[#This Row],[Markdown percentage updated]])</f>
        <v>51.938999999999993</v>
      </c>
      <c r="L16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30" s="6">
        <v>37.61</v>
      </c>
      <c r="N16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30" s="7">
        <v>45875</v>
      </c>
      <c r="P1630">
        <v>21</v>
      </c>
      <c r="Q1630" s="16" t="str">
        <f>IF(Table1[[#This Row],[stock_quantity]]=0,"NO STOCK",
IF(Table1[[#This Row],[stock_quantity]]&lt;=10,"LOW STOCK",
"IN STOCK"))</f>
        <v>IN STOCK</v>
      </c>
      <c r="R1630" s="1">
        <f t="shared" si="102"/>
        <v>2.6</v>
      </c>
      <c r="S1630">
        <v>2.6</v>
      </c>
      <c r="T1630" t="b">
        <v>0</v>
      </c>
      <c r="U1630" t="str">
        <f t="shared" si="103"/>
        <v>No Return</v>
      </c>
    </row>
    <row r="1631" spans="1:22" hidden="1" x14ac:dyDescent="0.3">
      <c r="A1631" t="s">
        <v>1684</v>
      </c>
      <c r="B1631" t="s">
        <v>15</v>
      </c>
      <c r="C1631" t="s">
        <v>43</v>
      </c>
      <c r="D1631" t="s">
        <v>34</v>
      </c>
      <c r="E1631" t="str">
        <f t="shared" si="100"/>
        <v>OS</v>
      </c>
      <c r="F1631" t="s">
        <v>58</v>
      </c>
      <c r="G1631" t="s">
        <v>66</v>
      </c>
      <c r="H1631" s="8">
        <v>138.55000000000001</v>
      </c>
      <c r="I1631" s="3">
        <f t="shared" si="101"/>
        <v>0</v>
      </c>
      <c r="J1631" s="4">
        <v>0</v>
      </c>
      <c r="K1631" s="11">
        <f>Table1[[#This Row],[original_price]]* (Table1[[#This Row],[Markdown percentage updated]])</f>
        <v>0</v>
      </c>
      <c r="L16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31" s="6">
        <v>138.55000000000001</v>
      </c>
      <c r="N16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31" s="7">
        <v>45875</v>
      </c>
      <c r="P1631">
        <v>25</v>
      </c>
      <c r="Q1631" s="16" t="str">
        <f>IF(Table1[[#This Row],[stock_quantity]]=0,"NO STOCK",
IF(Table1[[#This Row],[stock_quantity]]&lt;=10,"LOW STOCK",
"IN STOCK"))</f>
        <v>IN STOCK</v>
      </c>
      <c r="R1631" s="1">
        <f t="shared" si="102"/>
        <v>2</v>
      </c>
      <c r="S1631">
        <v>2</v>
      </c>
      <c r="T1631" t="b">
        <v>0</v>
      </c>
      <c r="U1631" t="str">
        <f t="shared" si="103"/>
        <v>No Return</v>
      </c>
    </row>
    <row r="1632" spans="1:22" hidden="1" x14ac:dyDescent="0.3">
      <c r="A1632" t="s">
        <v>1685</v>
      </c>
      <c r="B1632" t="s">
        <v>27</v>
      </c>
      <c r="C1632" t="s">
        <v>22</v>
      </c>
      <c r="D1632" t="s">
        <v>34</v>
      </c>
      <c r="E1632" t="str">
        <f t="shared" si="100"/>
        <v>S</v>
      </c>
      <c r="G1632" t="s">
        <v>56</v>
      </c>
      <c r="H1632" s="8">
        <v>43.84</v>
      </c>
      <c r="I1632" s="3">
        <f t="shared" si="101"/>
        <v>0</v>
      </c>
      <c r="J1632" s="4">
        <v>0</v>
      </c>
      <c r="K1632" s="11">
        <f>Table1[[#This Row],[original_price]]* (Table1[[#This Row],[Markdown percentage updated]])</f>
        <v>0</v>
      </c>
      <c r="L16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32" s="6">
        <v>43.84</v>
      </c>
      <c r="N16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32" s="7">
        <v>45875</v>
      </c>
      <c r="P1632">
        <v>28</v>
      </c>
      <c r="Q1632" s="16" t="str">
        <f>IF(Table1[[#This Row],[stock_quantity]]=0,"NO STOCK",
IF(Table1[[#This Row],[stock_quantity]]&lt;=10,"LOW STOCK",
"IN STOCK"))</f>
        <v>IN STOCK</v>
      </c>
      <c r="R1632" s="1">
        <f t="shared" si="102"/>
        <v>2.8</v>
      </c>
      <c r="S1632">
        <v>2.8</v>
      </c>
      <c r="T1632" t="b">
        <v>0</v>
      </c>
      <c r="U1632" t="str">
        <f t="shared" si="103"/>
        <v>No Return</v>
      </c>
    </row>
    <row r="1633" spans="1:22" hidden="1" x14ac:dyDescent="0.3">
      <c r="A1633" t="s">
        <v>1686</v>
      </c>
      <c r="B1633" t="s">
        <v>21</v>
      </c>
      <c r="C1633" t="s">
        <v>75</v>
      </c>
      <c r="D1633" t="s">
        <v>34</v>
      </c>
      <c r="E1633" t="str">
        <f t="shared" si="100"/>
        <v>XL</v>
      </c>
      <c r="F1633" t="s">
        <v>18</v>
      </c>
      <c r="G1633" t="s">
        <v>70</v>
      </c>
      <c r="H1633" s="8">
        <v>63.72</v>
      </c>
      <c r="I1633" s="3">
        <f t="shared" si="101"/>
        <v>0.17800000000000002</v>
      </c>
      <c r="J1633" s="4">
        <v>17.8</v>
      </c>
      <c r="K1633" s="11">
        <f>Table1[[#This Row],[original_price]]* (Table1[[#This Row],[Markdown percentage updated]])</f>
        <v>11.342160000000002</v>
      </c>
      <c r="L16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33" s="6">
        <v>52.38</v>
      </c>
      <c r="N16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33" s="7">
        <v>45875</v>
      </c>
      <c r="P1633">
        <v>45</v>
      </c>
      <c r="Q1633" s="16" t="str">
        <f>IF(Table1[[#This Row],[stock_quantity]]=0,"NO STOCK",
IF(Table1[[#This Row],[stock_quantity]]&lt;=10,"LOW STOCK",
"IN STOCK"))</f>
        <v>IN STOCK</v>
      </c>
      <c r="R1633" s="1">
        <f t="shared" si="102"/>
        <v>2.4</v>
      </c>
      <c r="S1633">
        <v>2.4</v>
      </c>
      <c r="T1633" t="b">
        <v>0</v>
      </c>
      <c r="U1633" t="str">
        <f t="shared" si="103"/>
        <v>No Return</v>
      </c>
    </row>
    <row r="1634" spans="1:22" hidden="1" x14ac:dyDescent="0.3">
      <c r="A1634" t="s">
        <v>1687</v>
      </c>
      <c r="B1634" t="s">
        <v>27</v>
      </c>
      <c r="C1634" t="s">
        <v>16</v>
      </c>
      <c r="D1634" t="s">
        <v>17</v>
      </c>
      <c r="E1634" t="str">
        <f t="shared" si="100"/>
        <v>XXL</v>
      </c>
      <c r="G1634" t="s">
        <v>19</v>
      </c>
      <c r="H1634" s="8">
        <v>74.61</v>
      </c>
      <c r="I1634" s="3">
        <f t="shared" si="101"/>
        <v>0</v>
      </c>
      <c r="J1634" s="4">
        <v>0</v>
      </c>
      <c r="K1634" s="11">
        <f>Table1[[#This Row],[original_price]]* (Table1[[#This Row],[Markdown percentage updated]])</f>
        <v>0</v>
      </c>
      <c r="L16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34" s="6">
        <v>74.61</v>
      </c>
      <c r="N16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34" s="7">
        <v>45775</v>
      </c>
      <c r="P1634">
        <v>38</v>
      </c>
      <c r="Q1634" s="16" t="str">
        <f>IF(Table1[[#This Row],[stock_quantity]]=0,"NO STOCK",
IF(Table1[[#This Row],[stock_quantity]]&lt;=10,"LOW STOCK",
"IN STOCK"))</f>
        <v>IN STOCK</v>
      </c>
      <c r="R1634" s="1">
        <f t="shared" si="102"/>
        <v>2.8</v>
      </c>
      <c r="S1634">
        <v>2.8</v>
      </c>
      <c r="T1634" t="b">
        <v>0</v>
      </c>
      <c r="U1634" t="str">
        <f t="shared" si="103"/>
        <v>No Return</v>
      </c>
    </row>
    <row r="1635" spans="1:22" hidden="1" x14ac:dyDescent="0.3">
      <c r="A1635" t="s">
        <v>1688</v>
      </c>
      <c r="B1635" t="s">
        <v>30</v>
      </c>
      <c r="C1635" t="s">
        <v>22</v>
      </c>
      <c r="D1635" t="s">
        <v>17</v>
      </c>
      <c r="E1635" t="str">
        <f t="shared" si="100"/>
        <v>XXL</v>
      </c>
      <c r="F1635" t="s">
        <v>39</v>
      </c>
      <c r="G1635" t="s">
        <v>40</v>
      </c>
      <c r="H1635" s="8">
        <v>148.24</v>
      </c>
      <c r="I1635" s="3">
        <f t="shared" si="101"/>
        <v>0.109</v>
      </c>
      <c r="J1635" s="4">
        <v>10.9</v>
      </c>
      <c r="K1635" s="11">
        <f>Table1[[#This Row],[original_price]]* (Table1[[#This Row],[Markdown percentage updated]])</f>
        <v>16.158160000000002</v>
      </c>
      <c r="L16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35" s="6">
        <v>132.08000000000001</v>
      </c>
      <c r="N16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35" s="7">
        <v>45531</v>
      </c>
      <c r="P1635">
        <v>44</v>
      </c>
      <c r="Q1635" s="16" t="str">
        <f>IF(Table1[[#This Row],[stock_quantity]]=0,"NO STOCK",
IF(Table1[[#This Row],[stock_quantity]]&lt;=10,"LOW STOCK",
"IN STOCK"))</f>
        <v>IN STOCK</v>
      </c>
      <c r="R1635" s="1">
        <f t="shared" si="102"/>
        <v>1.3</v>
      </c>
      <c r="S1635">
        <v>1.3</v>
      </c>
      <c r="T1635" t="b">
        <v>0</v>
      </c>
      <c r="U1635" t="str">
        <f t="shared" si="103"/>
        <v>No Return</v>
      </c>
    </row>
    <row r="1636" spans="1:22" hidden="1" x14ac:dyDescent="0.3">
      <c r="A1636" t="s">
        <v>1689</v>
      </c>
      <c r="B1636" t="s">
        <v>21</v>
      </c>
      <c r="C1636" t="s">
        <v>61</v>
      </c>
      <c r="D1636" t="s">
        <v>17</v>
      </c>
      <c r="E1636" t="str">
        <f t="shared" si="100"/>
        <v>OS</v>
      </c>
      <c r="F1636" t="s">
        <v>18</v>
      </c>
      <c r="G1636" t="s">
        <v>40</v>
      </c>
      <c r="H1636" s="8">
        <v>93.46</v>
      </c>
      <c r="I1636" s="3">
        <f t="shared" si="101"/>
        <v>0</v>
      </c>
      <c r="J1636" s="4">
        <v>0</v>
      </c>
      <c r="K1636" s="11">
        <f>Table1[[#This Row],[original_price]]* (Table1[[#This Row],[Markdown percentage updated]])</f>
        <v>0</v>
      </c>
      <c r="L16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36" s="6">
        <v>93.46</v>
      </c>
      <c r="N16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36" s="7">
        <v>45700</v>
      </c>
      <c r="P1636">
        <v>20</v>
      </c>
      <c r="Q1636" s="16" t="str">
        <f>IF(Table1[[#This Row],[stock_quantity]]=0,"NO STOCK",
IF(Table1[[#This Row],[stock_quantity]]&lt;=10,"LOW STOCK",
"IN STOCK"))</f>
        <v>IN STOCK</v>
      </c>
      <c r="R1636" s="1">
        <f t="shared" si="102"/>
        <v>2.2000000000000002</v>
      </c>
      <c r="S1636">
        <v>2.2000000000000002</v>
      </c>
      <c r="T1636" t="b">
        <v>0</v>
      </c>
      <c r="U1636" t="str">
        <f t="shared" si="103"/>
        <v>No Return</v>
      </c>
    </row>
    <row r="1637" spans="1:22" hidden="1" x14ac:dyDescent="0.3">
      <c r="A1637" t="s">
        <v>1690</v>
      </c>
      <c r="B1637" t="s">
        <v>15</v>
      </c>
      <c r="C1637" t="s">
        <v>22</v>
      </c>
      <c r="D1637" t="s">
        <v>62</v>
      </c>
      <c r="E1637" t="str">
        <f t="shared" si="100"/>
        <v>M</v>
      </c>
      <c r="F1637" t="s">
        <v>49</v>
      </c>
      <c r="G1637" t="s">
        <v>19</v>
      </c>
      <c r="H1637" s="8">
        <v>245.31</v>
      </c>
      <c r="I1637" s="3">
        <f t="shared" si="101"/>
        <v>0.441</v>
      </c>
      <c r="J1637" s="4">
        <v>44.1</v>
      </c>
      <c r="K1637" s="11">
        <f>Table1[[#This Row],[original_price]]* (Table1[[#This Row],[Markdown percentage updated]])</f>
        <v>108.18171</v>
      </c>
      <c r="L16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37" s="6">
        <v>137.13</v>
      </c>
      <c r="N16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37" s="7">
        <v>45875</v>
      </c>
      <c r="P1637">
        <v>44</v>
      </c>
      <c r="Q1637" s="16" t="str">
        <f>IF(Table1[[#This Row],[stock_quantity]]=0,"NO STOCK",
IF(Table1[[#This Row],[stock_quantity]]&lt;=10,"LOW STOCK",
"IN STOCK"))</f>
        <v>IN STOCK</v>
      </c>
      <c r="R1637" s="1">
        <f t="shared" si="102"/>
        <v>0</v>
      </c>
      <c r="T1637" t="b">
        <v>0</v>
      </c>
      <c r="U1637" t="str">
        <f t="shared" si="103"/>
        <v>No Return</v>
      </c>
    </row>
    <row r="1638" spans="1:22" x14ac:dyDescent="0.3">
      <c r="A1638" t="s">
        <v>1691</v>
      </c>
      <c r="B1638" t="s">
        <v>21</v>
      </c>
      <c r="C1638" t="s">
        <v>32</v>
      </c>
      <c r="D1638" t="s">
        <v>17</v>
      </c>
      <c r="E1638" t="str">
        <f t="shared" si="100"/>
        <v>OS</v>
      </c>
      <c r="F1638" t="s">
        <v>49</v>
      </c>
      <c r="G1638" t="s">
        <v>19</v>
      </c>
      <c r="H1638" s="8">
        <v>43.38</v>
      </c>
      <c r="I1638" s="3">
        <f t="shared" si="101"/>
        <v>0.45899999999999996</v>
      </c>
      <c r="J1638" s="4">
        <v>45.9</v>
      </c>
      <c r="K1638" s="11">
        <f>Table1[[#This Row],[original_price]]* (Table1[[#This Row],[Markdown percentage updated]])</f>
        <v>19.91142</v>
      </c>
      <c r="L16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38" s="6">
        <v>23.47</v>
      </c>
      <c r="N16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38" s="7">
        <v>45629</v>
      </c>
      <c r="P1638">
        <v>47</v>
      </c>
      <c r="Q1638" s="16" t="str">
        <f>IF(Table1[[#This Row],[stock_quantity]]=0,"NO STOCK",
IF(Table1[[#This Row],[stock_quantity]]&lt;=10,"LOW STOCK",
"IN STOCK"))</f>
        <v>IN STOCK</v>
      </c>
      <c r="R1638" s="1">
        <f t="shared" si="102"/>
        <v>3.7</v>
      </c>
      <c r="S1638">
        <v>3.7</v>
      </c>
      <c r="T1638" t="b">
        <v>1</v>
      </c>
      <c r="U1638" s="13" t="str">
        <f t="shared" si="103"/>
        <v>Changed Mind</v>
      </c>
      <c r="V1638" t="s">
        <v>115</v>
      </c>
    </row>
    <row r="1639" spans="1:22" hidden="1" x14ac:dyDescent="0.3">
      <c r="A1639" t="s">
        <v>1692</v>
      </c>
      <c r="B1639" t="s">
        <v>27</v>
      </c>
      <c r="C1639" t="s">
        <v>53</v>
      </c>
      <c r="D1639" t="s">
        <v>34</v>
      </c>
      <c r="E1639" t="str">
        <f t="shared" si="100"/>
        <v>XXL</v>
      </c>
      <c r="G1639" t="s">
        <v>28</v>
      </c>
      <c r="H1639" s="8">
        <v>40.04</v>
      </c>
      <c r="I1639" s="3">
        <f t="shared" si="101"/>
        <v>0.45500000000000002</v>
      </c>
      <c r="J1639" s="4">
        <v>45.5</v>
      </c>
      <c r="K1639" s="11">
        <f>Table1[[#This Row],[original_price]]* (Table1[[#This Row],[Markdown percentage updated]])</f>
        <v>18.2182</v>
      </c>
      <c r="L16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39" s="6">
        <v>21.82</v>
      </c>
      <c r="N16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39" s="7">
        <v>45875</v>
      </c>
      <c r="P1639">
        <v>50</v>
      </c>
      <c r="Q1639" s="16" t="str">
        <f>IF(Table1[[#This Row],[stock_quantity]]=0,"NO STOCK",
IF(Table1[[#This Row],[stock_quantity]]&lt;=10,"LOW STOCK",
"IN STOCK"))</f>
        <v>IN STOCK</v>
      </c>
      <c r="R1639" s="1">
        <f t="shared" si="102"/>
        <v>2.2000000000000002</v>
      </c>
      <c r="S1639">
        <v>2.2000000000000002</v>
      </c>
      <c r="T1639" t="b">
        <v>0</v>
      </c>
      <c r="U1639" t="str">
        <f t="shared" si="103"/>
        <v>No Return</v>
      </c>
    </row>
    <row r="1640" spans="1:22" hidden="1" x14ac:dyDescent="0.3">
      <c r="A1640" t="s">
        <v>1693</v>
      </c>
      <c r="B1640" t="s">
        <v>15</v>
      </c>
      <c r="C1640" t="s">
        <v>48</v>
      </c>
      <c r="D1640" t="s">
        <v>34</v>
      </c>
      <c r="E1640" t="str">
        <f t="shared" si="100"/>
        <v>OS</v>
      </c>
      <c r="F1640" t="s">
        <v>58</v>
      </c>
      <c r="G1640" t="s">
        <v>56</v>
      </c>
      <c r="H1640" s="8">
        <v>209.68</v>
      </c>
      <c r="I1640" s="3">
        <f t="shared" si="101"/>
        <v>3.6000000000000004E-2</v>
      </c>
      <c r="J1640" s="4">
        <v>3.6</v>
      </c>
      <c r="K1640" s="11">
        <f>Table1[[#This Row],[original_price]]* (Table1[[#This Row],[Markdown percentage updated]])</f>
        <v>7.5484800000000014</v>
      </c>
      <c r="L16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40" s="6">
        <v>202.13</v>
      </c>
      <c r="N16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40" s="7">
        <v>45875</v>
      </c>
      <c r="P1640">
        <v>18</v>
      </c>
      <c r="Q1640" s="16" t="str">
        <f>IF(Table1[[#This Row],[stock_quantity]]=0,"NO STOCK",
IF(Table1[[#This Row],[stock_quantity]]&lt;=10,"LOW STOCK",
"IN STOCK"))</f>
        <v>IN STOCK</v>
      </c>
      <c r="R1640" s="1">
        <f t="shared" si="102"/>
        <v>4.0999999999999996</v>
      </c>
      <c r="S1640">
        <v>4.0999999999999996</v>
      </c>
      <c r="T1640" t="b">
        <v>0</v>
      </c>
      <c r="U1640" t="str">
        <f t="shared" si="103"/>
        <v>No Return</v>
      </c>
    </row>
    <row r="1641" spans="1:22" hidden="1" x14ac:dyDescent="0.3">
      <c r="A1641" t="s">
        <v>1694</v>
      </c>
      <c r="B1641" t="s">
        <v>27</v>
      </c>
      <c r="C1641" t="s">
        <v>43</v>
      </c>
      <c r="D1641" t="s">
        <v>23</v>
      </c>
      <c r="E1641" t="str">
        <f t="shared" si="100"/>
        <v>M</v>
      </c>
      <c r="G1641" t="s">
        <v>70</v>
      </c>
      <c r="H1641" s="8">
        <v>38.08</v>
      </c>
      <c r="I1641" s="3">
        <f t="shared" si="101"/>
        <v>0</v>
      </c>
      <c r="J1641" s="4">
        <v>0</v>
      </c>
      <c r="K1641" s="11">
        <f>Table1[[#This Row],[original_price]]* (Table1[[#This Row],[Markdown percentage updated]])</f>
        <v>0</v>
      </c>
      <c r="L16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41" s="6">
        <v>38.08</v>
      </c>
      <c r="N16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41" s="7">
        <v>45875</v>
      </c>
      <c r="P1641">
        <v>0</v>
      </c>
      <c r="Q1641" s="13" t="str">
        <f>IF(Table1[[#This Row],[stock_quantity]]=0,"NO STOCK",
IF(Table1[[#This Row],[stock_quantity]]&lt;=10,"LOW STOCK",
"IN STOCK"))</f>
        <v>NO STOCK</v>
      </c>
      <c r="R1641" s="1">
        <f t="shared" si="102"/>
        <v>1.6</v>
      </c>
      <c r="S1641">
        <v>1.6</v>
      </c>
      <c r="T1641" t="b">
        <v>0</v>
      </c>
      <c r="U1641" t="str">
        <f t="shared" si="103"/>
        <v>No Return</v>
      </c>
    </row>
    <row r="1642" spans="1:22" hidden="1" x14ac:dyDescent="0.3">
      <c r="A1642" t="s">
        <v>1695</v>
      </c>
      <c r="B1642" t="s">
        <v>15</v>
      </c>
      <c r="C1642" t="s">
        <v>53</v>
      </c>
      <c r="D1642" t="s">
        <v>17</v>
      </c>
      <c r="E1642" t="str">
        <f t="shared" si="100"/>
        <v>XXL</v>
      </c>
      <c r="F1642" t="s">
        <v>49</v>
      </c>
      <c r="G1642" t="s">
        <v>56</v>
      </c>
      <c r="H1642" s="8">
        <v>123.04</v>
      </c>
      <c r="I1642" s="3">
        <f t="shared" si="101"/>
        <v>0</v>
      </c>
      <c r="J1642" s="4">
        <v>0</v>
      </c>
      <c r="K1642" s="11">
        <f>Table1[[#This Row],[original_price]]* (Table1[[#This Row],[Markdown percentage updated]])</f>
        <v>0</v>
      </c>
      <c r="L16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42" s="6">
        <v>123.04</v>
      </c>
      <c r="N16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42" s="7">
        <v>45752</v>
      </c>
      <c r="P1642">
        <v>13</v>
      </c>
      <c r="Q1642" s="16" t="str">
        <f>IF(Table1[[#This Row],[stock_quantity]]=0,"NO STOCK",
IF(Table1[[#This Row],[stock_quantity]]&lt;=10,"LOW STOCK",
"IN STOCK"))</f>
        <v>IN STOCK</v>
      </c>
      <c r="R1642" s="1">
        <f t="shared" si="102"/>
        <v>1.2</v>
      </c>
      <c r="S1642">
        <v>1.2</v>
      </c>
      <c r="T1642" t="b">
        <v>0</v>
      </c>
      <c r="U1642" t="str">
        <f t="shared" si="103"/>
        <v>No Return</v>
      </c>
    </row>
    <row r="1643" spans="1:22" hidden="1" x14ac:dyDescent="0.3">
      <c r="A1643" t="s">
        <v>1696</v>
      </c>
      <c r="B1643" t="s">
        <v>27</v>
      </c>
      <c r="C1643" t="s">
        <v>22</v>
      </c>
      <c r="D1643" t="s">
        <v>62</v>
      </c>
      <c r="E1643" t="str">
        <f t="shared" si="100"/>
        <v>M</v>
      </c>
      <c r="G1643" t="s">
        <v>25</v>
      </c>
      <c r="H1643" s="8">
        <v>39.94</v>
      </c>
      <c r="I1643" s="3">
        <f t="shared" si="101"/>
        <v>0</v>
      </c>
      <c r="J1643" s="4">
        <v>0</v>
      </c>
      <c r="K1643" s="11">
        <f>Table1[[#This Row],[original_price]]* (Table1[[#This Row],[Markdown percentage updated]])</f>
        <v>0</v>
      </c>
      <c r="L16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43" s="6">
        <v>39.94</v>
      </c>
      <c r="N16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43" s="7">
        <v>45875</v>
      </c>
      <c r="P1643">
        <v>32</v>
      </c>
      <c r="Q1643" s="16" t="str">
        <f>IF(Table1[[#This Row],[stock_quantity]]=0,"NO STOCK",
IF(Table1[[#This Row],[stock_quantity]]&lt;=10,"LOW STOCK",
"IN STOCK"))</f>
        <v>IN STOCK</v>
      </c>
      <c r="R1643" s="1">
        <f t="shared" si="102"/>
        <v>3.1</v>
      </c>
      <c r="S1643">
        <v>3.1</v>
      </c>
      <c r="T1643" t="b">
        <v>0</v>
      </c>
      <c r="U1643" t="str">
        <f t="shared" si="103"/>
        <v>No Return</v>
      </c>
    </row>
    <row r="1644" spans="1:22" hidden="1" x14ac:dyDescent="0.3">
      <c r="A1644" t="s">
        <v>1697</v>
      </c>
      <c r="B1644" t="s">
        <v>42</v>
      </c>
      <c r="C1644" t="s">
        <v>48</v>
      </c>
      <c r="D1644" t="s">
        <v>62</v>
      </c>
      <c r="E1644" t="str">
        <f t="shared" si="100"/>
        <v>M</v>
      </c>
      <c r="F1644" t="s">
        <v>58</v>
      </c>
      <c r="G1644" t="s">
        <v>40</v>
      </c>
      <c r="H1644" s="8">
        <v>80.19</v>
      </c>
      <c r="I1644" s="3">
        <f t="shared" si="101"/>
        <v>0</v>
      </c>
      <c r="J1644" s="4">
        <v>0</v>
      </c>
      <c r="K1644" s="11">
        <f>Table1[[#This Row],[original_price]]* (Table1[[#This Row],[Markdown percentage updated]])</f>
        <v>0</v>
      </c>
      <c r="L16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44" s="6">
        <v>80.19</v>
      </c>
      <c r="N16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44" s="7">
        <v>45875</v>
      </c>
      <c r="P1644">
        <v>43</v>
      </c>
      <c r="Q1644" s="16" t="str">
        <f>IF(Table1[[#This Row],[stock_quantity]]=0,"NO STOCK",
IF(Table1[[#This Row],[stock_quantity]]&lt;=10,"LOW STOCK",
"IN STOCK"))</f>
        <v>IN STOCK</v>
      </c>
      <c r="R1644" s="1">
        <f t="shared" si="102"/>
        <v>3.8</v>
      </c>
      <c r="S1644">
        <v>3.8</v>
      </c>
      <c r="T1644" t="b">
        <v>0</v>
      </c>
      <c r="U1644" t="str">
        <f t="shared" si="103"/>
        <v>No Return</v>
      </c>
    </row>
    <row r="1645" spans="1:22" hidden="1" x14ac:dyDescent="0.3">
      <c r="A1645" t="s">
        <v>1698</v>
      </c>
      <c r="B1645" t="s">
        <v>21</v>
      </c>
      <c r="C1645" t="s">
        <v>22</v>
      </c>
      <c r="D1645" t="s">
        <v>17</v>
      </c>
      <c r="E1645" t="str">
        <f t="shared" si="100"/>
        <v>XXL</v>
      </c>
      <c r="F1645" t="s">
        <v>49</v>
      </c>
      <c r="G1645" t="s">
        <v>66</v>
      </c>
      <c r="H1645" s="8">
        <v>35.03</v>
      </c>
      <c r="I1645" s="3">
        <f t="shared" si="101"/>
        <v>0.10099999999999999</v>
      </c>
      <c r="J1645" s="4">
        <v>10.1</v>
      </c>
      <c r="K1645" s="11">
        <f>Table1[[#This Row],[original_price]]* (Table1[[#This Row],[Markdown percentage updated]])</f>
        <v>3.53803</v>
      </c>
      <c r="L16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45" s="6">
        <v>31.49</v>
      </c>
      <c r="N16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45" s="7">
        <v>45807</v>
      </c>
      <c r="P1645">
        <v>5</v>
      </c>
      <c r="Q1645" s="17" t="str">
        <f>IF(Table1[[#This Row],[stock_quantity]]=0,"NO STOCK",
IF(Table1[[#This Row],[stock_quantity]]&lt;=10,"LOW STOCK",
"IN STOCK"))</f>
        <v>LOW STOCK</v>
      </c>
      <c r="R1645" s="1">
        <f t="shared" si="102"/>
        <v>3.8</v>
      </c>
      <c r="S1645">
        <v>3.8</v>
      </c>
      <c r="T1645" t="b">
        <v>0</v>
      </c>
      <c r="U1645" t="str">
        <f t="shared" si="103"/>
        <v>No Return</v>
      </c>
    </row>
    <row r="1646" spans="1:22" hidden="1" x14ac:dyDescent="0.3">
      <c r="A1646" t="s">
        <v>1699</v>
      </c>
      <c r="B1646" t="s">
        <v>21</v>
      </c>
      <c r="C1646" t="s">
        <v>48</v>
      </c>
      <c r="D1646" t="s">
        <v>62</v>
      </c>
      <c r="E1646" t="str">
        <f t="shared" si="100"/>
        <v>M</v>
      </c>
      <c r="F1646" t="s">
        <v>58</v>
      </c>
      <c r="G1646" t="s">
        <v>28</v>
      </c>
      <c r="H1646" s="8">
        <v>27.64</v>
      </c>
      <c r="I1646" s="3">
        <f t="shared" si="101"/>
        <v>0.28999999999999998</v>
      </c>
      <c r="J1646" s="4">
        <v>29</v>
      </c>
      <c r="K1646" s="11">
        <f>Table1[[#This Row],[original_price]]* (Table1[[#This Row],[Markdown percentage updated]])</f>
        <v>8.0155999999999992</v>
      </c>
      <c r="L16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646" s="6">
        <v>19.62</v>
      </c>
      <c r="N16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46" s="7">
        <v>45875</v>
      </c>
      <c r="P1646">
        <v>19</v>
      </c>
      <c r="Q1646" s="16" t="str">
        <f>IF(Table1[[#This Row],[stock_quantity]]=0,"NO STOCK",
IF(Table1[[#This Row],[stock_quantity]]&lt;=10,"LOW STOCK",
"IN STOCK"))</f>
        <v>IN STOCK</v>
      </c>
      <c r="R1646" s="1">
        <f t="shared" si="102"/>
        <v>1</v>
      </c>
      <c r="S1646">
        <v>1</v>
      </c>
      <c r="T1646" t="b">
        <v>0</v>
      </c>
      <c r="U1646" t="str">
        <f t="shared" si="103"/>
        <v>No Return</v>
      </c>
    </row>
    <row r="1647" spans="1:22" hidden="1" x14ac:dyDescent="0.3">
      <c r="A1647" t="s">
        <v>1700</v>
      </c>
      <c r="B1647" t="s">
        <v>15</v>
      </c>
      <c r="C1647" t="s">
        <v>43</v>
      </c>
      <c r="D1647" t="s">
        <v>17</v>
      </c>
      <c r="E1647" t="str">
        <f t="shared" si="100"/>
        <v>L</v>
      </c>
      <c r="F1647" t="s">
        <v>58</v>
      </c>
      <c r="G1647" t="s">
        <v>64</v>
      </c>
      <c r="H1647" s="8">
        <v>187.63</v>
      </c>
      <c r="I1647" s="3">
        <f t="shared" si="101"/>
        <v>0</v>
      </c>
      <c r="J1647" s="4">
        <v>0</v>
      </c>
      <c r="K1647" s="11">
        <f>Table1[[#This Row],[original_price]]* (Table1[[#This Row],[Markdown percentage updated]])</f>
        <v>0</v>
      </c>
      <c r="L16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47" s="6">
        <v>187.63</v>
      </c>
      <c r="N16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47" s="7">
        <v>45772</v>
      </c>
      <c r="P1647">
        <v>25</v>
      </c>
      <c r="Q1647" s="16" t="str">
        <f>IF(Table1[[#This Row],[stock_quantity]]=0,"NO STOCK",
IF(Table1[[#This Row],[stock_quantity]]&lt;=10,"LOW STOCK",
"IN STOCK"))</f>
        <v>IN STOCK</v>
      </c>
      <c r="R1647" s="1">
        <f t="shared" si="102"/>
        <v>1.8</v>
      </c>
      <c r="S1647">
        <v>1.8</v>
      </c>
      <c r="T1647" t="b">
        <v>0</v>
      </c>
      <c r="U1647" t="str">
        <f t="shared" si="103"/>
        <v>No Return</v>
      </c>
    </row>
    <row r="1648" spans="1:22" hidden="1" x14ac:dyDescent="0.3">
      <c r="A1648" t="s">
        <v>1701</v>
      </c>
      <c r="B1648" t="s">
        <v>15</v>
      </c>
      <c r="C1648" t="s">
        <v>48</v>
      </c>
      <c r="D1648" t="s">
        <v>23</v>
      </c>
      <c r="E1648" t="str">
        <f t="shared" si="100"/>
        <v>M</v>
      </c>
      <c r="F1648" t="s">
        <v>49</v>
      </c>
      <c r="G1648" t="s">
        <v>28</v>
      </c>
      <c r="H1648" s="8">
        <v>193.17</v>
      </c>
      <c r="I1648" s="3">
        <f t="shared" si="101"/>
        <v>0.34600000000000003</v>
      </c>
      <c r="J1648" s="4">
        <v>34.6</v>
      </c>
      <c r="K1648" s="11">
        <f>Table1[[#This Row],[original_price]]* (Table1[[#This Row],[Markdown percentage updated]])</f>
        <v>66.836820000000003</v>
      </c>
      <c r="L16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48" s="6">
        <v>126.33</v>
      </c>
      <c r="N16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48" s="7">
        <v>45875</v>
      </c>
      <c r="P1648">
        <v>26</v>
      </c>
      <c r="Q1648" s="16" t="str">
        <f>IF(Table1[[#This Row],[stock_quantity]]=0,"NO STOCK",
IF(Table1[[#This Row],[stock_quantity]]&lt;=10,"LOW STOCK",
"IN STOCK"))</f>
        <v>IN STOCK</v>
      </c>
      <c r="R1648" s="1">
        <f t="shared" si="102"/>
        <v>0</v>
      </c>
      <c r="T1648" t="b">
        <v>0</v>
      </c>
      <c r="U1648" t="str">
        <f t="shared" si="103"/>
        <v>No Return</v>
      </c>
    </row>
    <row r="1649" spans="1:22" hidden="1" x14ac:dyDescent="0.3">
      <c r="A1649" t="s">
        <v>1702</v>
      </c>
      <c r="B1649" t="s">
        <v>30</v>
      </c>
      <c r="C1649" t="s">
        <v>32</v>
      </c>
      <c r="D1649" t="s">
        <v>17</v>
      </c>
      <c r="E1649" t="str">
        <f t="shared" si="100"/>
        <v>L</v>
      </c>
      <c r="F1649" t="s">
        <v>58</v>
      </c>
      <c r="G1649" t="s">
        <v>28</v>
      </c>
      <c r="H1649" s="8">
        <v>157.78</v>
      </c>
      <c r="I1649" s="3">
        <f t="shared" si="101"/>
        <v>0.40200000000000002</v>
      </c>
      <c r="J1649" s="4">
        <v>40.200000000000003</v>
      </c>
      <c r="K1649" s="11">
        <f>Table1[[#This Row],[original_price]]* (Table1[[#This Row],[Markdown percentage updated]])</f>
        <v>63.427560000000007</v>
      </c>
      <c r="L16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49" s="6">
        <v>94.35</v>
      </c>
      <c r="N16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49" s="7">
        <v>45871</v>
      </c>
      <c r="P1649">
        <v>23</v>
      </c>
      <c r="Q1649" s="16" t="str">
        <f>IF(Table1[[#This Row],[stock_quantity]]=0,"NO STOCK",
IF(Table1[[#This Row],[stock_quantity]]&lt;=10,"LOW STOCK",
"IN STOCK"))</f>
        <v>IN STOCK</v>
      </c>
      <c r="R1649" s="1">
        <f t="shared" si="102"/>
        <v>3.1</v>
      </c>
      <c r="S1649">
        <v>3.1</v>
      </c>
      <c r="T1649" t="b">
        <v>0</v>
      </c>
      <c r="U1649" t="str">
        <f t="shared" si="103"/>
        <v>No Return</v>
      </c>
    </row>
    <row r="1650" spans="1:22" hidden="1" x14ac:dyDescent="0.3">
      <c r="A1650" t="s">
        <v>1703</v>
      </c>
      <c r="B1650" t="s">
        <v>30</v>
      </c>
      <c r="C1650" t="s">
        <v>16</v>
      </c>
      <c r="D1650" t="s">
        <v>23</v>
      </c>
      <c r="E1650" t="str">
        <f t="shared" si="100"/>
        <v>S</v>
      </c>
      <c r="F1650" t="s">
        <v>24</v>
      </c>
      <c r="G1650" t="s">
        <v>28</v>
      </c>
      <c r="H1650" s="8">
        <v>119.14</v>
      </c>
      <c r="I1650" s="3">
        <f t="shared" si="101"/>
        <v>7.8E-2</v>
      </c>
      <c r="J1650" s="4">
        <v>7.8</v>
      </c>
      <c r="K1650" s="11">
        <f>Table1[[#This Row],[original_price]]* (Table1[[#This Row],[Markdown percentage updated]])</f>
        <v>9.2929200000000005</v>
      </c>
      <c r="L16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50" s="6">
        <v>109.85</v>
      </c>
      <c r="N16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50" s="7">
        <v>45875</v>
      </c>
      <c r="P1650">
        <v>20</v>
      </c>
      <c r="Q1650" s="16" t="str">
        <f>IF(Table1[[#This Row],[stock_quantity]]=0,"NO STOCK",
IF(Table1[[#This Row],[stock_quantity]]&lt;=10,"LOW STOCK",
"IN STOCK"))</f>
        <v>IN STOCK</v>
      </c>
      <c r="R1650" s="1">
        <f t="shared" si="102"/>
        <v>3.1</v>
      </c>
      <c r="S1650">
        <v>3.1</v>
      </c>
      <c r="T1650" t="b">
        <v>0</v>
      </c>
      <c r="U1650" t="str">
        <f t="shared" si="103"/>
        <v>No Return</v>
      </c>
    </row>
    <row r="1651" spans="1:22" hidden="1" x14ac:dyDescent="0.3">
      <c r="A1651" t="s">
        <v>1704</v>
      </c>
      <c r="B1651" t="s">
        <v>42</v>
      </c>
      <c r="C1651" t="s">
        <v>75</v>
      </c>
      <c r="D1651" t="s">
        <v>23</v>
      </c>
      <c r="E1651" t="str">
        <f t="shared" si="100"/>
        <v>OS</v>
      </c>
      <c r="F1651" t="s">
        <v>58</v>
      </c>
      <c r="G1651" t="s">
        <v>35</v>
      </c>
      <c r="H1651" s="8">
        <v>150.08000000000001</v>
      </c>
      <c r="I1651" s="3">
        <f t="shared" si="101"/>
        <v>4.8000000000000001E-2</v>
      </c>
      <c r="J1651" s="4">
        <v>4.8</v>
      </c>
      <c r="K1651" s="11">
        <f>Table1[[#This Row],[original_price]]* (Table1[[#This Row],[Markdown percentage updated]])</f>
        <v>7.2038400000000005</v>
      </c>
      <c r="L16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51" s="6">
        <v>142.88</v>
      </c>
      <c r="N16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51" s="7">
        <v>45875</v>
      </c>
      <c r="P1651">
        <v>24</v>
      </c>
      <c r="Q1651" s="16" t="str">
        <f>IF(Table1[[#This Row],[stock_quantity]]=0,"NO STOCK",
IF(Table1[[#This Row],[stock_quantity]]&lt;=10,"LOW STOCK",
"IN STOCK"))</f>
        <v>IN STOCK</v>
      </c>
      <c r="R1651" s="1">
        <f t="shared" si="102"/>
        <v>1.7</v>
      </c>
      <c r="S1651">
        <v>1.7</v>
      </c>
      <c r="T1651" t="b">
        <v>0</v>
      </c>
      <c r="U1651" t="str">
        <f t="shared" si="103"/>
        <v>No Return</v>
      </c>
    </row>
    <row r="1652" spans="1:22" hidden="1" x14ac:dyDescent="0.3">
      <c r="A1652" t="s">
        <v>1705</v>
      </c>
      <c r="B1652" t="s">
        <v>42</v>
      </c>
      <c r="C1652" t="s">
        <v>22</v>
      </c>
      <c r="D1652" t="s">
        <v>62</v>
      </c>
      <c r="E1652" t="str">
        <f t="shared" si="100"/>
        <v>XS</v>
      </c>
      <c r="F1652" t="s">
        <v>24</v>
      </c>
      <c r="G1652" t="s">
        <v>44</v>
      </c>
      <c r="H1652" s="8">
        <v>153.18</v>
      </c>
      <c r="I1652" s="3">
        <f t="shared" si="101"/>
        <v>0</v>
      </c>
      <c r="J1652" s="4">
        <v>0</v>
      </c>
      <c r="K1652" s="11">
        <f>Table1[[#This Row],[original_price]]* (Table1[[#This Row],[Markdown percentage updated]])</f>
        <v>0</v>
      </c>
      <c r="L16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52" s="6">
        <v>153.18</v>
      </c>
      <c r="N16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52" s="7">
        <v>45875</v>
      </c>
      <c r="P1652">
        <v>26</v>
      </c>
      <c r="Q1652" s="16" t="str">
        <f>IF(Table1[[#This Row],[stock_quantity]]=0,"NO STOCK",
IF(Table1[[#This Row],[stock_quantity]]&lt;=10,"LOW STOCK",
"IN STOCK"))</f>
        <v>IN STOCK</v>
      </c>
      <c r="R1652" s="1">
        <f t="shared" si="102"/>
        <v>1.1000000000000001</v>
      </c>
      <c r="S1652">
        <v>1.1000000000000001</v>
      </c>
      <c r="T1652" t="b">
        <v>0</v>
      </c>
      <c r="U1652" t="str">
        <f t="shared" si="103"/>
        <v>No Return</v>
      </c>
    </row>
    <row r="1653" spans="1:22" hidden="1" x14ac:dyDescent="0.3">
      <c r="A1653" t="s">
        <v>1706</v>
      </c>
      <c r="B1653" t="s">
        <v>21</v>
      </c>
      <c r="C1653" t="s">
        <v>32</v>
      </c>
      <c r="D1653" t="s">
        <v>23</v>
      </c>
      <c r="E1653" t="str">
        <f t="shared" si="100"/>
        <v>S</v>
      </c>
      <c r="F1653" t="s">
        <v>39</v>
      </c>
      <c r="G1653" t="s">
        <v>25</v>
      </c>
      <c r="H1653" s="8">
        <v>118.69</v>
      </c>
      <c r="I1653" s="3">
        <f t="shared" si="101"/>
        <v>0.47700000000000004</v>
      </c>
      <c r="J1653" s="4">
        <v>47.7</v>
      </c>
      <c r="K1653" s="11">
        <f>Table1[[#This Row],[original_price]]* (Table1[[#This Row],[Markdown percentage updated]])</f>
        <v>56.615130000000001</v>
      </c>
      <c r="L16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53" s="6">
        <v>62.07</v>
      </c>
      <c r="N16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53" s="7">
        <v>45875</v>
      </c>
      <c r="P1653">
        <v>11</v>
      </c>
      <c r="Q1653" s="16" t="str">
        <f>IF(Table1[[#This Row],[stock_quantity]]=0,"NO STOCK",
IF(Table1[[#This Row],[stock_quantity]]&lt;=10,"LOW STOCK",
"IN STOCK"))</f>
        <v>IN STOCK</v>
      </c>
      <c r="R1653" s="1">
        <f t="shared" si="102"/>
        <v>2.8</v>
      </c>
      <c r="S1653">
        <v>2.8</v>
      </c>
      <c r="T1653" t="b">
        <v>0</v>
      </c>
      <c r="U1653" t="str">
        <f t="shared" si="103"/>
        <v>No Return</v>
      </c>
    </row>
    <row r="1654" spans="1:22" hidden="1" x14ac:dyDescent="0.3">
      <c r="A1654" t="s">
        <v>1707</v>
      </c>
      <c r="B1654" t="s">
        <v>27</v>
      </c>
      <c r="C1654" t="s">
        <v>48</v>
      </c>
      <c r="D1654" t="s">
        <v>17</v>
      </c>
      <c r="E1654" t="str">
        <f t="shared" si="100"/>
        <v>XS</v>
      </c>
      <c r="G1654" t="s">
        <v>64</v>
      </c>
      <c r="H1654" s="8">
        <v>50.12</v>
      </c>
      <c r="I1654" s="3">
        <f t="shared" si="101"/>
        <v>0</v>
      </c>
      <c r="J1654" s="4">
        <v>0</v>
      </c>
      <c r="K1654" s="11">
        <f>Table1[[#This Row],[original_price]]* (Table1[[#This Row],[Markdown percentage updated]])</f>
        <v>0</v>
      </c>
      <c r="L16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54" s="6">
        <v>50.12</v>
      </c>
      <c r="N16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54" s="7">
        <v>45725</v>
      </c>
      <c r="P1654">
        <v>27</v>
      </c>
      <c r="Q1654" s="16" t="str">
        <f>IF(Table1[[#This Row],[stock_quantity]]=0,"NO STOCK",
IF(Table1[[#This Row],[stock_quantity]]&lt;=10,"LOW STOCK",
"IN STOCK"))</f>
        <v>IN STOCK</v>
      </c>
      <c r="R1654" s="1">
        <f t="shared" si="102"/>
        <v>2.4</v>
      </c>
      <c r="S1654">
        <v>2.4</v>
      </c>
      <c r="T1654" t="b">
        <v>0</v>
      </c>
      <c r="U1654" t="str">
        <f t="shared" si="103"/>
        <v>No Return</v>
      </c>
    </row>
    <row r="1655" spans="1:22" hidden="1" x14ac:dyDescent="0.3">
      <c r="A1655" t="s">
        <v>1708</v>
      </c>
      <c r="B1655" t="s">
        <v>42</v>
      </c>
      <c r="C1655" t="s">
        <v>61</v>
      </c>
      <c r="D1655" t="s">
        <v>17</v>
      </c>
      <c r="E1655" t="str">
        <f t="shared" si="100"/>
        <v>S</v>
      </c>
      <c r="F1655" t="s">
        <v>55</v>
      </c>
      <c r="G1655" t="s">
        <v>44</v>
      </c>
      <c r="H1655" s="8">
        <v>93.68</v>
      </c>
      <c r="I1655" s="3">
        <f t="shared" si="101"/>
        <v>0.59499999999999997</v>
      </c>
      <c r="J1655" s="4">
        <v>59.5</v>
      </c>
      <c r="K1655" s="11">
        <f>Table1[[#This Row],[original_price]]* (Table1[[#This Row],[Markdown percentage updated]])</f>
        <v>55.739600000000003</v>
      </c>
      <c r="L16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55" s="6">
        <v>37.94</v>
      </c>
      <c r="N16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55" s="7">
        <v>45771</v>
      </c>
      <c r="P1655">
        <v>21</v>
      </c>
      <c r="Q1655" s="16" t="str">
        <f>IF(Table1[[#This Row],[stock_quantity]]=0,"NO STOCK",
IF(Table1[[#This Row],[stock_quantity]]&lt;=10,"LOW STOCK",
"IN STOCK"))</f>
        <v>IN STOCK</v>
      </c>
      <c r="R1655" s="1">
        <f t="shared" si="102"/>
        <v>0</v>
      </c>
      <c r="T1655" t="b">
        <v>0</v>
      </c>
      <c r="U1655" t="str">
        <f t="shared" si="103"/>
        <v>No Return</v>
      </c>
    </row>
    <row r="1656" spans="1:22" hidden="1" x14ac:dyDescent="0.3">
      <c r="A1656" t="s">
        <v>1709</v>
      </c>
      <c r="B1656" t="s">
        <v>21</v>
      </c>
      <c r="C1656" t="s">
        <v>22</v>
      </c>
      <c r="D1656" t="s">
        <v>62</v>
      </c>
      <c r="E1656" t="str">
        <f t="shared" si="100"/>
        <v>OS</v>
      </c>
      <c r="F1656" t="s">
        <v>39</v>
      </c>
      <c r="G1656" t="s">
        <v>19</v>
      </c>
      <c r="H1656" s="8">
        <v>50.49</v>
      </c>
      <c r="I1656" s="3">
        <f t="shared" si="101"/>
        <v>0</v>
      </c>
      <c r="J1656" s="4">
        <v>0</v>
      </c>
      <c r="K1656" s="11">
        <f>Table1[[#This Row],[original_price]]* (Table1[[#This Row],[Markdown percentage updated]])</f>
        <v>0</v>
      </c>
      <c r="L16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56" s="6">
        <v>50.49</v>
      </c>
      <c r="N16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56" s="7">
        <v>45875</v>
      </c>
      <c r="P1656">
        <v>30</v>
      </c>
      <c r="Q1656" s="16" t="str">
        <f>IF(Table1[[#This Row],[stock_quantity]]=0,"NO STOCK",
IF(Table1[[#This Row],[stock_quantity]]&lt;=10,"LOW STOCK",
"IN STOCK"))</f>
        <v>IN STOCK</v>
      </c>
      <c r="R1656" s="1">
        <f t="shared" si="102"/>
        <v>4.0999999999999996</v>
      </c>
      <c r="S1656">
        <v>4.0999999999999996</v>
      </c>
      <c r="T1656" t="b">
        <v>0</v>
      </c>
      <c r="U1656" t="str">
        <f t="shared" si="103"/>
        <v>No Return</v>
      </c>
    </row>
    <row r="1657" spans="1:22" hidden="1" x14ac:dyDescent="0.3">
      <c r="A1657" t="s">
        <v>1710</v>
      </c>
      <c r="B1657" t="s">
        <v>30</v>
      </c>
      <c r="C1657" t="s">
        <v>43</v>
      </c>
      <c r="D1657" t="s">
        <v>62</v>
      </c>
      <c r="E1657" t="str">
        <f t="shared" si="100"/>
        <v>L</v>
      </c>
      <c r="F1657" t="s">
        <v>55</v>
      </c>
      <c r="G1657" t="s">
        <v>35</v>
      </c>
      <c r="H1657" s="8">
        <v>97.9</v>
      </c>
      <c r="I1657" s="3">
        <f t="shared" si="101"/>
        <v>0</v>
      </c>
      <c r="J1657" s="4">
        <v>0</v>
      </c>
      <c r="K1657" s="11">
        <f>Table1[[#This Row],[original_price]]* (Table1[[#This Row],[Markdown percentage updated]])</f>
        <v>0</v>
      </c>
      <c r="L16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57" s="6">
        <v>97.9</v>
      </c>
      <c r="N16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57" s="7">
        <v>45875</v>
      </c>
      <c r="P1657">
        <v>29</v>
      </c>
      <c r="Q1657" s="16" t="str">
        <f>IF(Table1[[#This Row],[stock_quantity]]=0,"NO STOCK",
IF(Table1[[#This Row],[stock_quantity]]&lt;=10,"LOW STOCK",
"IN STOCK"))</f>
        <v>IN STOCK</v>
      </c>
      <c r="R1657" s="1">
        <f t="shared" si="102"/>
        <v>1.3</v>
      </c>
      <c r="S1657">
        <v>1.3</v>
      </c>
      <c r="T1657" t="b">
        <v>0</v>
      </c>
      <c r="U1657" t="str">
        <f t="shared" si="103"/>
        <v>No Return</v>
      </c>
    </row>
    <row r="1658" spans="1:22" hidden="1" x14ac:dyDescent="0.3">
      <c r="A1658" t="s">
        <v>1711</v>
      </c>
      <c r="B1658" t="s">
        <v>21</v>
      </c>
      <c r="C1658" t="s">
        <v>22</v>
      </c>
      <c r="D1658" t="s">
        <v>62</v>
      </c>
      <c r="E1658" t="str">
        <f t="shared" si="100"/>
        <v>XS</v>
      </c>
      <c r="F1658" t="s">
        <v>39</v>
      </c>
      <c r="G1658" t="s">
        <v>40</v>
      </c>
      <c r="H1658" s="8">
        <v>69</v>
      </c>
      <c r="I1658" s="3">
        <f t="shared" si="101"/>
        <v>0</v>
      </c>
      <c r="J1658" s="4">
        <v>0</v>
      </c>
      <c r="K1658" s="11">
        <f>Table1[[#This Row],[original_price]]* (Table1[[#This Row],[Markdown percentage updated]])</f>
        <v>0</v>
      </c>
      <c r="L16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58" s="6">
        <v>69</v>
      </c>
      <c r="N16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58" s="7">
        <v>45875</v>
      </c>
      <c r="P1658">
        <v>32</v>
      </c>
      <c r="Q1658" s="16" t="str">
        <f>IF(Table1[[#This Row],[stock_quantity]]=0,"NO STOCK",
IF(Table1[[#This Row],[stock_quantity]]&lt;=10,"LOW STOCK",
"IN STOCK"))</f>
        <v>IN STOCK</v>
      </c>
      <c r="R1658" s="1">
        <f t="shared" si="102"/>
        <v>4.5</v>
      </c>
      <c r="S1658">
        <v>4.5</v>
      </c>
      <c r="T1658" t="b">
        <v>0</v>
      </c>
      <c r="U1658" t="str">
        <f t="shared" si="103"/>
        <v>No Return</v>
      </c>
    </row>
    <row r="1659" spans="1:22" hidden="1" x14ac:dyDescent="0.3">
      <c r="A1659" t="s">
        <v>1712</v>
      </c>
      <c r="B1659" t="s">
        <v>27</v>
      </c>
      <c r="C1659" t="s">
        <v>43</v>
      </c>
      <c r="D1659" t="s">
        <v>34</v>
      </c>
      <c r="E1659" t="str">
        <f t="shared" si="100"/>
        <v>XL</v>
      </c>
      <c r="G1659" t="s">
        <v>66</v>
      </c>
      <c r="H1659" s="8">
        <v>30.2</v>
      </c>
      <c r="I1659" s="3">
        <f t="shared" si="101"/>
        <v>0.27100000000000002</v>
      </c>
      <c r="J1659" s="4">
        <v>27.1</v>
      </c>
      <c r="K1659" s="11">
        <f>Table1[[#This Row],[original_price]]* (Table1[[#This Row],[Markdown percentage updated]])</f>
        <v>8.1842000000000006</v>
      </c>
      <c r="L16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659" s="6">
        <v>22.02</v>
      </c>
      <c r="N16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59" s="7">
        <v>45875</v>
      </c>
      <c r="P1659">
        <v>15</v>
      </c>
      <c r="Q1659" s="16" t="str">
        <f>IF(Table1[[#This Row],[stock_quantity]]=0,"NO STOCK",
IF(Table1[[#This Row],[stock_quantity]]&lt;=10,"LOW STOCK",
"IN STOCK"))</f>
        <v>IN STOCK</v>
      </c>
      <c r="R1659" s="1">
        <f t="shared" si="102"/>
        <v>0</v>
      </c>
      <c r="T1659" t="b">
        <v>0</v>
      </c>
      <c r="U1659" t="str">
        <f t="shared" si="103"/>
        <v>No Return</v>
      </c>
    </row>
    <row r="1660" spans="1:22" hidden="1" x14ac:dyDescent="0.3">
      <c r="A1660" t="s">
        <v>1713</v>
      </c>
      <c r="B1660" t="s">
        <v>21</v>
      </c>
      <c r="C1660" t="s">
        <v>32</v>
      </c>
      <c r="D1660" t="s">
        <v>23</v>
      </c>
      <c r="E1660" t="str">
        <f t="shared" si="100"/>
        <v>XL</v>
      </c>
      <c r="F1660" t="s">
        <v>24</v>
      </c>
      <c r="G1660" t="s">
        <v>56</v>
      </c>
      <c r="H1660" s="8">
        <v>84.92</v>
      </c>
      <c r="I1660" s="3">
        <f t="shared" si="101"/>
        <v>0.59099999999999997</v>
      </c>
      <c r="J1660" s="4">
        <v>59.1</v>
      </c>
      <c r="K1660" s="11">
        <f>Table1[[#This Row],[original_price]]* (Table1[[#This Row],[Markdown percentage updated]])</f>
        <v>50.187719999999999</v>
      </c>
      <c r="L16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60" s="6">
        <v>34.729999999999997</v>
      </c>
      <c r="N16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60" s="7">
        <v>45875</v>
      </c>
      <c r="P1660">
        <v>42</v>
      </c>
      <c r="Q1660" s="16" t="str">
        <f>IF(Table1[[#This Row],[stock_quantity]]=0,"NO STOCK",
IF(Table1[[#This Row],[stock_quantity]]&lt;=10,"LOW STOCK",
"IN STOCK"))</f>
        <v>IN STOCK</v>
      </c>
      <c r="R1660" s="1">
        <f t="shared" si="102"/>
        <v>0</v>
      </c>
      <c r="T1660" t="b">
        <v>0</v>
      </c>
      <c r="U1660" t="str">
        <f t="shared" si="103"/>
        <v>No Return</v>
      </c>
    </row>
    <row r="1661" spans="1:22" hidden="1" x14ac:dyDescent="0.3">
      <c r="A1661" t="s">
        <v>1714</v>
      </c>
      <c r="B1661" t="s">
        <v>21</v>
      </c>
      <c r="C1661" t="s">
        <v>75</v>
      </c>
      <c r="D1661" t="s">
        <v>34</v>
      </c>
      <c r="E1661" t="str">
        <f t="shared" si="100"/>
        <v>XXL</v>
      </c>
      <c r="F1661" t="s">
        <v>55</v>
      </c>
      <c r="G1661" t="s">
        <v>35</v>
      </c>
      <c r="H1661" s="8">
        <v>116.48</v>
      </c>
      <c r="I1661" s="3">
        <f t="shared" si="101"/>
        <v>0</v>
      </c>
      <c r="J1661" s="4">
        <v>0</v>
      </c>
      <c r="K1661" s="11">
        <f>Table1[[#This Row],[original_price]]* (Table1[[#This Row],[Markdown percentage updated]])</f>
        <v>0</v>
      </c>
      <c r="L16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61" s="6">
        <v>116.48</v>
      </c>
      <c r="N16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61" s="7">
        <v>45875</v>
      </c>
      <c r="P1661">
        <v>3</v>
      </c>
      <c r="Q1661" s="17" t="str">
        <f>IF(Table1[[#This Row],[stock_quantity]]=0,"NO STOCK",
IF(Table1[[#This Row],[stock_quantity]]&lt;=10,"LOW STOCK",
"IN STOCK"))</f>
        <v>LOW STOCK</v>
      </c>
      <c r="R1661" s="1">
        <f t="shared" si="102"/>
        <v>1.5</v>
      </c>
      <c r="S1661">
        <v>1.5</v>
      </c>
      <c r="T1661" t="b">
        <v>0</v>
      </c>
      <c r="U1661" t="str">
        <f t="shared" si="103"/>
        <v>No Return</v>
      </c>
    </row>
    <row r="1662" spans="1:22" x14ac:dyDescent="0.3">
      <c r="A1662" t="s">
        <v>1715</v>
      </c>
      <c r="B1662" t="s">
        <v>21</v>
      </c>
      <c r="C1662" t="s">
        <v>48</v>
      </c>
      <c r="D1662" t="s">
        <v>62</v>
      </c>
      <c r="E1662" t="str">
        <f t="shared" si="100"/>
        <v>S</v>
      </c>
      <c r="F1662" t="s">
        <v>18</v>
      </c>
      <c r="G1662" t="s">
        <v>64</v>
      </c>
      <c r="H1662" s="8">
        <v>40.68</v>
      </c>
      <c r="I1662" s="3">
        <f t="shared" si="101"/>
        <v>0</v>
      </c>
      <c r="J1662" s="4">
        <v>0</v>
      </c>
      <c r="K1662" s="11">
        <f>Table1[[#This Row],[original_price]]* (Table1[[#This Row],[Markdown percentage updated]])</f>
        <v>0</v>
      </c>
      <c r="L16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62" s="6">
        <v>40.68</v>
      </c>
      <c r="N16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62" s="7">
        <v>45875</v>
      </c>
      <c r="P1662">
        <v>41</v>
      </c>
      <c r="Q1662" s="16" t="str">
        <f>IF(Table1[[#This Row],[stock_quantity]]=0,"NO STOCK",
IF(Table1[[#This Row],[stock_quantity]]&lt;=10,"LOW STOCK",
"IN STOCK"))</f>
        <v>IN STOCK</v>
      </c>
      <c r="R1662" s="1">
        <f t="shared" si="102"/>
        <v>1.1000000000000001</v>
      </c>
      <c r="S1662">
        <v>1.1000000000000001</v>
      </c>
      <c r="T1662" t="b">
        <v>1</v>
      </c>
      <c r="U1662" s="13" t="str">
        <f t="shared" si="103"/>
        <v>Changed Mind</v>
      </c>
      <c r="V1662" t="s">
        <v>115</v>
      </c>
    </row>
    <row r="1663" spans="1:22" hidden="1" x14ac:dyDescent="0.3">
      <c r="A1663" t="s">
        <v>1716</v>
      </c>
      <c r="B1663" t="s">
        <v>15</v>
      </c>
      <c r="C1663" t="s">
        <v>53</v>
      </c>
      <c r="D1663" t="s">
        <v>62</v>
      </c>
      <c r="E1663" t="str">
        <f t="shared" si="100"/>
        <v>L</v>
      </c>
      <c r="F1663" t="s">
        <v>18</v>
      </c>
      <c r="G1663" t="s">
        <v>28</v>
      </c>
      <c r="H1663" s="8">
        <v>118.92</v>
      </c>
      <c r="I1663" s="3">
        <f t="shared" si="101"/>
        <v>0</v>
      </c>
      <c r="J1663" s="4">
        <v>0</v>
      </c>
      <c r="K1663" s="11">
        <f>Table1[[#This Row],[original_price]]* (Table1[[#This Row],[Markdown percentage updated]])</f>
        <v>0</v>
      </c>
      <c r="L16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63" s="6">
        <v>118.92</v>
      </c>
      <c r="N16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63" s="7">
        <v>45875</v>
      </c>
      <c r="P1663">
        <v>36</v>
      </c>
      <c r="Q1663" s="16" t="str">
        <f>IF(Table1[[#This Row],[stock_quantity]]=0,"NO STOCK",
IF(Table1[[#This Row],[stock_quantity]]&lt;=10,"LOW STOCK",
"IN STOCK"))</f>
        <v>IN STOCK</v>
      </c>
      <c r="R1663" s="1">
        <f t="shared" si="102"/>
        <v>1.8</v>
      </c>
      <c r="S1663">
        <v>1.8</v>
      </c>
      <c r="T1663" t="b">
        <v>1</v>
      </c>
      <c r="U1663" s="13" t="str">
        <f t="shared" si="103"/>
        <v>Wrong Item</v>
      </c>
      <c r="V1663" t="s">
        <v>125</v>
      </c>
    </row>
    <row r="1664" spans="1:22" hidden="1" x14ac:dyDescent="0.3">
      <c r="A1664" t="s">
        <v>1717</v>
      </c>
      <c r="B1664" t="s">
        <v>38</v>
      </c>
      <c r="C1664" t="s">
        <v>53</v>
      </c>
      <c r="D1664" t="s">
        <v>62</v>
      </c>
      <c r="E1664" t="str">
        <f t="shared" si="100"/>
        <v>L</v>
      </c>
      <c r="F1664" t="s">
        <v>49</v>
      </c>
      <c r="G1664" t="s">
        <v>28</v>
      </c>
      <c r="H1664" s="8">
        <v>26.86</v>
      </c>
      <c r="I1664" s="3">
        <f t="shared" si="101"/>
        <v>0</v>
      </c>
      <c r="J1664" s="4">
        <v>0</v>
      </c>
      <c r="K1664" s="11">
        <f>Table1[[#This Row],[original_price]]* (Table1[[#This Row],[Markdown percentage updated]])</f>
        <v>0</v>
      </c>
      <c r="L16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64" s="6">
        <v>26.86</v>
      </c>
      <c r="N16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64" s="7">
        <v>45875</v>
      </c>
      <c r="P1664">
        <v>18</v>
      </c>
      <c r="Q1664" s="16" t="str">
        <f>IF(Table1[[#This Row],[stock_quantity]]=0,"NO STOCK",
IF(Table1[[#This Row],[stock_quantity]]&lt;=10,"LOW STOCK",
"IN STOCK"))</f>
        <v>IN STOCK</v>
      </c>
      <c r="R1664" s="1">
        <f t="shared" si="102"/>
        <v>3.2</v>
      </c>
      <c r="S1664">
        <v>3.2</v>
      </c>
      <c r="T1664" t="b">
        <v>0</v>
      </c>
      <c r="U1664" t="str">
        <f t="shared" si="103"/>
        <v>No Return</v>
      </c>
    </row>
    <row r="1665" spans="1:22" hidden="1" x14ac:dyDescent="0.3">
      <c r="A1665" t="s">
        <v>1718</v>
      </c>
      <c r="B1665" t="s">
        <v>42</v>
      </c>
      <c r="C1665" t="s">
        <v>32</v>
      </c>
      <c r="D1665" t="s">
        <v>34</v>
      </c>
      <c r="E1665" t="str">
        <f t="shared" si="100"/>
        <v>XS</v>
      </c>
      <c r="F1665" t="s">
        <v>39</v>
      </c>
      <c r="G1665" t="s">
        <v>46</v>
      </c>
      <c r="H1665" s="8">
        <v>113.34</v>
      </c>
      <c r="I1665" s="3">
        <f t="shared" si="101"/>
        <v>0</v>
      </c>
      <c r="J1665" s="4">
        <v>0</v>
      </c>
      <c r="K1665" s="11">
        <f>Table1[[#This Row],[original_price]]* (Table1[[#This Row],[Markdown percentage updated]])</f>
        <v>0</v>
      </c>
      <c r="L16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65" s="6">
        <v>113.34</v>
      </c>
      <c r="N16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65" s="7">
        <v>45875</v>
      </c>
      <c r="P1665">
        <v>13</v>
      </c>
      <c r="Q1665" s="16" t="str">
        <f>IF(Table1[[#This Row],[stock_quantity]]=0,"NO STOCK",
IF(Table1[[#This Row],[stock_quantity]]&lt;=10,"LOW STOCK",
"IN STOCK"))</f>
        <v>IN STOCK</v>
      </c>
      <c r="R1665" s="1">
        <f t="shared" si="102"/>
        <v>0</v>
      </c>
      <c r="T1665" t="b">
        <v>0</v>
      </c>
      <c r="U1665" t="str">
        <f t="shared" si="103"/>
        <v>No Return</v>
      </c>
    </row>
    <row r="1666" spans="1:22" hidden="1" x14ac:dyDescent="0.3">
      <c r="A1666" t="s">
        <v>1719</v>
      </c>
      <c r="B1666" t="s">
        <v>21</v>
      </c>
      <c r="C1666" t="s">
        <v>61</v>
      </c>
      <c r="D1666" t="s">
        <v>62</v>
      </c>
      <c r="E1666" t="str">
        <f t="shared" ref="E1666:E1729" si="104">IF(ISBLANK(F1669),"OS",F1669)</f>
        <v>XXL</v>
      </c>
      <c r="F1666" t="s">
        <v>24</v>
      </c>
      <c r="G1666" t="s">
        <v>28</v>
      </c>
      <c r="H1666" s="8">
        <v>40.520000000000003</v>
      </c>
      <c r="I1666" s="3">
        <f t="shared" ref="I1666:I1729" si="105">J1666/100</f>
        <v>8.900000000000001E-2</v>
      </c>
      <c r="J1666" s="4">
        <v>8.9</v>
      </c>
      <c r="K1666" s="11">
        <f>Table1[[#This Row],[original_price]]* (Table1[[#This Row],[Markdown percentage updated]])</f>
        <v>3.6062800000000008</v>
      </c>
      <c r="L16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66" s="6">
        <v>36.909999999999997</v>
      </c>
      <c r="N16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66" s="7">
        <v>45875</v>
      </c>
      <c r="P1666">
        <v>13</v>
      </c>
      <c r="Q1666" s="16" t="str">
        <f>IF(Table1[[#This Row],[stock_quantity]]=0,"NO STOCK",
IF(Table1[[#This Row],[stock_quantity]]&lt;=10,"LOW STOCK",
"IN STOCK"))</f>
        <v>IN STOCK</v>
      </c>
      <c r="R1666" s="1">
        <f t="shared" si="102"/>
        <v>2.5</v>
      </c>
      <c r="S1666">
        <v>2.5</v>
      </c>
      <c r="T1666" t="b">
        <v>0</v>
      </c>
      <c r="U1666" t="str">
        <f t="shared" si="103"/>
        <v>No Return</v>
      </c>
    </row>
    <row r="1667" spans="1:22" hidden="1" x14ac:dyDescent="0.3">
      <c r="A1667" t="s">
        <v>1720</v>
      </c>
      <c r="B1667" t="s">
        <v>38</v>
      </c>
      <c r="C1667" t="s">
        <v>75</v>
      </c>
      <c r="D1667" t="s">
        <v>62</v>
      </c>
      <c r="E1667" t="str">
        <f t="shared" si="104"/>
        <v>XXL</v>
      </c>
      <c r="F1667" t="s">
        <v>24</v>
      </c>
      <c r="G1667" t="s">
        <v>25</v>
      </c>
      <c r="H1667" s="8">
        <v>98.41</v>
      </c>
      <c r="I1667" s="3">
        <f t="shared" si="105"/>
        <v>0</v>
      </c>
      <c r="J1667" s="4">
        <v>0</v>
      </c>
      <c r="K1667" s="11">
        <f>Table1[[#This Row],[original_price]]* (Table1[[#This Row],[Markdown percentage updated]])</f>
        <v>0</v>
      </c>
      <c r="L16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67" s="6">
        <v>98.41</v>
      </c>
      <c r="N16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67" s="7">
        <v>45875</v>
      </c>
      <c r="P1667">
        <v>7</v>
      </c>
      <c r="Q1667" s="17" t="str">
        <f>IF(Table1[[#This Row],[stock_quantity]]=0,"NO STOCK",
IF(Table1[[#This Row],[stock_quantity]]&lt;=10,"LOW STOCK",
"IN STOCK"))</f>
        <v>LOW STOCK</v>
      </c>
      <c r="R1667" s="1">
        <f t="shared" ref="R1667:R1730" si="106">IF(ISBLANK(S1667), 0, S1667)</f>
        <v>4.5999999999999996</v>
      </c>
      <c r="S1667">
        <v>4.5999999999999996</v>
      </c>
      <c r="T1667" t="b">
        <v>0</v>
      </c>
      <c r="U1667" t="str">
        <f t="shared" ref="U1667:U1730" si="107">IF(V1667="","No Return",V1667)</f>
        <v>No Return</v>
      </c>
    </row>
    <row r="1668" spans="1:22" hidden="1" x14ac:dyDescent="0.3">
      <c r="A1668" t="s">
        <v>1721</v>
      </c>
      <c r="B1668" t="s">
        <v>38</v>
      </c>
      <c r="C1668" t="s">
        <v>75</v>
      </c>
      <c r="D1668" t="s">
        <v>23</v>
      </c>
      <c r="E1668" t="str">
        <f t="shared" si="104"/>
        <v>XL</v>
      </c>
      <c r="F1668" t="s">
        <v>55</v>
      </c>
      <c r="G1668" t="s">
        <v>19</v>
      </c>
      <c r="H1668" s="8">
        <v>83.18</v>
      </c>
      <c r="I1668" s="3">
        <f t="shared" si="105"/>
        <v>0</v>
      </c>
      <c r="J1668" s="4">
        <v>0</v>
      </c>
      <c r="K1668" s="11">
        <f>Table1[[#This Row],[original_price]]* (Table1[[#This Row],[Markdown percentage updated]])</f>
        <v>0</v>
      </c>
      <c r="L16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68" s="6">
        <v>83.18</v>
      </c>
      <c r="N16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68" s="7">
        <v>45875</v>
      </c>
      <c r="P1668">
        <v>17</v>
      </c>
      <c r="Q1668" s="16" t="str">
        <f>IF(Table1[[#This Row],[stock_quantity]]=0,"NO STOCK",
IF(Table1[[#This Row],[stock_quantity]]&lt;=10,"LOW STOCK",
"IN STOCK"))</f>
        <v>IN STOCK</v>
      </c>
      <c r="R1668" s="1">
        <f t="shared" si="106"/>
        <v>1.7</v>
      </c>
      <c r="S1668">
        <v>1.7</v>
      </c>
      <c r="T1668" t="b">
        <v>1</v>
      </c>
      <c r="U1668" s="13" t="str">
        <f t="shared" si="107"/>
        <v>Size Issue</v>
      </c>
      <c r="V1668" t="s">
        <v>73</v>
      </c>
    </row>
    <row r="1669" spans="1:22" hidden="1" x14ac:dyDescent="0.3">
      <c r="A1669" t="s">
        <v>1722</v>
      </c>
      <c r="B1669" t="s">
        <v>30</v>
      </c>
      <c r="C1669" t="s">
        <v>48</v>
      </c>
      <c r="D1669" t="s">
        <v>17</v>
      </c>
      <c r="E1669" t="str">
        <f t="shared" si="104"/>
        <v>XXL</v>
      </c>
      <c r="F1669" t="s">
        <v>49</v>
      </c>
      <c r="G1669" t="s">
        <v>66</v>
      </c>
      <c r="H1669" s="8">
        <v>179.31</v>
      </c>
      <c r="I1669" s="3">
        <f t="shared" si="105"/>
        <v>0.24100000000000002</v>
      </c>
      <c r="J1669" s="4">
        <v>24.1</v>
      </c>
      <c r="K1669" s="11">
        <f>Table1[[#This Row],[original_price]]* (Table1[[#This Row],[Markdown percentage updated]])</f>
        <v>43.213710000000006</v>
      </c>
      <c r="L16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669" s="6">
        <v>136.1</v>
      </c>
      <c r="N16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69" s="7">
        <v>45851</v>
      </c>
      <c r="P1669">
        <v>0</v>
      </c>
      <c r="Q1669" s="13" t="str">
        <f>IF(Table1[[#This Row],[stock_quantity]]=0,"NO STOCK",
IF(Table1[[#This Row],[stock_quantity]]&lt;=10,"LOW STOCK",
"IN STOCK"))</f>
        <v>NO STOCK</v>
      </c>
      <c r="R1669" s="1">
        <f t="shared" si="106"/>
        <v>3.1</v>
      </c>
      <c r="S1669">
        <v>3.1</v>
      </c>
      <c r="T1669" t="b">
        <v>0</v>
      </c>
      <c r="U1669" t="str">
        <f t="shared" si="107"/>
        <v>No Return</v>
      </c>
    </row>
    <row r="1670" spans="1:22" hidden="1" x14ac:dyDescent="0.3">
      <c r="A1670" t="s">
        <v>1723</v>
      </c>
      <c r="B1670" t="s">
        <v>21</v>
      </c>
      <c r="C1670" t="s">
        <v>16</v>
      </c>
      <c r="D1670" t="s">
        <v>17</v>
      </c>
      <c r="E1670" t="str">
        <f t="shared" si="104"/>
        <v>L</v>
      </c>
      <c r="F1670" t="s">
        <v>49</v>
      </c>
      <c r="G1670" t="s">
        <v>46</v>
      </c>
      <c r="H1670" s="8">
        <v>47.88</v>
      </c>
      <c r="I1670" s="3">
        <f t="shared" si="105"/>
        <v>0</v>
      </c>
      <c r="J1670" s="4">
        <v>0</v>
      </c>
      <c r="K1670" s="11">
        <f>Table1[[#This Row],[original_price]]* (Table1[[#This Row],[Markdown percentage updated]])</f>
        <v>0</v>
      </c>
      <c r="L16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70" s="6">
        <v>47.88</v>
      </c>
      <c r="N16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70" s="7">
        <v>45647</v>
      </c>
      <c r="P1670">
        <v>44</v>
      </c>
      <c r="Q1670" s="16" t="str">
        <f>IF(Table1[[#This Row],[stock_quantity]]=0,"NO STOCK",
IF(Table1[[#This Row],[stock_quantity]]&lt;=10,"LOW STOCK",
"IN STOCK"))</f>
        <v>IN STOCK</v>
      </c>
      <c r="R1670" s="1">
        <f t="shared" si="106"/>
        <v>1.9</v>
      </c>
      <c r="S1670">
        <v>1.9</v>
      </c>
      <c r="T1670" t="b">
        <v>0</v>
      </c>
      <c r="U1670" t="str">
        <f t="shared" si="107"/>
        <v>No Return</v>
      </c>
    </row>
    <row r="1671" spans="1:22" hidden="1" x14ac:dyDescent="0.3">
      <c r="A1671" t="s">
        <v>1724</v>
      </c>
      <c r="B1671" t="s">
        <v>15</v>
      </c>
      <c r="C1671" t="s">
        <v>43</v>
      </c>
      <c r="D1671" t="s">
        <v>23</v>
      </c>
      <c r="E1671" t="str">
        <f t="shared" si="104"/>
        <v>XS</v>
      </c>
      <c r="F1671" t="s">
        <v>18</v>
      </c>
      <c r="G1671" t="s">
        <v>64</v>
      </c>
      <c r="H1671" s="8">
        <v>89.26</v>
      </c>
      <c r="I1671" s="3">
        <f t="shared" si="105"/>
        <v>0</v>
      </c>
      <c r="J1671" s="4">
        <v>0</v>
      </c>
      <c r="K1671" s="11">
        <f>Table1[[#This Row],[original_price]]* (Table1[[#This Row],[Markdown percentage updated]])</f>
        <v>0</v>
      </c>
      <c r="L16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71" s="6">
        <v>89.26</v>
      </c>
      <c r="N16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71" s="7">
        <v>45875</v>
      </c>
      <c r="P1671">
        <v>43</v>
      </c>
      <c r="Q1671" s="16" t="str">
        <f>IF(Table1[[#This Row],[stock_quantity]]=0,"NO STOCK",
IF(Table1[[#This Row],[stock_quantity]]&lt;=10,"LOW STOCK",
"IN STOCK"))</f>
        <v>IN STOCK</v>
      </c>
      <c r="R1671" s="1">
        <f t="shared" si="106"/>
        <v>3.8</v>
      </c>
      <c r="S1671">
        <v>3.8</v>
      </c>
      <c r="T1671" t="b">
        <v>0</v>
      </c>
      <c r="U1671" t="str">
        <f t="shared" si="107"/>
        <v>No Return</v>
      </c>
    </row>
    <row r="1672" spans="1:22" hidden="1" x14ac:dyDescent="0.3">
      <c r="A1672" t="s">
        <v>1725</v>
      </c>
      <c r="B1672" t="s">
        <v>42</v>
      </c>
      <c r="C1672" t="s">
        <v>61</v>
      </c>
      <c r="D1672" t="s">
        <v>62</v>
      </c>
      <c r="E1672" t="str">
        <f t="shared" si="104"/>
        <v>OS</v>
      </c>
      <c r="F1672" t="s">
        <v>49</v>
      </c>
      <c r="G1672" t="s">
        <v>28</v>
      </c>
      <c r="H1672" s="8">
        <v>114.2</v>
      </c>
      <c r="I1672" s="3">
        <f t="shared" si="105"/>
        <v>0</v>
      </c>
      <c r="J1672" s="4">
        <v>0</v>
      </c>
      <c r="K1672" s="11">
        <f>Table1[[#This Row],[original_price]]* (Table1[[#This Row],[Markdown percentage updated]])</f>
        <v>0</v>
      </c>
      <c r="L16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72" s="6">
        <v>114.2</v>
      </c>
      <c r="N16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72" s="7">
        <v>45875</v>
      </c>
      <c r="P1672">
        <v>15</v>
      </c>
      <c r="Q1672" s="16" t="str">
        <f>IF(Table1[[#This Row],[stock_quantity]]=0,"NO STOCK",
IF(Table1[[#This Row],[stock_quantity]]&lt;=10,"LOW STOCK",
"IN STOCK"))</f>
        <v>IN STOCK</v>
      </c>
      <c r="R1672" s="1">
        <f t="shared" si="106"/>
        <v>0</v>
      </c>
      <c r="T1672" t="b">
        <v>0</v>
      </c>
      <c r="U1672" t="str">
        <f t="shared" si="107"/>
        <v>No Return</v>
      </c>
    </row>
    <row r="1673" spans="1:22" hidden="1" x14ac:dyDescent="0.3">
      <c r="A1673" t="s">
        <v>1726</v>
      </c>
      <c r="B1673" t="s">
        <v>30</v>
      </c>
      <c r="C1673" t="s">
        <v>61</v>
      </c>
      <c r="D1673" t="s">
        <v>62</v>
      </c>
      <c r="E1673" t="str">
        <f t="shared" si="104"/>
        <v>OS</v>
      </c>
      <c r="F1673" t="s">
        <v>24</v>
      </c>
      <c r="G1673" t="s">
        <v>46</v>
      </c>
      <c r="H1673" s="8">
        <v>169.5</v>
      </c>
      <c r="I1673" s="3">
        <f t="shared" si="105"/>
        <v>0.59699999999999998</v>
      </c>
      <c r="J1673" s="4">
        <v>59.7</v>
      </c>
      <c r="K1673" s="11">
        <f>Table1[[#This Row],[original_price]]* (Table1[[#This Row],[Markdown percentage updated]])</f>
        <v>101.19149999999999</v>
      </c>
      <c r="L16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73" s="6">
        <v>68.31</v>
      </c>
      <c r="N16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73" s="7">
        <v>45875</v>
      </c>
      <c r="P1673">
        <v>16</v>
      </c>
      <c r="Q1673" s="16" t="str">
        <f>IF(Table1[[#This Row],[stock_quantity]]=0,"NO STOCK",
IF(Table1[[#This Row],[stock_quantity]]&lt;=10,"LOW STOCK",
"IN STOCK"))</f>
        <v>IN STOCK</v>
      </c>
      <c r="R1673" s="1">
        <f t="shared" si="106"/>
        <v>1.8</v>
      </c>
      <c r="S1673">
        <v>1.8</v>
      </c>
      <c r="T1673" t="b">
        <v>0</v>
      </c>
      <c r="U1673" t="str">
        <f t="shared" si="107"/>
        <v>No Return</v>
      </c>
    </row>
    <row r="1674" spans="1:22" hidden="1" x14ac:dyDescent="0.3">
      <c r="A1674" t="s">
        <v>1727</v>
      </c>
      <c r="B1674" t="s">
        <v>21</v>
      </c>
      <c r="C1674" t="s">
        <v>48</v>
      </c>
      <c r="D1674" t="s">
        <v>34</v>
      </c>
      <c r="E1674" t="str">
        <f t="shared" si="104"/>
        <v>OS</v>
      </c>
      <c r="F1674" t="s">
        <v>55</v>
      </c>
      <c r="G1674" t="s">
        <v>35</v>
      </c>
      <c r="H1674" s="8">
        <v>77.989999999999995</v>
      </c>
      <c r="I1674" s="3">
        <f t="shared" si="105"/>
        <v>0</v>
      </c>
      <c r="J1674" s="4">
        <v>0</v>
      </c>
      <c r="K1674" s="11">
        <f>Table1[[#This Row],[original_price]]* (Table1[[#This Row],[Markdown percentage updated]])</f>
        <v>0</v>
      </c>
      <c r="L16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74" s="6">
        <v>77.989999999999995</v>
      </c>
      <c r="N16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74" s="7">
        <v>45875</v>
      </c>
      <c r="P1674">
        <v>42</v>
      </c>
      <c r="Q1674" s="16" t="str">
        <f>IF(Table1[[#This Row],[stock_quantity]]=0,"NO STOCK",
IF(Table1[[#This Row],[stock_quantity]]&lt;=10,"LOW STOCK",
"IN STOCK"))</f>
        <v>IN STOCK</v>
      </c>
      <c r="R1674" s="1">
        <f t="shared" si="106"/>
        <v>0</v>
      </c>
      <c r="T1674" t="b">
        <v>0</v>
      </c>
      <c r="U1674" t="str">
        <f t="shared" si="107"/>
        <v>No Return</v>
      </c>
    </row>
    <row r="1675" spans="1:22" hidden="1" x14ac:dyDescent="0.3">
      <c r="A1675" t="s">
        <v>1728</v>
      </c>
      <c r="B1675" t="s">
        <v>38</v>
      </c>
      <c r="C1675" t="s">
        <v>53</v>
      </c>
      <c r="D1675" t="s">
        <v>34</v>
      </c>
      <c r="E1675" t="str">
        <f t="shared" si="104"/>
        <v>OS</v>
      </c>
      <c r="G1675" t="s">
        <v>25</v>
      </c>
      <c r="H1675" s="8">
        <v>103.77</v>
      </c>
      <c r="I1675" s="3">
        <f t="shared" si="105"/>
        <v>0</v>
      </c>
      <c r="J1675" s="4">
        <v>0</v>
      </c>
      <c r="K1675" s="11">
        <f>Table1[[#This Row],[original_price]]* (Table1[[#This Row],[Markdown percentage updated]])</f>
        <v>0</v>
      </c>
      <c r="L16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75" s="6">
        <v>103.77</v>
      </c>
      <c r="N16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75" s="7">
        <v>45875</v>
      </c>
      <c r="P1675">
        <v>12</v>
      </c>
      <c r="Q1675" s="16" t="str">
        <f>IF(Table1[[#This Row],[stock_quantity]]=0,"NO STOCK",
IF(Table1[[#This Row],[stock_quantity]]&lt;=10,"LOW STOCK",
"IN STOCK"))</f>
        <v>IN STOCK</v>
      </c>
      <c r="R1675" s="1">
        <f t="shared" si="106"/>
        <v>4.4000000000000004</v>
      </c>
      <c r="S1675">
        <v>4.4000000000000004</v>
      </c>
      <c r="T1675" t="b">
        <v>0</v>
      </c>
      <c r="U1675" t="str">
        <f t="shared" si="107"/>
        <v>No Return</v>
      </c>
    </row>
    <row r="1676" spans="1:22" hidden="1" x14ac:dyDescent="0.3">
      <c r="A1676" t="s">
        <v>1729</v>
      </c>
      <c r="B1676" t="s">
        <v>27</v>
      </c>
      <c r="C1676" t="s">
        <v>75</v>
      </c>
      <c r="D1676" t="s">
        <v>34</v>
      </c>
      <c r="E1676" t="str">
        <f t="shared" si="104"/>
        <v>S</v>
      </c>
      <c r="G1676" t="s">
        <v>28</v>
      </c>
      <c r="H1676" s="8">
        <v>42.96</v>
      </c>
      <c r="I1676" s="3">
        <f t="shared" si="105"/>
        <v>0</v>
      </c>
      <c r="J1676" s="4">
        <v>0</v>
      </c>
      <c r="K1676" s="11">
        <f>Table1[[#This Row],[original_price]]* (Table1[[#This Row],[Markdown percentage updated]])</f>
        <v>0</v>
      </c>
      <c r="L16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76" s="6">
        <v>42.96</v>
      </c>
      <c r="N16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76" s="7">
        <v>45875</v>
      </c>
      <c r="P1676">
        <v>36</v>
      </c>
      <c r="Q1676" s="16" t="str">
        <f>IF(Table1[[#This Row],[stock_quantity]]=0,"NO STOCK",
IF(Table1[[#This Row],[stock_quantity]]&lt;=10,"LOW STOCK",
"IN STOCK"))</f>
        <v>IN STOCK</v>
      </c>
      <c r="R1676" s="1">
        <f t="shared" si="106"/>
        <v>1.1000000000000001</v>
      </c>
      <c r="S1676">
        <v>1.1000000000000001</v>
      </c>
      <c r="T1676" t="b">
        <v>0</v>
      </c>
      <c r="U1676" t="str">
        <f t="shared" si="107"/>
        <v>No Return</v>
      </c>
    </row>
    <row r="1677" spans="1:22" hidden="1" x14ac:dyDescent="0.3">
      <c r="A1677" t="s">
        <v>1730</v>
      </c>
      <c r="B1677" t="s">
        <v>42</v>
      </c>
      <c r="C1677" t="s">
        <v>32</v>
      </c>
      <c r="D1677" t="s">
        <v>34</v>
      </c>
      <c r="E1677" t="str">
        <f t="shared" si="104"/>
        <v>M</v>
      </c>
      <c r="G1677" t="s">
        <v>70</v>
      </c>
      <c r="H1677" s="8">
        <v>126.11</v>
      </c>
      <c r="I1677" s="3">
        <f t="shared" si="105"/>
        <v>0</v>
      </c>
      <c r="J1677" s="4">
        <v>0</v>
      </c>
      <c r="K1677" s="11">
        <f>Table1[[#This Row],[original_price]]* (Table1[[#This Row],[Markdown percentage updated]])</f>
        <v>0</v>
      </c>
      <c r="L16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77" s="6">
        <v>126.11</v>
      </c>
      <c r="N16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77" s="7">
        <v>45875</v>
      </c>
      <c r="P1677">
        <v>16</v>
      </c>
      <c r="Q1677" s="16" t="str">
        <f>IF(Table1[[#This Row],[stock_quantity]]=0,"NO STOCK",
IF(Table1[[#This Row],[stock_quantity]]&lt;=10,"LOW STOCK",
"IN STOCK"))</f>
        <v>IN STOCK</v>
      </c>
      <c r="R1677" s="1">
        <f t="shared" si="106"/>
        <v>3.5</v>
      </c>
      <c r="S1677">
        <v>3.5</v>
      </c>
      <c r="T1677" t="b">
        <v>0</v>
      </c>
      <c r="U1677" t="str">
        <f t="shared" si="107"/>
        <v>No Return</v>
      </c>
    </row>
    <row r="1678" spans="1:22" hidden="1" x14ac:dyDescent="0.3">
      <c r="A1678" t="s">
        <v>1731</v>
      </c>
      <c r="B1678" t="s">
        <v>27</v>
      </c>
      <c r="C1678" t="s">
        <v>32</v>
      </c>
      <c r="D1678" t="s">
        <v>62</v>
      </c>
      <c r="E1678" t="str">
        <f t="shared" si="104"/>
        <v>OS</v>
      </c>
      <c r="G1678" t="s">
        <v>56</v>
      </c>
      <c r="H1678" s="8">
        <v>43.83</v>
      </c>
      <c r="I1678" s="3">
        <f t="shared" si="105"/>
        <v>0</v>
      </c>
      <c r="J1678" s="4">
        <v>0</v>
      </c>
      <c r="K1678" s="11">
        <f>Table1[[#This Row],[original_price]]* (Table1[[#This Row],[Markdown percentage updated]])</f>
        <v>0</v>
      </c>
      <c r="L16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78" s="6">
        <v>43.83</v>
      </c>
      <c r="N16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78" s="7">
        <v>45875</v>
      </c>
      <c r="P1678">
        <v>31</v>
      </c>
      <c r="Q1678" s="16" t="str">
        <f>IF(Table1[[#This Row],[stock_quantity]]=0,"NO STOCK",
IF(Table1[[#This Row],[stock_quantity]]&lt;=10,"LOW STOCK",
"IN STOCK"))</f>
        <v>IN STOCK</v>
      </c>
      <c r="R1678" s="1">
        <f t="shared" si="106"/>
        <v>2.5</v>
      </c>
      <c r="S1678">
        <v>2.5</v>
      </c>
      <c r="T1678" t="b">
        <v>0</v>
      </c>
      <c r="U1678" t="str">
        <f t="shared" si="107"/>
        <v>No Return</v>
      </c>
    </row>
    <row r="1679" spans="1:22" hidden="1" x14ac:dyDescent="0.3">
      <c r="A1679" t="s">
        <v>1732</v>
      </c>
      <c r="B1679" t="s">
        <v>30</v>
      </c>
      <c r="C1679" t="s">
        <v>32</v>
      </c>
      <c r="D1679" t="s">
        <v>34</v>
      </c>
      <c r="E1679" t="str">
        <f t="shared" si="104"/>
        <v>M</v>
      </c>
      <c r="F1679" t="s">
        <v>39</v>
      </c>
      <c r="G1679" t="s">
        <v>56</v>
      </c>
      <c r="H1679" s="8">
        <v>94.1</v>
      </c>
      <c r="I1679" s="3">
        <f t="shared" si="105"/>
        <v>0</v>
      </c>
      <c r="J1679" s="4">
        <v>0</v>
      </c>
      <c r="K1679" s="11">
        <f>Table1[[#This Row],[original_price]]* (Table1[[#This Row],[Markdown percentage updated]])</f>
        <v>0</v>
      </c>
      <c r="L16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79" s="6">
        <v>94.1</v>
      </c>
      <c r="N16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79" s="7">
        <v>45875</v>
      </c>
      <c r="P1679">
        <v>24</v>
      </c>
      <c r="Q1679" s="16" t="str">
        <f>IF(Table1[[#This Row],[stock_quantity]]=0,"NO STOCK",
IF(Table1[[#This Row],[stock_quantity]]&lt;=10,"LOW STOCK",
"IN STOCK"))</f>
        <v>IN STOCK</v>
      </c>
      <c r="R1679" s="1">
        <f t="shared" si="106"/>
        <v>1.4</v>
      </c>
      <c r="S1679">
        <v>1.4</v>
      </c>
      <c r="T1679" t="b">
        <v>0</v>
      </c>
      <c r="U1679" t="str">
        <f t="shared" si="107"/>
        <v>No Return</v>
      </c>
    </row>
    <row r="1680" spans="1:22" hidden="1" x14ac:dyDescent="0.3">
      <c r="A1680" t="s">
        <v>1733</v>
      </c>
      <c r="B1680" t="s">
        <v>30</v>
      </c>
      <c r="C1680" t="s">
        <v>16</v>
      </c>
      <c r="D1680" t="s">
        <v>34</v>
      </c>
      <c r="E1680" t="str">
        <f t="shared" si="104"/>
        <v>M</v>
      </c>
      <c r="F1680" t="s">
        <v>58</v>
      </c>
      <c r="G1680" t="s">
        <v>19</v>
      </c>
      <c r="H1680" s="8">
        <v>151.27000000000001</v>
      </c>
      <c r="I1680" s="3">
        <f t="shared" si="105"/>
        <v>0</v>
      </c>
      <c r="J1680" s="4">
        <v>0</v>
      </c>
      <c r="K1680" s="11">
        <f>Table1[[#This Row],[original_price]]* (Table1[[#This Row],[Markdown percentage updated]])</f>
        <v>0</v>
      </c>
      <c r="L16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80" s="6">
        <v>151.27000000000001</v>
      </c>
      <c r="N16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80" s="7">
        <v>45875</v>
      </c>
      <c r="P1680">
        <v>39</v>
      </c>
      <c r="Q1680" s="16" t="str">
        <f>IF(Table1[[#This Row],[stock_quantity]]=0,"NO STOCK",
IF(Table1[[#This Row],[stock_quantity]]&lt;=10,"LOW STOCK",
"IN STOCK"))</f>
        <v>IN STOCK</v>
      </c>
      <c r="R1680" s="1">
        <f t="shared" si="106"/>
        <v>4</v>
      </c>
      <c r="S1680">
        <v>4</v>
      </c>
      <c r="T1680" t="b">
        <v>1</v>
      </c>
      <c r="U1680" s="13" t="str">
        <f t="shared" si="107"/>
        <v>Damaged</v>
      </c>
      <c r="V1680" t="s">
        <v>78</v>
      </c>
    </row>
    <row r="1681" spans="1:22" hidden="1" x14ac:dyDescent="0.3">
      <c r="A1681" t="s">
        <v>1734</v>
      </c>
      <c r="B1681" t="s">
        <v>27</v>
      </c>
      <c r="C1681" t="s">
        <v>61</v>
      </c>
      <c r="D1681" t="s">
        <v>17</v>
      </c>
      <c r="E1681" t="str">
        <f t="shared" si="104"/>
        <v>L</v>
      </c>
      <c r="G1681" t="s">
        <v>64</v>
      </c>
      <c r="H1681" s="8">
        <v>61.47</v>
      </c>
      <c r="I1681" s="3">
        <f t="shared" si="105"/>
        <v>0</v>
      </c>
      <c r="J1681" s="4">
        <v>0</v>
      </c>
      <c r="K1681" s="11">
        <f>Table1[[#This Row],[original_price]]* (Table1[[#This Row],[Markdown percentage updated]])</f>
        <v>0</v>
      </c>
      <c r="L16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81" s="6">
        <v>61.47</v>
      </c>
      <c r="N16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81" s="7">
        <v>45529</v>
      </c>
      <c r="P1681">
        <v>44</v>
      </c>
      <c r="Q1681" s="16" t="str">
        <f>IF(Table1[[#This Row],[stock_quantity]]=0,"NO STOCK",
IF(Table1[[#This Row],[stock_quantity]]&lt;=10,"LOW STOCK",
"IN STOCK"))</f>
        <v>IN STOCK</v>
      </c>
      <c r="R1681" s="1">
        <f t="shared" si="106"/>
        <v>0</v>
      </c>
      <c r="T1681" t="b">
        <v>0</v>
      </c>
      <c r="U1681" t="str">
        <f t="shared" si="107"/>
        <v>No Return</v>
      </c>
    </row>
    <row r="1682" spans="1:22" hidden="1" x14ac:dyDescent="0.3">
      <c r="A1682" t="s">
        <v>1735</v>
      </c>
      <c r="B1682" t="s">
        <v>30</v>
      </c>
      <c r="C1682" t="s">
        <v>43</v>
      </c>
      <c r="D1682" t="s">
        <v>62</v>
      </c>
      <c r="E1682" t="str">
        <f t="shared" si="104"/>
        <v>XXL</v>
      </c>
      <c r="F1682" t="s">
        <v>58</v>
      </c>
      <c r="G1682" t="s">
        <v>64</v>
      </c>
      <c r="H1682" s="8">
        <v>185.96</v>
      </c>
      <c r="I1682" s="3">
        <f t="shared" si="105"/>
        <v>0</v>
      </c>
      <c r="J1682" s="4">
        <v>0</v>
      </c>
      <c r="K1682" s="11">
        <f>Table1[[#This Row],[original_price]]* (Table1[[#This Row],[Markdown percentage updated]])</f>
        <v>0</v>
      </c>
      <c r="L16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82" s="6">
        <v>185.96</v>
      </c>
      <c r="N16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82" s="7">
        <v>45875</v>
      </c>
      <c r="P1682">
        <v>35</v>
      </c>
      <c r="Q1682" s="16" t="str">
        <f>IF(Table1[[#This Row],[stock_quantity]]=0,"NO STOCK",
IF(Table1[[#This Row],[stock_quantity]]&lt;=10,"LOW STOCK",
"IN STOCK"))</f>
        <v>IN STOCK</v>
      </c>
      <c r="R1682" s="1">
        <f t="shared" si="106"/>
        <v>1.3</v>
      </c>
      <c r="S1682">
        <v>1.3</v>
      </c>
      <c r="T1682" t="b">
        <v>0</v>
      </c>
      <c r="U1682" t="str">
        <f t="shared" si="107"/>
        <v>No Return</v>
      </c>
    </row>
    <row r="1683" spans="1:22" hidden="1" x14ac:dyDescent="0.3">
      <c r="A1683" t="s">
        <v>1736</v>
      </c>
      <c r="B1683" t="s">
        <v>42</v>
      </c>
      <c r="C1683" t="s">
        <v>61</v>
      </c>
      <c r="D1683" t="s">
        <v>34</v>
      </c>
      <c r="E1683" t="str">
        <f t="shared" si="104"/>
        <v>XL</v>
      </c>
      <c r="F1683" t="s">
        <v>58</v>
      </c>
      <c r="G1683" t="s">
        <v>19</v>
      </c>
      <c r="H1683" s="8">
        <v>113.05</v>
      </c>
      <c r="I1683" s="3">
        <f t="shared" si="105"/>
        <v>0</v>
      </c>
      <c r="J1683" s="4">
        <v>0</v>
      </c>
      <c r="K1683" s="11">
        <f>Table1[[#This Row],[original_price]]* (Table1[[#This Row],[Markdown percentage updated]])</f>
        <v>0</v>
      </c>
      <c r="L16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83" s="6">
        <v>113.05</v>
      </c>
      <c r="N16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83" s="7">
        <v>45875</v>
      </c>
      <c r="P1683">
        <v>47</v>
      </c>
      <c r="Q1683" s="16" t="str">
        <f>IF(Table1[[#This Row],[stock_quantity]]=0,"NO STOCK",
IF(Table1[[#This Row],[stock_quantity]]&lt;=10,"LOW STOCK",
"IN STOCK"))</f>
        <v>IN STOCK</v>
      </c>
      <c r="R1683" s="1">
        <f t="shared" si="106"/>
        <v>2</v>
      </c>
      <c r="S1683">
        <v>2</v>
      </c>
      <c r="T1683" t="b">
        <v>0</v>
      </c>
      <c r="U1683" t="str">
        <f t="shared" si="107"/>
        <v>No Return</v>
      </c>
    </row>
    <row r="1684" spans="1:22" hidden="1" x14ac:dyDescent="0.3">
      <c r="A1684" t="s">
        <v>1737</v>
      </c>
      <c r="B1684" t="s">
        <v>21</v>
      </c>
      <c r="C1684" t="s">
        <v>32</v>
      </c>
      <c r="D1684" t="s">
        <v>62</v>
      </c>
      <c r="E1684" t="str">
        <f t="shared" si="104"/>
        <v>L</v>
      </c>
      <c r="F1684" t="s">
        <v>24</v>
      </c>
      <c r="G1684" t="s">
        <v>70</v>
      </c>
      <c r="H1684" s="8">
        <v>110.9</v>
      </c>
      <c r="I1684" s="3">
        <f t="shared" si="105"/>
        <v>0.34700000000000003</v>
      </c>
      <c r="J1684" s="4">
        <v>34.700000000000003</v>
      </c>
      <c r="K1684" s="11">
        <f>Table1[[#This Row],[original_price]]* (Table1[[#This Row],[Markdown percentage updated]])</f>
        <v>38.482300000000002</v>
      </c>
      <c r="L16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84" s="6">
        <v>72.42</v>
      </c>
      <c r="N16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84" s="7">
        <v>45875</v>
      </c>
      <c r="P1684">
        <v>2</v>
      </c>
      <c r="Q1684" s="17" t="str">
        <f>IF(Table1[[#This Row],[stock_quantity]]=0,"NO STOCK",
IF(Table1[[#This Row],[stock_quantity]]&lt;=10,"LOW STOCK",
"IN STOCK"))</f>
        <v>LOW STOCK</v>
      </c>
      <c r="R1684" s="1">
        <f t="shared" si="106"/>
        <v>2.5</v>
      </c>
      <c r="S1684">
        <v>2.5</v>
      </c>
      <c r="T1684" t="b">
        <v>0</v>
      </c>
      <c r="U1684" t="str">
        <f t="shared" si="107"/>
        <v>No Return</v>
      </c>
    </row>
    <row r="1685" spans="1:22" hidden="1" x14ac:dyDescent="0.3">
      <c r="A1685" t="s">
        <v>1738</v>
      </c>
      <c r="B1685" t="s">
        <v>21</v>
      </c>
      <c r="C1685" t="s">
        <v>22</v>
      </c>
      <c r="D1685" t="s">
        <v>62</v>
      </c>
      <c r="E1685" t="str">
        <f t="shared" si="104"/>
        <v>XXL</v>
      </c>
      <c r="F1685" t="s">
        <v>49</v>
      </c>
      <c r="G1685" t="s">
        <v>35</v>
      </c>
      <c r="H1685" s="8">
        <v>29.04</v>
      </c>
      <c r="I1685" s="3">
        <f t="shared" si="105"/>
        <v>0</v>
      </c>
      <c r="J1685" s="4">
        <v>0</v>
      </c>
      <c r="K1685" s="11">
        <f>Table1[[#This Row],[original_price]]* (Table1[[#This Row],[Markdown percentage updated]])</f>
        <v>0</v>
      </c>
      <c r="L16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85" s="6">
        <v>29.04</v>
      </c>
      <c r="N16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85" s="7">
        <v>45875</v>
      </c>
      <c r="P1685">
        <v>4</v>
      </c>
      <c r="Q1685" s="17" t="str">
        <f>IF(Table1[[#This Row],[stock_quantity]]=0,"NO STOCK",
IF(Table1[[#This Row],[stock_quantity]]&lt;=10,"LOW STOCK",
"IN STOCK"))</f>
        <v>LOW STOCK</v>
      </c>
      <c r="R1685" s="1">
        <f t="shared" si="106"/>
        <v>5</v>
      </c>
      <c r="S1685">
        <v>5</v>
      </c>
      <c r="T1685" t="b">
        <v>0</v>
      </c>
      <c r="U1685" t="str">
        <f t="shared" si="107"/>
        <v>No Return</v>
      </c>
    </row>
    <row r="1686" spans="1:22" hidden="1" x14ac:dyDescent="0.3">
      <c r="A1686" t="s">
        <v>1739</v>
      </c>
      <c r="B1686" t="s">
        <v>30</v>
      </c>
      <c r="C1686" t="s">
        <v>75</v>
      </c>
      <c r="D1686" t="s">
        <v>17</v>
      </c>
      <c r="E1686" t="str">
        <f t="shared" si="104"/>
        <v>XS</v>
      </c>
      <c r="F1686" t="s">
        <v>18</v>
      </c>
      <c r="G1686" t="s">
        <v>40</v>
      </c>
      <c r="H1686" s="8">
        <v>164.48</v>
      </c>
      <c r="I1686" s="3">
        <f t="shared" si="105"/>
        <v>0.51500000000000001</v>
      </c>
      <c r="J1686" s="4">
        <v>51.5</v>
      </c>
      <c r="K1686" s="11">
        <f>Table1[[#This Row],[original_price]]* (Table1[[#This Row],[Markdown percentage updated]])</f>
        <v>84.7072</v>
      </c>
      <c r="L16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86" s="6">
        <v>79.77</v>
      </c>
      <c r="N16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86" s="7">
        <v>45542</v>
      </c>
      <c r="P1686">
        <v>27</v>
      </c>
      <c r="Q1686" s="16" t="str">
        <f>IF(Table1[[#This Row],[stock_quantity]]=0,"NO STOCK",
IF(Table1[[#This Row],[stock_quantity]]&lt;=10,"LOW STOCK",
"IN STOCK"))</f>
        <v>IN STOCK</v>
      </c>
      <c r="R1686" s="1">
        <f t="shared" si="106"/>
        <v>3.4</v>
      </c>
      <c r="S1686">
        <v>3.4</v>
      </c>
      <c r="T1686" t="b">
        <v>0</v>
      </c>
      <c r="U1686" t="str">
        <f t="shared" si="107"/>
        <v>No Return</v>
      </c>
    </row>
    <row r="1687" spans="1:22" x14ac:dyDescent="0.3">
      <c r="A1687" t="s">
        <v>1740</v>
      </c>
      <c r="B1687" t="s">
        <v>38</v>
      </c>
      <c r="C1687" t="s">
        <v>32</v>
      </c>
      <c r="D1687" t="s">
        <v>23</v>
      </c>
      <c r="E1687" t="str">
        <f t="shared" si="104"/>
        <v>L</v>
      </c>
      <c r="F1687" t="s">
        <v>24</v>
      </c>
      <c r="G1687" t="s">
        <v>35</v>
      </c>
      <c r="H1687" s="8">
        <v>52.51</v>
      </c>
      <c r="I1687" s="3">
        <f t="shared" si="105"/>
        <v>0.49399999999999999</v>
      </c>
      <c r="J1687" s="4">
        <v>49.4</v>
      </c>
      <c r="K1687" s="11">
        <f>Table1[[#This Row],[original_price]]* (Table1[[#This Row],[Markdown percentage updated]])</f>
        <v>25.93994</v>
      </c>
      <c r="L16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87" s="6">
        <v>26.57</v>
      </c>
      <c r="N16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87" s="7">
        <v>45875</v>
      </c>
      <c r="P1687">
        <v>37</v>
      </c>
      <c r="Q1687" s="16" t="str">
        <f>IF(Table1[[#This Row],[stock_quantity]]=0,"NO STOCK",
IF(Table1[[#This Row],[stock_quantity]]&lt;=10,"LOW STOCK",
"IN STOCK"))</f>
        <v>IN STOCK</v>
      </c>
      <c r="R1687" s="1">
        <f t="shared" si="106"/>
        <v>3.5</v>
      </c>
      <c r="S1687">
        <v>3.5</v>
      </c>
      <c r="T1687" t="b">
        <v>1</v>
      </c>
      <c r="U1687" s="13" t="str">
        <f t="shared" si="107"/>
        <v>Changed Mind</v>
      </c>
      <c r="V1687" t="s">
        <v>115</v>
      </c>
    </row>
    <row r="1688" spans="1:22" x14ac:dyDescent="0.3">
      <c r="A1688" t="s">
        <v>1741</v>
      </c>
      <c r="B1688" t="s">
        <v>42</v>
      </c>
      <c r="C1688" t="s">
        <v>53</v>
      </c>
      <c r="D1688" t="s">
        <v>23</v>
      </c>
      <c r="E1688" t="str">
        <f t="shared" si="104"/>
        <v>OS</v>
      </c>
      <c r="F1688" t="s">
        <v>49</v>
      </c>
      <c r="G1688" t="s">
        <v>40</v>
      </c>
      <c r="H1688" s="8">
        <v>175.74</v>
      </c>
      <c r="I1688" s="3">
        <f t="shared" si="105"/>
        <v>0.42899999999999999</v>
      </c>
      <c r="J1688" s="4">
        <v>42.9</v>
      </c>
      <c r="K1688" s="11">
        <f>Table1[[#This Row],[original_price]]* (Table1[[#This Row],[Markdown percentage updated]])</f>
        <v>75.39246</v>
      </c>
      <c r="L16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88" s="6">
        <v>100.35</v>
      </c>
      <c r="N16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88" s="7">
        <v>45875</v>
      </c>
      <c r="P1688">
        <v>48</v>
      </c>
      <c r="Q1688" s="16" t="str">
        <f>IF(Table1[[#This Row],[stock_quantity]]=0,"NO STOCK",
IF(Table1[[#This Row],[stock_quantity]]&lt;=10,"LOW STOCK",
"IN STOCK"))</f>
        <v>IN STOCK</v>
      </c>
      <c r="R1688" s="1">
        <f t="shared" si="106"/>
        <v>0</v>
      </c>
      <c r="T1688" t="b">
        <v>1</v>
      </c>
      <c r="U1688" s="13" t="str">
        <f t="shared" si="107"/>
        <v>Changed Mind</v>
      </c>
      <c r="V1688" t="s">
        <v>115</v>
      </c>
    </row>
    <row r="1689" spans="1:22" hidden="1" x14ac:dyDescent="0.3">
      <c r="A1689" t="s">
        <v>1742</v>
      </c>
      <c r="B1689" t="s">
        <v>21</v>
      </c>
      <c r="C1689" t="s">
        <v>53</v>
      </c>
      <c r="D1689" t="s">
        <v>17</v>
      </c>
      <c r="E1689" t="str">
        <f t="shared" si="104"/>
        <v>OS</v>
      </c>
      <c r="F1689" t="s">
        <v>55</v>
      </c>
      <c r="G1689" t="s">
        <v>56</v>
      </c>
      <c r="H1689" s="8">
        <v>57.06</v>
      </c>
      <c r="I1689" s="3">
        <f t="shared" si="105"/>
        <v>0.27500000000000002</v>
      </c>
      <c r="J1689" s="4">
        <v>27.5</v>
      </c>
      <c r="K1689" s="11">
        <f>Table1[[#This Row],[original_price]]* (Table1[[#This Row],[Markdown percentage updated]])</f>
        <v>15.691500000000001</v>
      </c>
      <c r="L16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689" s="6">
        <v>41.37</v>
      </c>
      <c r="N16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89" s="7">
        <v>45651</v>
      </c>
      <c r="P1689">
        <v>43</v>
      </c>
      <c r="Q1689" s="16" t="str">
        <f>IF(Table1[[#This Row],[stock_quantity]]=0,"NO STOCK",
IF(Table1[[#This Row],[stock_quantity]]&lt;=10,"LOW STOCK",
"IN STOCK"))</f>
        <v>IN STOCK</v>
      </c>
      <c r="R1689" s="1">
        <f t="shared" si="106"/>
        <v>1.8</v>
      </c>
      <c r="S1689">
        <v>1.8</v>
      </c>
      <c r="T1689" t="b">
        <v>0</v>
      </c>
      <c r="U1689" t="str">
        <f t="shared" si="107"/>
        <v>No Return</v>
      </c>
    </row>
    <row r="1690" spans="1:22" hidden="1" x14ac:dyDescent="0.3">
      <c r="A1690" t="s">
        <v>1743</v>
      </c>
      <c r="B1690" t="s">
        <v>42</v>
      </c>
      <c r="C1690" t="s">
        <v>53</v>
      </c>
      <c r="D1690" t="s">
        <v>23</v>
      </c>
      <c r="E1690" t="str">
        <f t="shared" si="104"/>
        <v>OS</v>
      </c>
      <c r="F1690" t="s">
        <v>24</v>
      </c>
      <c r="G1690" t="s">
        <v>28</v>
      </c>
      <c r="H1690" s="8">
        <v>158.24</v>
      </c>
      <c r="I1690" s="3">
        <f t="shared" si="105"/>
        <v>0</v>
      </c>
      <c r="J1690" s="4">
        <v>0</v>
      </c>
      <c r="K1690" s="11">
        <f>Table1[[#This Row],[original_price]]* (Table1[[#This Row],[Markdown percentage updated]])</f>
        <v>0</v>
      </c>
      <c r="L16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90" s="6">
        <v>158.24</v>
      </c>
      <c r="N16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90" s="7">
        <v>45875</v>
      </c>
      <c r="P1690">
        <v>41</v>
      </c>
      <c r="Q1690" s="16" t="str">
        <f>IF(Table1[[#This Row],[stock_quantity]]=0,"NO STOCK",
IF(Table1[[#This Row],[stock_quantity]]&lt;=10,"LOW STOCK",
"IN STOCK"))</f>
        <v>IN STOCK</v>
      </c>
      <c r="R1690" s="1">
        <f t="shared" si="106"/>
        <v>3.1</v>
      </c>
      <c r="S1690">
        <v>3.1</v>
      </c>
      <c r="T1690" t="b">
        <v>0</v>
      </c>
      <c r="U1690" t="str">
        <f t="shared" si="107"/>
        <v>No Return</v>
      </c>
    </row>
    <row r="1691" spans="1:22" hidden="1" x14ac:dyDescent="0.3">
      <c r="A1691" t="s">
        <v>1744</v>
      </c>
      <c r="B1691" t="s">
        <v>15</v>
      </c>
      <c r="C1691" t="s">
        <v>43</v>
      </c>
      <c r="D1691" t="s">
        <v>34</v>
      </c>
      <c r="E1691" t="str">
        <f t="shared" si="104"/>
        <v>OS</v>
      </c>
      <c r="G1691" t="s">
        <v>25</v>
      </c>
      <c r="H1691" s="8">
        <v>153.46</v>
      </c>
      <c r="I1691" s="3">
        <f t="shared" si="105"/>
        <v>0</v>
      </c>
      <c r="J1691" s="4">
        <v>0</v>
      </c>
      <c r="K1691" s="11">
        <f>Table1[[#This Row],[original_price]]* (Table1[[#This Row],[Markdown percentage updated]])</f>
        <v>0</v>
      </c>
      <c r="L16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91" s="6">
        <v>153.46</v>
      </c>
      <c r="N16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91" s="7">
        <v>45875</v>
      </c>
      <c r="P1691">
        <v>27</v>
      </c>
      <c r="Q1691" s="16" t="str">
        <f>IF(Table1[[#This Row],[stock_quantity]]=0,"NO STOCK",
IF(Table1[[#This Row],[stock_quantity]]&lt;=10,"LOW STOCK",
"IN STOCK"))</f>
        <v>IN STOCK</v>
      </c>
      <c r="R1691" s="1">
        <f t="shared" si="106"/>
        <v>1.7</v>
      </c>
      <c r="S1691">
        <v>1.7</v>
      </c>
      <c r="T1691" t="b">
        <v>0</v>
      </c>
      <c r="U1691" t="str">
        <f t="shared" si="107"/>
        <v>No Return</v>
      </c>
    </row>
    <row r="1692" spans="1:22" hidden="1" x14ac:dyDescent="0.3">
      <c r="A1692" t="s">
        <v>1745</v>
      </c>
      <c r="B1692" t="s">
        <v>27</v>
      </c>
      <c r="C1692" t="s">
        <v>16</v>
      </c>
      <c r="D1692" t="s">
        <v>17</v>
      </c>
      <c r="E1692" t="str">
        <f t="shared" si="104"/>
        <v>OS</v>
      </c>
      <c r="G1692" t="s">
        <v>70</v>
      </c>
      <c r="H1692" s="8">
        <v>54.92</v>
      </c>
      <c r="I1692" s="3">
        <f t="shared" si="105"/>
        <v>0</v>
      </c>
      <c r="J1692" s="4">
        <v>0</v>
      </c>
      <c r="K1692" s="11">
        <f>Table1[[#This Row],[original_price]]* (Table1[[#This Row],[Markdown percentage updated]])</f>
        <v>0</v>
      </c>
      <c r="L16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92" s="6">
        <v>54.92</v>
      </c>
      <c r="N16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92" s="7">
        <v>45759</v>
      </c>
      <c r="P1692">
        <v>44</v>
      </c>
      <c r="Q1692" s="16" t="str">
        <f>IF(Table1[[#This Row],[stock_quantity]]=0,"NO STOCK",
IF(Table1[[#This Row],[stock_quantity]]&lt;=10,"LOW STOCK",
"IN STOCK"))</f>
        <v>IN STOCK</v>
      </c>
      <c r="R1692" s="1">
        <f t="shared" si="106"/>
        <v>3.1</v>
      </c>
      <c r="S1692">
        <v>3.1</v>
      </c>
      <c r="T1692" t="b">
        <v>0</v>
      </c>
      <c r="U1692" t="str">
        <f t="shared" si="107"/>
        <v>No Return</v>
      </c>
    </row>
    <row r="1693" spans="1:22" hidden="1" x14ac:dyDescent="0.3">
      <c r="A1693" t="s">
        <v>1746</v>
      </c>
      <c r="B1693" t="s">
        <v>27</v>
      </c>
      <c r="C1693" t="s">
        <v>22</v>
      </c>
      <c r="D1693" t="s">
        <v>17</v>
      </c>
      <c r="E1693" t="str">
        <f t="shared" si="104"/>
        <v>OS</v>
      </c>
      <c r="G1693" t="s">
        <v>66</v>
      </c>
      <c r="H1693" s="8">
        <v>32.200000000000003</v>
      </c>
      <c r="I1693" s="3">
        <f t="shared" si="105"/>
        <v>0.192</v>
      </c>
      <c r="J1693" s="4">
        <v>19.2</v>
      </c>
      <c r="K1693" s="11">
        <f>Table1[[#This Row],[original_price]]* (Table1[[#This Row],[Markdown percentage updated]])</f>
        <v>6.1824000000000003</v>
      </c>
      <c r="L16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93" s="6">
        <v>26.02</v>
      </c>
      <c r="N16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93" s="7">
        <v>45865</v>
      </c>
      <c r="P1693">
        <v>8</v>
      </c>
      <c r="Q1693" s="17" t="str">
        <f>IF(Table1[[#This Row],[stock_quantity]]=0,"NO STOCK",
IF(Table1[[#This Row],[stock_quantity]]&lt;=10,"LOW STOCK",
"IN STOCK"))</f>
        <v>LOW STOCK</v>
      </c>
      <c r="R1693" s="1">
        <f t="shared" si="106"/>
        <v>4.3</v>
      </c>
      <c r="S1693">
        <v>4.3</v>
      </c>
      <c r="T1693" t="b">
        <v>0</v>
      </c>
      <c r="U1693" t="str">
        <f t="shared" si="107"/>
        <v>No Return</v>
      </c>
    </row>
    <row r="1694" spans="1:22" hidden="1" x14ac:dyDescent="0.3">
      <c r="A1694" t="s">
        <v>1747</v>
      </c>
      <c r="B1694" t="s">
        <v>27</v>
      </c>
      <c r="C1694" t="s">
        <v>43</v>
      </c>
      <c r="D1694" t="s">
        <v>34</v>
      </c>
      <c r="E1694" t="str">
        <f t="shared" si="104"/>
        <v>OS</v>
      </c>
      <c r="G1694" t="s">
        <v>70</v>
      </c>
      <c r="H1694" s="8">
        <v>66.489999999999995</v>
      </c>
      <c r="I1694" s="3">
        <f t="shared" si="105"/>
        <v>0.29100000000000004</v>
      </c>
      <c r="J1694" s="4">
        <v>29.1</v>
      </c>
      <c r="K1694" s="11">
        <f>Table1[[#This Row],[original_price]]* (Table1[[#This Row],[Markdown percentage updated]])</f>
        <v>19.348590000000002</v>
      </c>
      <c r="L16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694" s="6">
        <v>47.14</v>
      </c>
      <c r="N16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94" s="7">
        <v>45875</v>
      </c>
      <c r="P1694">
        <v>37</v>
      </c>
      <c r="Q1694" s="16" t="str">
        <f>IF(Table1[[#This Row],[stock_quantity]]=0,"NO STOCK",
IF(Table1[[#This Row],[stock_quantity]]&lt;=10,"LOW STOCK",
"IN STOCK"))</f>
        <v>IN STOCK</v>
      </c>
      <c r="R1694" s="1">
        <f t="shared" si="106"/>
        <v>1.3</v>
      </c>
      <c r="S1694">
        <v>1.3</v>
      </c>
      <c r="T1694" t="b">
        <v>0</v>
      </c>
      <c r="U1694" t="str">
        <f t="shared" si="107"/>
        <v>No Return</v>
      </c>
    </row>
    <row r="1695" spans="1:22" hidden="1" x14ac:dyDescent="0.3">
      <c r="A1695" t="s">
        <v>1748</v>
      </c>
      <c r="B1695" t="s">
        <v>27</v>
      </c>
      <c r="C1695" t="s">
        <v>43</v>
      </c>
      <c r="D1695" t="s">
        <v>23</v>
      </c>
      <c r="E1695" t="str">
        <f t="shared" si="104"/>
        <v>XS</v>
      </c>
      <c r="G1695" t="s">
        <v>44</v>
      </c>
      <c r="H1695" s="8">
        <v>32.950000000000003</v>
      </c>
      <c r="I1695" s="3">
        <f t="shared" si="105"/>
        <v>0.502</v>
      </c>
      <c r="J1695" s="4">
        <v>50.2</v>
      </c>
      <c r="K1695" s="11">
        <f>Table1[[#This Row],[original_price]]* (Table1[[#This Row],[Markdown percentage updated]])</f>
        <v>16.540900000000001</v>
      </c>
      <c r="L16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695" s="6">
        <v>16.41</v>
      </c>
      <c r="N16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95" s="7">
        <v>45875</v>
      </c>
      <c r="P1695">
        <v>46</v>
      </c>
      <c r="Q1695" s="16" t="str">
        <f>IF(Table1[[#This Row],[stock_quantity]]=0,"NO STOCK",
IF(Table1[[#This Row],[stock_quantity]]&lt;=10,"LOW STOCK",
"IN STOCK"))</f>
        <v>IN STOCK</v>
      </c>
      <c r="R1695" s="1">
        <f t="shared" si="106"/>
        <v>0</v>
      </c>
      <c r="T1695" t="b">
        <v>0</v>
      </c>
      <c r="U1695" t="str">
        <f t="shared" si="107"/>
        <v>No Return</v>
      </c>
    </row>
    <row r="1696" spans="1:22" hidden="1" x14ac:dyDescent="0.3">
      <c r="A1696" t="s">
        <v>1749</v>
      </c>
      <c r="B1696" t="s">
        <v>27</v>
      </c>
      <c r="C1696" t="s">
        <v>48</v>
      </c>
      <c r="D1696" t="s">
        <v>34</v>
      </c>
      <c r="E1696" t="str">
        <f t="shared" si="104"/>
        <v>OS</v>
      </c>
      <c r="G1696" t="s">
        <v>40</v>
      </c>
      <c r="H1696" s="8">
        <v>54.31</v>
      </c>
      <c r="I1696" s="3">
        <f t="shared" si="105"/>
        <v>0.192</v>
      </c>
      <c r="J1696" s="4">
        <v>19.2</v>
      </c>
      <c r="K1696" s="11">
        <f>Table1[[#This Row],[original_price]]* (Table1[[#This Row],[Markdown percentage updated]])</f>
        <v>10.427520000000001</v>
      </c>
      <c r="L16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96" s="6">
        <v>43.88</v>
      </c>
      <c r="N16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696" s="7">
        <v>45875</v>
      </c>
      <c r="P1696">
        <v>19</v>
      </c>
      <c r="Q1696" s="16" t="str">
        <f>IF(Table1[[#This Row],[stock_quantity]]=0,"NO STOCK",
IF(Table1[[#This Row],[stock_quantity]]&lt;=10,"LOW STOCK",
"IN STOCK"))</f>
        <v>IN STOCK</v>
      </c>
      <c r="R1696" s="1">
        <f t="shared" si="106"/>
        <v>1.8</v>
      </c>
      <c r="S1696">
        <v>1.8</v>
      </c>
      <c r="T1696" t="b">
        <v>0</v>
      </c>
      <c r="U1696" t="str">
        <f t="shared" si="107"/>
        <v>No Return</v>
      </c>
    </row>
    <row r="1697" spans="1:22" hidden="1" x14ac:dyDescent="0.3">
      <c r="A1697" t="s">
        <v>1750</v>
      </c>
      <c r="B1697" t="s">
        <v>27</v>
      </c>
      <c r="C1697" t="s">
        <v>32</v>
      </c>
      <c r="D1697" t="s">
        <v>62</v>
      </c>
      <c r="E1697" t="str">
        <f t="shared" si="104"/>
        <v>S</v>
      </c>
      <c r="G1697" t="s">
        <v>64</v>
      </c>
      <c r="H1697" s="8">
        <v>19.68</v>
      </c>
      <c r="I1697" s="3">
        <f t="shared" si="105"/>
        <v>0</v>
      </c>
      <c r="J1697" s="4">
        <v>0</v>
      </c>
      <c r="K1697" s="11">
        <f>Table1[[#This Row],[original_price]]* (Table1[[#This Row],[Markdown percentage updated]])</f>
        <v>0</v>
      </c>
      <c r="L16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697" s="6">
        <v>19.68</v>
      </c>
      <c r="N16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697" s="7">
        <v>45875</v>
      </c>
      <c r="P1697">
        <v>29</v>
      </c>
      <c r="Q1697" s="16" t="str">
        <f>IF(Table1[[#This Row],[stock_quantity]]=0,"NO STOCK",
IF(Table1[[#This Row],[stock_quantity]]&lt;=10,"LOW STOCK",
"IN STOCK"))</f>
        <v>IN STOCK</v>
      </c>
      <c r="R1697" s="1">
        <f t="shared" si="106"/>
        <v>1.5</v>
      </c>
      <c r="S1697">
        <v>1.5</v>
      </c>
      <c r="T1697" t="b">
        <v>1</v>
      </c>
      <c r="U1697" s="13" t="str">
        <f t="shared" si="107"/>
        <v>Size Issue</v>
      </c>
      <c r="V1697" t="s">
        <v>73</v>
      </c>
    </row>
    <row r="1698" spans="1:22" hidden="1" x14ac:dyDescent="0.3">
      <c r="A1698" t="s">
        <v>1751</v>
      </c>
      <c r="B1698" t="s">
        <v>21</v>
      </c>
      <c r="C1698" t="s">
        <v>16</v>
      </c>
      <c r="D1698" t="s">
        <v>17</v>
      </c>
      <c r="E1698" t="str">
        <f t="shared" si="104"/>
        <v>XS</v>
      </c>
      <c r="F1698" t="s">
        <v>55</v>
      </c>
      <c r="G1698" t="s">
        <v>40</v>
      </c>
      <c r="H1698" s="8">
        <v>105.19</v>
      </c>
      <c r="I1698" s="3">
        <f t="shared" si="105"/>
        <v>0.24299999999999999</v>
      </c>
      <c r="J1698" s="4">
        <v>24.3</v>
      </c>
      <c r="K1698" s="11">
        <f>Table1[[#This Row],[original_price]]* (Table1[[#This Row],[Markdown percentage updated]])</f>
        <v>25.561169999999997</v>
      </c>
      <c r="L16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698" s="6">
        <v>79.63</v>
      </c>
      <c r="N16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698" s="7">
        <v>45822</v>
      </c>
      <c r="P1698">
        <v>47</v>
      </c>
      <c r="Q1698" s="16" t="str">
        <f>IF(Table1[[#This Row],[stock_quantity]]=0,"NO STOCK",
IF(Table1[[#This Row],[stock_quantity]]&lt;=10,"LOW STOCK",
"IN STOCK"))</f>
        <v>IN STOCK</v>
      </c>
      <c r="R1698" s="1">
        <f t="shared" si="106"/>
        <v>5</v>
      </c>
      <c r="S1698">
        <v>5</v>
      </c>
      <c r="T1698" t="b">
        <v>0</v>
      </c>
      <c r="U1698" t="str">
        <f t="shared" si="107"/>
        <v>No Return</v>
      </c>
    </row>
    <row r="1699" spans="1:22" x14ac:dyDescent="0.3">
      <c r="A1699" t="s">
        <v>1752</v>
      </c>
      <c r="B1699" t="s">
        <v>27</v>
      </c>
      <c r="C1699" t="s">
        <v>32</v>
      </c>
      <c r="D1699" t="s">
        <v>62</v>
      </c>
      <c r="E1699" t="str">
        <f t="shared" si="104"/>
        <v>XS</v>
      </c>
      <c r="G1699" t="s">
        <v>46</v>
      </c>
      <c r="H1699" s="8">
        <v>20.3</v>
      </c>
      <c r="I1699" s="3">
        <f t="shared" si="105"/>
        <v>0.19600000000000001</v>
      </c>
      <c r="J1699" s="4">
        <v>19.600000000000001</v>
      </c>
      <c r="K1699" s="11">
        <f>Table1[[#This Row],[original_price]]* (Table1[[#This Row],[Markdown percentage updated]])</f>
        <v>3.9788000000000001</v>
      </c>
      <c r="L16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699" s="6">
        <v>16.32</v>
      </c>
      <c r="N16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699" s="7">
        <v>45875</v>
      </c>
      <c r="P1699">
        <v>47</v>
      </c>
      <c r="Q1699" s="16" t="str">
        <f>IF(Table1[[#This Row],[stock_quantity]]=0,"NO STOCK",
IF(Table1[[#This Row],[stock_quantity]]&lt;=10,"LOW STOCK",
"IN STOCK"))</f>
        <v>IN STOCK</v>
      </c>
      <c r="R1699" s="1">
        <f t="shared" si="106"/>
        <v>2.9</v>
      </c>
      <c r="S1699">
        <v>2.9</v>
      </c>
      <c r="T1699" t="b">
        <v>1</v>
      </c>
      <c r="U1699" s="13" t="str">
        <f t="shared" si="107"/>
        <v>Changed Mind</v>
      </c>
      <c r="V1699" t="s">
        <v>115</v>
      </c>
    </row>
    <row r="1700" spans="1:22" hidden="1" x14ac:dyDescent="0.3">
      <c r="A1700" t="s">
        <v>1753</v>
      </c>
      <c r="B1700" t="s">
        <v>38</v>
      </c>
      <c r="C1700" t="s">
        <v>43</v>
      </c>
      <c r="D1700" t="s">
        <v>62</v>
      </c>
      <c r="E1700" t="str">
        <f t="shared" si="104"/>
        <v>M</v>
      </c>
      <c r="F1700" t="s">
        <v>39</v>
      </c>
      <c r="G1700" t="s">
        <v>70</v>
      </c>
      <c r="H1700" s="8">
        <v>105.37</v>
      </c>
      <c r="I1700" s="3">
        <f t="shared" si="105"/>
        <v>0.19600000000000001</v>
      </c>
      <c r="J1700" s="4">
        <v>19.600000000000001</v>
      </c>
      <c r="K1700" s="11">
        <f>Table1[[#This Row],[original_price]]* (Table1[[#This Row],[Markdown percentage updated]])</f>
        <v>20.652520000000003</v>
      </c>
      <c r="L17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00" s="6">
        <v>84.72</v>
      </c>
      <c r="N17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00" s="7">
        <v>45875</v>
      </c>
      <c r="P1700">
        <v>39</v>
      </c>
      <c r="Q1700" s="16" t="str">
        <f>IF(Table1[[#This Row],[stock_quantity]]=0,"NO STOCK",
IF(Table1[[#This Row],[stock_quantity]]&lt;=10,"LOW STOCK",
"IN STOCK"))</f>
        <v>IN STOCK</v>
      </c>
      <c r="R1700" s="1">
        <f t="shared" si="106"/>
        <v>4.3</v>
      </c>
      <c r="S1700">
        <v>4.3</v>
      </c>
      <c r="T1700" t="b">
        <v>0</v>
      </c>
      <c r="U1700" t="str">
        <f t="shared" si="107"/>
        <v>No Return</v>
      </c>
    </row>
    <row r="1701" spans="1:22" hidden="1" x14ac:dyDescent="0.3">
      <c r="A1701" t="s">
        <v>1754</v>
      </c>
      <c r="B1701" t="s">
        <v>42</v>
      </c>
      <c r="C1701" t="s">
        <v>53</v>
      </c>
      <c r="D1701" t="s">
        <v>23</v>
      </c>
      <c r="E1701" t="str">
        <f t="shared" si="104"/>
        <v>OS</v>
      </c>
      <c r="F1701" t="s">
        <v>55</v>
      </c>
      <c r="G1701" t="s">
        <v>46</v>
      </c>
      <c r="H1701" s="8">
        <v>156.24</v>
      </c>
      <c r="I1701" s="3">
        <f t="shared" si="105"/>
        <v>0</v>
      </c>
      <c r="J1701" s="4">
        <v>0</v>
      </c>
      <c r="K1701" s="11">
        <f>Table1[[#This Row],[original_price]]* (Table1[[#This Row],[Markdown percentage updated]])</f>
        <v>0</v>
      </c>
      <c r="L17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01" s="6">
        <v>156.24</v>
      </c>
      <c r="N17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01" s="7">
        <v>45875</v>
      </c>
      <c r="P1701">
        <v>15</v>
      </c>
      <c r="Q1701" s="16" t="str">
        <f>IF(Table1[[#This Row],[stock_quantity]]=0,"NO STOCK",
IF(Table1[[#This Row],[stock_quantity]]&lt;=10,"LOW STOCK",
"IN STOCK"))</f>
        <v>IN STOCK</v>
      </c>
      <c r="R1701" s="1">
        <f t="shared" si="106"/>
        <v>5</v>
      </c>
      <c r="S1701">
        <v>5</v>
      </c>
      <c r="T1701" t="b">
        <v>0</v>
      </c>
      <c r="U1701" t="str">
        <f t="shared" si="107"/>
        <v>No Return</v>
      </c>
    </row>
    <row r="1702" spans="1:22" hidden="1" x14ac:dyDescent="0.3">
      <c r="A1702" t="s">
        <v>1755</v>
      </c>
      <c r="B1702" t="s">
        <v>30</v>
      </c>
      <c r="C1702" t="s">
        <v>43</v>
      </c>
      <c r="D1702" t="s">
        <v>23</v>
      </c>
      <c r="E1702" t="str">
        <f t="shared" si="104"/>
        <v>M</v>
      </c>
      <c r="F1702" t="s">
        <v>55</v>
      </c>
      <c r="G1702" t="s">
        <v>70</v>
      </c>
      <c r="H1702" s="8">
        <v>162.19</v>
      </c>
      <c r="I1702" s="3">
        <f t="shared" si="105"/>
        <v>5.7000000000000002E-2</v>
      </c>
      <c r="J1702" s="4">
        <v>5.7</v>
      </c>
      <c r="K1702" s="11">
        <f>Table1[[#This Row],[original_price]]* (Table1[[#This Row],[Markdown percentage updated]])</f>
        <v>9.2448300000000003</v>
      </c>
      <c r="L17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02" s="6">
        <v>152.94999999999999</v>
      </c>
      <c r="N17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702" s="7">
        <v>45875</v>
      </c>
      <c r="P1702">
        <v>39</v>
      </c>
      <c r="Q1702" s="16" t="str">
        <f>IF(Table1[[#This Row],[stock_quantity]]=0,"NO STOCK",
IF(Table1[[#This Row],[stock_quantity]]&lt;=10,"LOW STOCK",
"IN STOCK"))</f>
        <v>IN STOCK</v>
      </c>
      <c r="R1702" s="1">
        <f t="shared" si="106"/>
        <v>1.4</v>
      </c>
      <c r="S1702">
        <v>1.4</v>
      </c>
      <c r="T1702" t="b">
        <v>0</v>
      </c>
      <c r="U1702" t="str">
        <f t="shared" si="107"/>
        <v>No Return</v>
      </c>
    </row>
    <row r="1703" spans="1:22" hidden="1" x14ac:dyDescent="0.3">
      <c r="A1703" t="s">
        <v>1756</v>
      </c>
      <c r="B1703" t="s">
        <v>21</v>
      </c>
      <c r="C1703" t="s">
        <v>48</v>
      </c>
      <c r="D1703" t="s">
        <v>17</v>
      </c>
      <c r="E1703" t="str">
        <f t="shared" si="104"/>
        <v>M</v>
      </c>
      <c r="F1703" t="s">
        <v>58</v>
      </c>
      <c r="G1703" t="s">
        <v>56</v>
      </c>
      <c r="H1703" s="8">
        <v>75.790000000000006</v>
      </c>
      <c r="I1703" s="3">
        <f t="shared" si="105"/>
        <v>7.0999999999999994E-2</v>
      </c>
      <c r="J1703" s="4">
        <v>7.1</v>
      </c>
      <c r="K1703" s="11">
        <f>Table1[[#This Row],[original_price]]* (Table1[[#This Row],[Markdown percentage updated]])</f>
        <v>5.3810900000000004</v>
      </c>
      <c r="L17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03" s="6">
        <v>70.41</v>
      </c>
      <c r="N17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703" s="7">
        <v>45745</v>
      </c>
      <c r="P1703">
        <v>13</v>
      </c>
      <c r="Q1703" s="16" t="str">
        <f>IF(Table1[[#This Row],[stock_quantity]]=0,"NO STOCK",
IF(Table1[[#This Row],[stock_quantity]]&lt;=10,"LOW STOCK",
"IN STOCK"))</f>
        <v>IN STOCK</v>
      </c>
      <c r="R1703" s="1">
        <f t="shared" si="106"/>
        <v>3.3</v>
      </c>
      <c r="S1703">
        <v>3.3</v>
      </c>
      <c r="T1703" t="b">
        <v>0</v>
      </c>
      <c r="U1703" t="str">
        <f t="shared" si="107"/>
        <v>No Return</v>
      </c>
    </row>
    <row r="1704" spans="1:22" hidden="1" x14ac:dyDescent="0.3">
      <c r="A1704" t="s">
        <v>1757</v>
      </c>
      <c r="B1704" t="s">
        <v>27</v>
      </c>
      <c r="C1704" t="s">
        <v>75</v>
      </c>
      <c r="D1704" t="s">
        <v>62</v>
      </c>
      <c r="E1704" t="str">
        <f t="shared" si="104"/>
        <v>XXL</v>
      </c>
      <c r="G1704" t="s">
        <v>25</v>
      </c>
      <c r="H1704" s="8">
        <v>32.04</v>
      </c>
      <c r="I1704" s="3">
        <f t="shared" si="105"/>
        <v>0</v>
      </c>
      <c r="J1704" s="4">
        <v>0</v>
      </c>
      <c r="K1704" s="11">
        <f>Table1[[#This Row],[original_price]]* (Table1[[#This Row],[Markdown percentage updated]])</f>
        <v>0</v>
      </c>
      <c r="L17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04" s="6">
        <v>32.04</v>
      </c>
      <c r="N17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04" s="7">
        <v>45875</v>
      </c>
      <c r="P1704">
        <v>41</v>
      </c>
      <c r="Q1704" s="16" t="str">
        <f>IF(Table1[[#This Row],[stock_quantity]]=0,"NO STOCK",
IF(Table1[[#This Row],[stock_quantity]]&lt;=10,"LOW STOCK",
"IN STOCK"))</f>
        <v>IN STOCK</v>
      </c>
      <c r="R1704" s="1">
        <f t="shared" si="106"/>
        <v>1.8</v>
      </c>
      <c r="S1704">
        <v>1.8</v>
      </c>
      <c r="T1704" t="b">
        <v>0</v>
      </c>
      <c r="U1704" t="str">
        <f t="shared" si="107"/>
        <v>No Return</v>
      </c>
    </row>
    <row r="1705" spans="1:22" hidden="1" x14ac:dyDescent="0.3">
      <c r="A1705" t="s">
        <v>1758</v>
      </c>
      <c r="B1705" t="s">
        <v>21</v>
      </c>
      <c r="C1705" t="s">
        <v>61</v>
      </c>
      <c r="D1705" t="s">
        <v>34</v>
      </c>
      <c r="E1705" t="str">
        <f t="shared" si="104"/>
        <v>XL</v>
      </c>
      <c r="F1705" t="s">
        <v>58</v>
      </c>
      <c r="G1705" t="s">
        <v>28</v>
      </c>
      <c r="H1705" s="8">
        <v>27.65</v>
      </c>
      <c r="I1705" s="3">
        <f t="shared" si="105"/>
        <v>0.318</v>
      </c>
      <c r="J1705" s="4">
        <v>31.8</v>
      </c>
      <c r="K1705" s="11">
        <f>Table1[[#This Row],[original_price]]* (Table1[[#This Row],[Markdown percentage updated]])</f>
        <v>8.7927</v>
      </c>
      <c r="L17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05" s="6">
        <v>18.86</v>
      </c>
      <c r="N17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705" s="7">
        <v>45875</v>
      </c>
      <c r="P1705">
        <v>2</v>
      </c>
      <c r="Q1705" s="17" t="str">
        <f>IF(Table1[[#This Row],[stock_quantity]]=0,"NO STOCK",
IF(Table1[[#This Row],[stock_quantity]]&lt;=10,"LOW STOCK",
"IN STOCK"))</f>
        <v>LOW STOCK</v>
      </c>
      <c r="R1705" s="1">
        <f t="shared" si="106"/>
        <v>3.7</v>
      </c>
      <c r="S1705">
        <v>3.7</v>
      </c>
      <c r="T1705" t="b">
        <v>1</v>
      </c>
      <c r="U1705" s="13" t="str">
        <f t="shared" si="107"/>
        <v>Size Issue</v>
      </c>
      <c r="V1705" t="s">
        <v>73</v>
      </c>
    </row>
    <row r="1706" spans="1:22" hidden="1" x14ac:dyDescent="0.3">
      <c r="A1706" t="s">
        <v>1759</v>
      </c>
      <c r="B1706" t="s">
        <v>38</v>
      </c>
      <c r="C1706" t="s">
        <v>32</v>
      </c>
      <c r="D1706" t="s">
        <v>17</v>
      </c>
      <c r="E1706" t="str">
        <f t="shared" si="104"/>
        <v>M</v>
      </c>
      <c r="F1706" t="s">
        <v>58</v>
      </c>
      <c r="G1706" t="s">
        <v>66</v>
      </c>
      <c r="H1706" s="8">
        <v>31.54</v>
      </c>
      <c r="I1706" s="3">
        <f t="shared" si="105"/>
        <v>0</v>
      </c>
      <c r="J1706" s="4">
        <v>0</v>
      </c>
      <c r="K1706" s="11">
        <f>Table1[[#This Row],[original_price]]* (Table1[[#This Row],[Markdown percentage updated]])</f>
        <v>0</v>
      </c>
      <c r="L17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06" s="6">
        <v>31.54</v>
      </c>
      <c r="N17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06" s="7">
        <v>45872</v>
      </c>
      <c r="P1706">
        <v>45</v>
      </c>
      <c r="Q1706" s="16" t="str">
        <f>IF(Table1[[#This Row],[stock_quantity]]=0,"NO STOCK",
IF(Table1[[#This Row],[stock_quantity]]&lt;=10,"LOW STOCK",
"IN STOCK"))</f>
        <v>IN STOCK</v>
      </c>
      <c r="R1706" s="1">
        <f t="shared" si="106"/>
        <v>1.3</v>
      </c>
      <c r="S1706">
        <v>1.3</v>
      </c>
      <c r="T1706" t="b">
        <v>0</v>
      </c>
      <c r="U1706" t="str">
        <f t="shared" si="107"/>
        <v>No Return</v>
      </c>
    </row>
    <row r="1707" spans="1:22" hidden="1" x14ac:dyDescent="0.3">
      <c r="A1707" t="s">
        <v>1760</v>
      </c>
      <c r="B1707" t="s">
        <v>38</v>
      </c>
      <c r="C1707" t="s">
        <v>16</v>
      </c>
      <c r="D1707" t="s">
        <v>62</v>
      </c>
      <c r="E1707" t="str">
        <f t="shared" si="104"/>
        <v>XXL</v>
      </c>
      <c r="F1707" t="s">
        <v>49</v>
      </c>
      <c r="G1707" t="s">
        <v>56</v>
      </c>
      <c r="H1707" s="8">
        <v>77.64</v>
      </c>
      <c r="I1707" s="3">
        <f t="shared" si="105"/>
        <v>0.39100000000000001</v>
      </c>
      <c r="J1707" s="4">
        <v>39.1</v>
      </c>
      <c r="K1707" s="11">
        <f>Table1[[#This Row],[original_price]]* (Table1[[#This Row],[Markdown percentage updated]])</f>
        <v>30.357240000000001</v>
      </c>
      <c r="L17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07" s="6">
        <v>47.28</v>
      </c>
      <c r="N17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07" s="7">
        <v>45875</v>
      </c>
      <c r="P1707">
        <v>19</v>
      </c>
      <c r="Q1707" s="16" t="str">
        <f>IF(Table1[[#This Row],[stock_quantity]]=0,"NO STOCK",
IF(Table1[[#This Row],[stock_quantity]]&lt;=10,"LOW STOCK",
"IN STOCK"))</f>
        <v>IN STOCK</v>
      </c>
      <c r="R1707" s="1">
        <f t="shared" si="106"/>
        <v>2.6</v>
      </c>
      <c r="S1707">
        <v>2.6</v>
      </c>
      <c r="T1707" t="b">
        <v>0</v>
      </c>
      <c r="U1707" t="str">
        <f t="shared" si="107"/>
        <v>No Return</v>
      </c>
    </row>
    <row r="1708" spans="1:22" hidden="1" x14ac:dyDescent="0.3">
      <c r="A1708" t="s">
        <v>1761</v>
      </c>
      <c r="B1708" t="s">
        <v>42</v>
      </c>
      <c r="C1708" t="s">
        <v>48</v>
      </c>
      <c r="D1708" t="s">
        <v>23</v>
      </c>
      <c r="E1708" t="str">
        <f t="shared" si="104"/>
        <v>L</v>
      </c>
      <c r="F1708" t="s">
        <v>18</v>
      </c>
      <c r="G1708" t="s">
        <v>25</v>
      </c>
      <c r="H1708" s="8">
        <v>51.48</v>
      </c>
      <c r="I1708" s="3">
        <f t="shared" si="105"/>
        <v>0</v>
      </c>
      <c r="J1708" s="4">
        <v>0</v>
      </c>
      <c r="K1708" s="11">
        <f>Table1[[#This Row],[original_price]]* (Table1[[#This Row],[Markdown percentage updated]])</f>
        <v>0</v>
      </c>
      <c r="L17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08" s="6">
        <v>51.48</v>
      </c>
      <c r="N17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08" s="7">
        <v>45875</v>
      </c>
      <c r="P1708">
        <v>10</v>
      </c>
      <c r="Q1708" s="17" t="str">
        <f>IF(Table1[[#This Row],[stock_quantity]]=0,"NO STOCK",
IF(Table1[[#This Row],[stock_quantity]]&lt;=10,"LOW STOCK",
"IN STOCK"))</f>
        <v>LOW STOCK</v>
      </c>
      <c r="R1708" s="1">
        <f t="shared" si="106"/>
        <v>1</v>
      </c>
      <c r="S1708">
        <v>1</v>
      </c>
      <c r="T1708" t="b">
        <v>0</v>
      </c>
      <c r="U1708" t="str">
        <f t="shared" si="107"/>
        <v>No Return</v>
      </c>
    </row>
    <row r="1709" spans="1:22" hidden="1" x14ac:dyDescent="0.3">
      <c r="A1709" t="s">
        <v>1762</v>
      </c>
      <c r="B1709" t="s">
        <v>15</v>
      </c>
      <c r="C1709" t="s">
        <v>16</v>
      </c>
      <c r="D1709" t="s">
        <v>34</v>
      </c>
      <c r="E1709" t="str">
        <f t="shared" si="104"/>
        <v>OS</v>
      </c>
      <c r="F1709" t="s">
        <v>58</v>
      </c>
      <c r="G1709" t="s">
        <v>25</v>
      </c>
      <c r="H1709" s="8">
        <v>108.58</v>
      </c>
      <c r="I1709" s="3">
        <f t="shared" si="105"/>
        <v>0</v>
      </c>
      <c r="J1709" s="4">
        <v>0</v>
      </c>
      <c r="K1709" s="11">
        <f>Table1[[#This Row],[original_price]]* (Table1[[#This Row],[Markdown percentage updated]])</f>
        <v>0</v>
      </c>
      <c r="L17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09" s="6">
        <v>108.58</v>
      </c>
      <c r="N17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09" s="7">
        <v>45875</v>
      </c>
      <c r="P1709">
        <v>44</v>
      </c>
      <c r="Q1709" s="16" t="str">
        <f>IF(Table1[[#This Row],[stock_quantity]]=0,"NO STOCK",
IF(Table1[[#This Row],[stock_quantity]]&lt;=10,"LOW STOCK",
"IN STOCK"))</f>
        <v>IN STOCK</v>
      </c>
      <c r="R1709" s="1">
        <f t="shared" si="106"/>
        <v>2.4</v>
      </c>
      <c r="S1709">
        <v>2.4</v>
      </c>
      <c r="T1709" t="b">
        <v>0</v>
      </c>
      <c r="U1709" t="str">
        <f t="shared" si="107"/>
        <v>No Return</v>
      </c>
    </row>
    <row r="1710" spans="1:22" hidden="1" x14ac:dyDescent="0.3">
      <c r="A1710" t="s">
        <v>1763</v>
      </c>
      <c r="B1710" t="s">
        <v>21</v>
      </c>
      <c r="C1710" t="s">
        <v>75</v>
      </c>
      <c r="D1710" t="s">
        <v>23</v>
      </c>
      <c r="E1710" t="str">
        <f t="shared" si="104"/>
        <v>S</v>
      </c>
      <c r="F1710" t="s">
        <v>49</v>
      </c>
      <c r="G1710" t="s">
        <v>28</v>
      </c>
      <c r="H1710" s="8">
        <v>84.17</v>
      </c>
      <c r="I1710" s="3">
        <f t="shared" si="105"/>
        <v>0</v>
      </c>
      <c r="J1710" s="4">
        <v>0</v>
      </c>
      <c r="K1710" s="11">
        <f>Table1[[#This Row],[original_price]]* (Table1[[#This Row],[Markdown percentage updated]])</f>
        <v>0</v>
      </c>
      <c r="L17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10" s="6">
        <v>84.17</v>
      </c>
      <c r="N17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10" s="7">
        <v>45875</v>
      </c>
      <c r="P1710">
        <v>20</v>
      </c>
      <c r="Q1710" s="16" t="str">
        <f>IF(Table1[[#This Row],[stock_quantity]]=0,"NO STOCK",
IF(Table1[[#This Row],[stock_quantity]]&lt;=10,"LOW STOCK",
"IN STOCK"))</f>
        <v>IN STOCK</v>
      </c>
      <c r="R1710" s="1">
        <f t="shared" si="106"/>
        <v>3.7</v>
      </c>
      <c r="S1710">
        <v>3.7</v>
      </c>
      <c r="T1710" t="b">
        <v>0</v>
      </c>
      <c r="U1710" t="str">
        <f t="shared" si="107"/>
        <v>No Return</v>
      </c>
    </row>
    <row r="1711" spans="1:22" hidden="1" x14ac:dyDescent="0.3">
      <c r="A1711" t="s">
        <v>1764</v>
      </c>
      <c r="B1711" t="s">
        <v>38</v>
      </c>
      <c r="C1711" t="s">
        <v>43</v>
      </c>
      <c r="D1711" t="s">
        <v>17</v>
      </c>
      <c r="E1711" t="str">
        <f t="shared" si="104"/>
        <v>XL</v>
      </c>
      <c r="F1711" t="s">
        <v>24</v>
      </c>
      <c r="G1711" t="s">
        <v>25</v>
      </c>
      <c r="H1711" s="8">
        <v>76.45</v>
      </c>
      <c r="I1711" s="3">
        <f t="shared" si="105"/>
        <v>0</v>
      </c>
      <c r="J1711" s="4">
        <v>0</v>
      </c>
      <c r="K1711" s="11">
        <f>Table1[[#This Row],[original_price]]* (Table1[[#This Row],[Markdown percentage updated]])</f>
        <v>0</v>
      </c>
      <c r="L17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11" s="6">
        <v>76.45</v>
      </c>
      <c r="N17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11" s="7">
        <v>45818</v>
      </c>
      <c r="P1711">
        <v>16</v>
      </c>
      <c r="Q1711" s="16" t="str">
        <f>IF(Table1[[#This Row],[stock_quantity]]=0,"NO STOCK",
IF(Table1[[#This Row],[stock_quantity]]&lt;=10,"LOW STOCK",
"IN STOCK"))</f>
        <v>IN STOCK</v>
      </c>
      <c r="R1711" s="1">
        <f t="shared" si="106"/>
        <v>1</v>
      </c>
      <c r="S1711">
        <v>1</v>
      </c>
      <c r="T1711" t="b">
        <v>1</v>
      </c>
      <c r="U1711" s="13" t="str">
        <f t="shared" si="107"/>
        <v>Color Mismatch</v>
      </c>
      <c r="V1711" t="s">
        <v>36</v>
      </c>
    </row>
    <row r="1712" spans="1:22" hidden="1" x14ac:dyDescent="0.3">
      <c r="A1712" t="s">
        <v>1765</v>
      </c>
      <c r="B1712" t="s">
        <v>27</v>
      </c>
      <c r="C1712" t="s">
        <v>22</v>
      </c>
      <c r="D1712" t="s">
        <v>17</v>
      </c>
      <c r="E1712" t="str">
        <f t="shared" si="104"/>
        <v>XS</v>
      </c>
      <c r="G1712" t="s">
        <v>40</v>
      </c>
      <c r="H1712" s="8">
        <v>50.31</v>
      </c>
      <c r="I1712" s="3">
        <f t="shared" si="105"/>
        <v>0</v>
      </c>
      <c r="J1712" s="4">
        <v>0</v>
      </c>
      <c r="K1712" s="11">
        <f>Table1[[#This Row],[original_price]]* (Table1[[#This Row],[Markdown percentage updated]])</f>
        <v>0</v>
      </c>
      <c r="L17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12" s="6">
        <v>50.31</v>
      </c>
      <c r="N17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12" s="7">
        <v>45771</v>
      </c>
      <c r="P1712">
        <v>36</v>
      </c>
      <c r="Q1712" s="16" t="str">
        <f>IF(Table1[[#This Row],[stock_quantity]]=0,"NO STOCK",
IF(Table1[[#This Row],[stock_quantity]]&lt;=10,"LOW STOCK",
"IN STOCK"))</f>
        <v>IN STOCK</v>
      </c>
      <c r="R1712" s="1">
        <f t="shared" si="106"/>
        <v>0</v>
      </c>
      <c r="T1712" t="b">
        <v>0</v>
      </c>
      <c r="U1712" t="str">
        <f t="shared" si="107"/>
        <v>No Return</v>
      </c>
    </row>
    <row r="1713" spans="1:22" hidden="1" x14ac:dyDescent="0.3">
      <c r="A1713" t="s">
        <v>1766</v>
      </c>
      <c r="B1713" t="s">
        <v>21</v>
      </c>
      <c r="C1713" t="s">
        <v>61</v>
      </c>
      <c r="D1713" t="s">
        <v>17</v>
      </c>
      <c r="E1713" t="str">
        <f t="shared" si="104"/>
        <v>S</v>
      </c>
      <c r="F1713" t="s">
        <v>39</v>
      </c>
      <c r="G1713" t="s">
        <v>25</v>
      </c>
      <c r="H1713" s="8">
        <v>43.45</v>
      </c>
      <c r="I1713" s="3">
        <f t="shared" si="105"/>
        <v>0</v>
      </c>
      <c r="J1713" s="4">
        <v>0</v>
      </c>
      <c r="K1713" s="11">
        <f>Table1[[#This Row],[original_price]]* (Table1[[#This Row],[Markdown percentage updated]])</f>
        <v>0</v>
      </c>
      <c r="L17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13" s="6">
        <v>43.45</v>
      </c>
      <c r="N17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13" s="7">
        <v>45855</v>
      </c>
      <c r="P1713">
        <v>30</v>
      </c>
      <c r="Q1713" s="16" t="str">
        <f>IF(Table1[[#This Row],[stock_quantity]]=0,"NO STOCK",
IF(Table1[[#This Row],[stock_quantity]]&lt;=10,"LOW STOCK",
"IN STOCK"))</f>
        <v>IN STOCK</v>
      </c>
      <c r="R1713" s="1">
        <f t="shared" si="106"/>
        <v>2.2999999999999998</v>
      </c>
      <c r="S1713">
        <v>2.2999999999999998</v>
      </c>
      <c r="T1713" t="b">
        <v>0</v>
      </c>
      <c r="U1713" t="str">
        <f t="shared" si="107"/>
        <v>No Return</v>
      </c>
    </row>
    <row r="1714" spans="1:22" hidden="1" x14ac:dyDescent="0.3">
      <c r="A1714" t="s">
        <v>1767</v>
      </c>
      <c r="B1714" t="s">
        <v>42</v>
      </c>
      <c r="C1714" t="s">
        <v>22</v>
      </c>
      <c r="D1714" t="s">
        <v>34</v>
      </c>
      <c r="E1714" t="str">
        <f t="shared" si="104"/>
        <v>XXL</v>
      </c>
      <c r="F1714" t="s">
        <v>18</v>
      </c>
      <c r="G1714" t="s">
        <v>40</v>
      </c>
      <c r="H1714" s="8">
        <v>149.22</v>
      </c>
      <c r="I1714" s="3">
        <f t="shared" si="105"/>
        <v>0.53900000000000003</v>
      </c>
      <c r="J1714" s="4">
        <v>53.9</v>
      </c>
      <c r="K1714" s="11">
        <f>Table1[[#This Row],[original_price]]* (Table1[[#This Row],[Markdown percentage updated]])</f>
        <v>80.429580000000001</v>
      </c>
      <c r="L17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14" s="6">
        <v>68.790000000000006</v>
      </c>
      <c r="N17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14" s="7">
        <v>45875</v>
      </c>
      <c r="P1714">
        <v>41</v>
      </c>
      <c r="Q1714" s="16" t="str">
        <f>IF(Table1[[#This Row],[stock_quantity]]=0,"NO STOCK",
IF(Table1[[#This Row],[stock_quantity]]&lt;=10,"LOW STOCK",
"IN STOCK"))</f>
        <v>IN STOCK</v>
      </c>
      <c r="R1714" s="1">
        <f t="shared" si="106"/>
        <v>2.2000000000000002</v>
      </c>
      <c r="S1714">
        <v>2.2000000000000002</v>
      </c>
      <c r="T1714" t="b">
        <v>0</v>
      </c>
      <c r="U1714" t="str">
        <f t="shared" si="107"/>
        <v>No Return</v>
      </c>
    </row>
    <row r="1715" spans="1:22" hidden="1" x14ac:dyDescent="0.3">
      <c r="A1715" t="s">
        <v>1768</v>
      </c>
      <c r="B1715" t="s">
        <v>38</v>
      </c>
      <c r="C1715" t="s">
        <v>61</v>
      </c>
      <c r="D1715" t="s">
        <v>62</v>
      </c>
      <c r="E1715" t="str">
        <f t="shared" si="104"/>
        <v>XXL</v>
      </c>
      <c r="F1715" t="s">
        <v>55</v>
      </c>
      <c r="G1715" t="s">
        <v>40</v>
      </c>
      <c r="H1715" s="8">
        <v>48.24</v>
      </c>
      <c r="I1715" s="3">
        <f t="shared" si="105"/>
        <v>0.317</v>
      </c>
      <c r="J1715" s="4">
        <v>31.7</v>
      </c>
      <c r="K1715" s="11">
        <f>Table1[[#This Row],[original_price]]* (Table1[[#This Row],[Markdown percentage updated]])</f>
        <v>15.29208</v>
      </c>
      <c r="L17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15" s="6">
        <v>32.950000000000003</v>
      </c>
      <c r="N17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15" s="7">
        <v>45875</v>
      </c>
      <c r="P1715">
        <v>46</v>
      </c>
      <c r="Q1715" s="16" t="str">
        <f>IF(Table1[[#This Row],[stock_quantity]]=0,"NO STOCK",
IF(Table1[[#This Row],[stock_quantity]]&lt;=10,"LOW STOCK",
"IN STOCK"))</f>
        <v>IN STOCK</v>
      </c>
      <c r="R1715" s="1">
        <f t="shared" si="106"/>
        <v>3.7</v>
      </c>
      <c r="S1715">
        <v>3.7</v>
      </c>
      <c r="T1715" t="b">
        <v>0</v>
      </c>
      <c r="U1715" t="str">
        <f t="shared" si="107"/>
        <v>No Return</v>
      </c>
    </row>
    <row r="1716" spans="1:22" x14ac:dyDescent="0.3">
      <c r="A1716" t="s">
        <v>1769</v>
      </c>
      <c r="B1716" t="s">
        <v>38</v>
      </c>
      <c r="C1716" t="s">
        <v>48</v>
      </c>
      <c r="D1716" t="s">
        <v>62</v>
      </c>
      <c r="E1716" t="str">
        <f t="shared" si="104"/>
        <v>M</v>
      </c>
      <c r="F1716" t="s">
        <v>39</v>
      </c>
      <c r="G1716" t="s">
        <v>70</v>
      </c>
      <c r="H1716" s="8">
        <v>66.27</v>
      </c>
      <c r="I1716" s="3">
        <f t="shared" si="105"/>
        <v>0.217</v>
      </c>
      <c r="J1716" s="4">
        <v>21.7</v>
      </c>
      <c r="K1716" s="11">
        <f>Table1[[#This Row],[original_price]]* (Table1[[#This Row],[Markdown percentage updated]])</f>
        <v>14.38059</v>
      </c>
      <c r="L17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716" s="6">
        <v>51.89</v>
      </c>
      <c r="N17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16" s="7">
        <v>45875</v>
      </c>
      <c r="P1716">
        <v>28</v>
      </c>
      <c r="Q1716" s="16" t="str">
        <f>IF(Table1[[#This Row],[stock_quantity]]=0,"NO STOCK",
IF(Table1[[#This Row],[stock_quantity]]&lt;=10,"LOW STOCK",
"IN STOCK"))</f>
        <v>IN STOCK</v>
      </c>
      <c r="R1716" s="1">
        <f t="shared" si="106"/>
        <v>2.5</v>
      </c>
      <c r="S1716">
        <v>2.5</v>
      </c>
      <c r="T1716" t="b">
        <v>1</v>
      </c>
      <c r="U1716" s="13" t="str">
        <f t="shared" si="107"/>
        <v>Changed Mind</v>
      </c>
      <c r="V1716" t="s">
        <v>115</v>
      </c>
    </row>
    <row r="1717" spans="1:22" hidden="1" x14ac:dyDescent="0.3">
      <c r="A1717" t="s">
        <v>1770</v>
      </c>
      <c r="B1717" t="s">
        <v>30</v>
      </c>
      <c r="C1717" t="s">
        <v>48</v>
      </c>
      <c r="D1717" t="s">
        <v>34</v>
      </c>
      <c r="E1717" t="str">
        <f t="shared" si="104"/>
        <v>OS</v>
      </c>
      <c r="F1717" t="s">
        <v>49</v>
      </c>
      <c r="G1717" t="s">
        <v>64</v>
      </c>
      <c r="H1717" s="8">
        <v>82.65</v>
      </c>
      <c r="I1717" s="3">
        <f t="shared" si="105"/>
        <v>0</v>
      </c>
      <c r="J1717" s="4">
        <v>0</v>
      </c>
      <c r="K1717" s="11">
        <f>Table1[[#This Row],[original_price]]* (Table1[[#This Row],[Markdown percentage updated]])</f>
        <v>0</v>
      </c>
      <c r="L17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17" s="6">
        <v>82.65</v>
      </c>
      <c r="N17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17" s="7">
        <v>45875</v>
      </c>
      <c r="P1717">
        <v>30</v>
      </c>
      <c r="Q1717" s="16" t="str">
        <f>IF(Table1[[#This Row],[stock_quantity]]=0,"NO STOCK",
IF(Table1[[#This Row],[stock_quantity]]&lt;=10,"LOW STOCK",
"IN STOCK"))</f>
        <v>IN STOCK</v>
      </c>
      <c r="R1717" s="1">
        <f t="shared" si="106"/>
        <v>4.0999999999999996</v>
      </c>
      <c r="S1717">
        <v>4.0999999999999996</v>
      </c>
      <c r="T1717" t="b">
        <v>0</v>
      </c>
      <c r="U1717" t="str">
        <f t="shared" si="107"/>
        <v>No Return</v>
      </c>
    </row>
    <row r="1718" spans="1:22" hidden="1" x14ac:dyDescent="0.3">
      <c r="A1718" t="s">
        <v>1771</v>
      </c>
      <c r="B1718" t="s">
        <v>38</v>
      </c>
      <c r="C1718" t="s">
        <v>53</v>
      </c>
      <c r="D1718" t="s">
        <v>23</v>
      </c>
      <c r="E1718" t="str">
        <f t="shared" si="104"/>
        <v>OS</v>
      </c>
      <c r="F1718" t="s">
        <v>49</v>
      </c>
      <c r="G1718" t="s">
        <v>28</v>
      </c>
      <c r="H1718" s="8">
        <v>42.36</v>
      </c>
      <c r="I1718" s="3">
        <f t="shared" si="105"/>
        <v>0</v>
      </c>
      <c r="J1718" s="4">
        <v>0</v>
      </c>
      <c r="K1718" s="11">
        <f>Table1[[#This Row],[original_price]]* (Table1[[#This Row],[Markdown percentage updated]])</f>
        <v>0</v>
      </c>
      <c r="L17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18" s="6">
        <v>42.36</v>
      </c>
      <c r="N17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18" s="7">
        <v>45875</v>
      </c>
      <c r="P1718">
        <v>37</v>
      </c>
      <c r="Q1718" s="16" t="str">
        <f>IF(Table1[[#This Row],[stock_quantity]]=0,"NO STOCK",
IF(Table1[[#This Row],[stock_quantity]]&lt;=10,"LOW STOCK",
"IN STOCK"))</f>
        <v>IN STOCK</v>
      </c>
      <c r="R1718" s="1">
        <f t="shared" si="106"/>
        <v>1.4</v>
      </c>
      <c r="S1718">
        <v>1.4</v>
      </c>
      <c r="T1718" t="b">
        <v>0</v>
      </c>
      <c r="U1718" t="str">
        <f t="shared" si="107"/>
        <v>No Return</v>
      </c>
    </row>
    <row r="1719" spans="1:22" hidden="1" x14ac:dyDescent="0.3">
      <c r="A1719" t="s">
        <v>1772</v>
      </c>
      <c r="B1719" t="s">
        <v>38</v>
      </c>
      <c r="C1719" t="s">
        <v>53</v>
      </c>
      <c r="D1719" t="s">
        <v>62</v>
      </c>
      <c r="E1719" t="str">
        <f t="shared" si="104"/>
        <v>XXL</v>
      </c>
      <c r="F1719" t="s">
        <v>58</v>
      </c>
      <c r="G1719" t="s">
        <v>19</v>
      </c>
      <c r="H1719" s="8">
        <v>109.36</v>
      </c>
      <c r="I1719" s="3">
        <f t="shared" si="105"/>
        <v>0</v>
      </c>
      <c r="J1719" s="4">
        <v>0</v>
      </c>
      <c r="K1719" s="11">
        <f>Table1[[#This Row],[original_price]]* (Table1[[#This Row],[Markdown percentage updated]])</f>
        <v>0</v>
      </c>
      <c r="L17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19" s="6">
        <v>109.36</v>
      </c>
      <c r="N17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19" s="7">
        <v>45875</v>
      </c>
      <c r="P1719">
        <v>24</v>
      </c>
      <c r="Q1719" s="16" t="str">
        <f>IF(Table1[[#This Row],[stock_quantity]]=0,"NO STOCK",
IF(Table1[[#This Row],[stock_quantity]]&lt;=10,"LOW STOCK",
"IN STOCK"))</f>
        <v>IN STOCK</v>
      </c>
      <c r="R1719" s="1">
        <f t="shared" si="106"/>
        <v>1.7</v>
      </c>
      <c r="S1719">
        <v>1.7</v>
      </c>
      <c r="T1719" t="b">
        <v>0</v>
      </c>
      <c r="U1719" t="str">
        <f t="shared" si="107"/>
        <v>No Return</v>
      </c>
    </row>
    <row r="1720" spans="1:22" hidden="1" x14ac:dyDescent="0.3">
      <c r="A1720" t="s">
        <v>1773</v>
      </c>
      <c r="B1720" t="s">
        <v>27</v>
      </c>
      <c r="C1720" t="s">
        <v>53</v>
      </c>
      <c r="D1720" t="s">
        <v>23</v>
      </c>
      <c r="E1720" t="str">
        <f t="shared" si="104"/>
        <v>OS</v>
      </c>
      <c r="G1720" t="s">
        <v>56</v>
      </c>
      <c r="H1720" s="8">
        <v>59.98</v>
      </c>
      <c r="I1720" s="3">
        <f t="shared" si="105"/>
        <v>0</v>
      </c>
      <c r="J1720" s="4">
        <v>0</v>
      </c>
      <c r="K1720" s="11">
        <f>Table1[[#This Row],[original_price]]* (Table1[[#This Row],[Markdown percentage updated]])</f>
        <v>0</v>
      </c>
      <c r="L17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20" s="6">
        <v>59.98</v>
      </c>
      <c r="N17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20" s="7">
        <v>45875</v>
      </c>
      <c r="P1720">
        <v>28</v>
      </c>
      <c r="Q1720" s="16" t="str">
        <f>IF(Table1[[#This Row],[stock_quantity]]=0,"NO STOCK",
IF(Table1[[#This Row],[stock_quantity]]&lt;=10,"LOW STOCK",
"IN STOCK"))</f>
        <v>IN STOCK</v>
      </c>
      <c r="R1720" s="1">
        <f t="shared" si="106"/>
        <v>2.2000000000000002</v>
      </c>
      <c r="S1720">
        <v>2.2000000000000002</v>
      </c>
      <c r="T1720" t="b">
        <v>0</v>
      </c>
      <c r="U1720" t="str">
        <f t="shared" si="107"/>
        <v>No Return</v>
      </c>
    </row>
    <row r="1721" spans="1:22" hidden="1" x14ac:dyDescent="0.3">
      <c r="A1721" t="s">
        <v>1774</v>
      </c>
      <c r="B1721" t="s">
        <v>42</v>
      </c>
      <c r="C1721" t="s">
        <v>61</v>
      </c>
      <c r="D1721" t="s">
        <v>17</v>
      </c>
      <c r="E1721" t="str">
        <f t="shared" si="104"/>
        <v>XS</v>
      </c>
      <c r="G1721" t="s">
        <v>66</v>
      </c>
      <c r="H1721" s="8">
        <v>111.81</v>
      </c>
      <c r="I1721" s="3">
        <f t="shared" si="105"/>
        <v>0</v>
      </c>
      <c r="J1721" s="4">
        <v>0</v>
      </c>
      <c r="K1721" s="11">
        <f>Table1[[#This Row],[original_price]]* (Table1[[#This Row],[Markdown percentage updated]])</f>
        <v>0</v>
      </c>
      <c r="L17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21" s="6">
        <v>111.81</v>
      </c>
      <c r="N17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21" s="7">
        <v>45525</v>
      </c>
      <c r="P1721">
        <v>45</v>
      </c>
      <c r="Q1721" s="16" t="str">
        <f>IF(Table1[[#This Row],[stock_quantity]]=0,"NO STOCK",
IF(Table1[[#This Row],[stock_quantity]]&lt;=10,"LOW STOCK",
"IN STOCK"))</f>
        <v>IN STOCK</v>
      </c>
      <c r="R1721" s="1">
        <f t="shared" si="106"/>
        <v>1.1000000000000001</v>
      </c>
      <c r="S1721">
        <v>1.1000000000000001</v>
      </c>
      <c r="T1721" t="b">
        <v>0</v>
      </c>
      <c r="U1721" t="str">
        <f t="shared" si="107"/>
        <v>No Return</v>
      </c>
    </row>
    <row r="1722" spans="1:22" hidden="1" x14ac:dyDescent="0.3">
      <c r="A1722" t="s">
        <v>1775</v>
      </c>
      <c r="B1722" t="s">
        <v>38</v>
      </c>
      <c r="C1722" t="s">
        <v>32</v>
      </c>
      <c r="D1722" t="s">
        <v>23</v>
      </c>
      <c r="E1722" t="str">
        <f t="shared" si="104"/>
        <v>OS</v>
      </c>
      <c r="F1722" t="s">
        <v>49</v>
      </c>
      <c r="G1722" t="s">
        <v>19</v>
      </c>
      <c r="H1722" s="8">
        <v>70.78</v>
      </c>
      <c r="I1722" s="3">
        <f t="shared" si="105"/>
        <v>0</v>
      </c>
      <c r="J1722" s="4">
        <v>0</v>
      </c>
      <c r="K1722" s="11">
        <f>Table1[[#This Row],[original_price]]* (Table1[[#This Row],[Markdown percentage updated]])</f>
        <v>0</v>
      </c>
      <c r="L17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22" s="6">
        <v>70.78</v>
      </c>
      <c r="N17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22" s="7">
        <v>45875</v>
      </c>
      <c r="P1722">
        <v>39</v>
      </c>
      <c r="Q1722" s="16" t="str">
        <f>IF(Table1[[#This Row],[stock_quantity]]=0,"NO STOCK",
IF(Table1[[#This Row],[stock_quantity]]&lt;=10,"LOW STOCK",
"IN STOCK"))</f>
        <v>IN STOCK</v>
      </c>
      <c r="R1722" s="1">
        <f t="shared" si="106"/>
        <v>3.4</v>
      </c>
      <c r="S1722">
        <v>3.4</v>
      </c>
      <c r="T1722" t="b">
        <v>1</v>
      </c>
      <c r="U1722" s="13" t="str">
        <f t="shared" si="107"/>
        <v>Color Mismatch</v>
      </c>
      <c r="V1722" t="s">
        <v>36</v>
      </c>
    </row>
    <row r="1723" spans="1:22" hidden="1" x14ac:dyDescent="0.3">
      <c r="A1723" t="s">
        <v>1776</v>
      </c>
      <c r="B1723" t="s">
        <v>27</v>
      </c>
      <c r="C1723" t="s">
        <v>43</v>
      </c>
      <c r="D1723" t="s">
        <v>23</v>
      </c>
      <c r="E1723" t="str">
        <f t="shared" si="104"/>
        <v>OS</v>
      </c>
      <c r="G1723" t="s">
        <v>25</v>
      </c>
      <c r="H1723" s="8">
        <v>76.13</v>
      </c>
      <c r="I1723" s="3">
        <f t="shared" si="105"/>
        <v>0.58499999999999996</v>
      </c>
      <c r="J1723" s="4">
        <v>58.5</v>
      </c>
      <c r="K1723" s="11">
        <f>Table1[[#This Row],[original_price]]* (Table1[[#This Row],[Markdown percentage updated]])</f>
        <v>44.536049999999996</v>
      </c>
      <c r="L17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23" s="6">
        <v>31.59</v>
      </c>
      <c r="N17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23" s="7">
        <v>45875</v>
      </c>
      <c r="P1723">
        <v>40</v>
      </c>
      <c r="Q1723" s="16" t="str">
        <f>IF(Table1[[#This Row],[stock_quantity]]=0,"NO STOCK",
IF(Table1[[#This Row],[stock_quantity]]&lt;=10,"LOW STOCK",
"IN STOCK"))</f>
        <v>IN STOCK</v>
      </c>
      <c r="R1723" s="1">
        <f t="shared" si="106"/>
        <v>1.6</v>
      </c>
      <c r="S1723">
        <v>1.6</v>
      </c>
      <c r="T1723" t="b">
        <v>0</v>
      </c>
      <c r="U1723" t="str">
        <f t="shared" si="107"/>
        <v>No Return</v>
      </c>
    </row>
    <row r="1724" spans="1:22" hidden="1" x14ac:dyDescent="0.3">
      <c r="A1724" t="s">
        <v>1777</v>
      </c>
      <c r="B1724" t="s">
        <v>38</v>
      </c>
      <c r="C1724" t="s">
        <v>32</v>
      </c>
      <c r="D1724" t="s">
        <v>34</v>
      </c>
      <c r="E1724" t="str">
        <f t="shared" si="104"/>
        <v>XXL</v>
      </c>
      <c r="F1724" t="s">
        <v>55</v>
      </c>
      <c r="G1724" t="s">
        <v>25</v>
      </c>
      <c r="H1724" s="8">
        <v>71.09</v>
      </c>
      <c r="I1724" s="3">
        <f t="shared" si="105"/>
        <v>0.41499999999999998</v>
      </c>
      <c r="J1724" s="4">
        <v>41.5</v>
      </c>
      <c r="K1724" s="11">
        <f>Table1[[#This Row],[original_price]]* (Table1[[#This Row],[Markdown percentage updated]])</f>
        <v>29.50235</v>
      </c>
      <c r="L17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24" s="6">
        <v>41.59</v>
      </c>
      <c r="N17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24" s="7">
        <v>45875</v>
      </c>
      <c r="P1724">
        <v>20</v>
      </c>
      <c r="Q1724" s="16" t="str">
        <f>IF(Table1[[#This Row],[stock_quantity]]=0,"NO STOCK",
IF(Table1[[#This Row],[stock_quantity]]&lt;=10,"LOW STOCK",
"IN STOCK"))</f>
        <v>IN STOCK</v>
      </c>
      <c r="R1724" s="1">
        <f t="shared" si="106"/>
        <v>3.1</v>
      </c>
      <c r="S1724">
        <v>3.1</v>
      </c>
      <c r="T1724" t="b">
        <v>0</v>
      </c>
      <c r="U1724" t="str">
        <f t="shared" si="107"/>
        <v>No Return</v>
      </c>
    </row>
    <row r="1725" spans="1:22" hidden="1" x14ac:dyDescent="0.3">
      <c r="A1725" t="s">
        <v>1778</v>
      </c>
      <c r="B1725" t="s">
        <v>38</v>
      </c>
      <c r="C1725" t="s">
        <v>43</v>
      </c>
      <c r="D1725" t="s">
        <v>34</v>
      </c>
      <c r="E1725" t="str">
        <f t="shared" si="104"/>
        <v>XL</v>
      </c>
      <c r="G1725" t="s">
        <v>40</v>
      </c>
      <c r="H1725" s="8">
        <v>53.64</v>
      </c>
      <c r="I1725" s="3">
        <f t="shared" si="105"/>
        <v>0.55899999999999994</v>
      </c>
      <c r="J1725" s="4">
        <v>55.9</v>
      </c>
      <c r="K1725" s="11">
        <f>Table1[[#This Row],[original_price]]* (Table1[[#This Row],[Markdown percentage updated]])</f>
        <v>29.984759999999998</v>
      </c>
      <c r="L17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25" s="6">
        <v>23.66</v>
      </c>
      <c r="N17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25" s="7">
        <v>45875</v>
      </c>
      <c r="P1725">
        <v>10</v>
      </c>
      <c r="Q1725" s="17" t="str">
        <f>IF(Table1[[#This Row],[stock_quantity]]=0,"NO STOCK",
IF(Table1[[#This Row],[stock_quantity]]&lt;=10,"LOW STOCK",
"IN STOCK"))</f>
        <v>LOW STOCK</v>
      </c>
      <c r="R1725" s="1">
        <f t="shared" si="106"/>
        <v>2.5</v>
      </c>
      <c r="S1725">
        <v>2.5</v>
      </c>
      <c r="T1725" t="b">
        <v>0</v>
      </c>
      <c r="U1725" t="str">
        <f t="shared" si="107"/>
        <v>No Return</v>
      </c>
    </row>
    <row r="1726" spans="1:22" hidden="1" x14ac:dyDescent="0.3">
      <c r="A1726" t="s">
        <v>1779</v>
      </c>
      <c r="B1726" t="s">
        <v>30</v>
      </c>
      <c r="C1726" t="s">
        <v>53</v>
      </c>
      <c r="D1726" t="s">
        <v>34</v>
      </c>
      <c r="E1726" t="str">
        <f t="shared" si="104"/>
        <v>OS</v>
      </c>
      <c r="G1726" t="s">
        <v>70</v>
      </c>
      <c r="H1726" s="8">
        <v>110.2</v>
      </c>
      <c r="I1726" s="3">
        <f t="shared" si="105"/>
        <v>0.59699999999999998</v>
      </c>
      <c r="J1726" s="4">
        <v>59.7</v>
      </c>
      <c r="K1726" s="11">
        <f>Table1[[#This Row],[original_price]]* (Table1[[#This Row],[Markdown percentage updated]])</f>
        <v>65.789400000000001</v>
      </c>
      <c r="L17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26" s="6">
        <v>44.41</v>
      </c>
      <c r="N17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26" s="7">
        <v>45875</v>
      </c>
      <c r="P1726">
        <v>13</v>
      </c>
      <c r="Q1726" s="16" t="str">
        <f>IF(Table1[[#This Row],[stock_quantity]]=0,"NO STOCK",
IF(Table1[[#This Row],[stock_quantity]]&lt;=10,"LOW STOCK",
"IN STOCK"))</f>
        <v>IN STOCK</v>
      </c>
      <c r="R1726" s="1">
        <f t="shared" si="106"/>
        <v>3.5</v>
      </c>
      <c r="S1726">
        <v>3.5</v>
      </c>
      <c r="T1726" t="b">
        <v>1</v>
      </c>
      <c r="U1726" s="13" t="str">
        <f t="shared" si="107"/>
        <v>Color Mismatch</v>
      </c>
      <c r="V1726" t="s">
        <v>36</v>
      </c>
    </row>
    <row r="1727" spans="1:22" hidden="1" x14ac:dyDescent="0.3">
      <c r="A1727" t="s">
        <v>1780</v>
      </c>
      <c r="B1727" t="s">
        <v>30</v>
      </c>
      <c r="C1727" t="s">
        <v>22</v>
      </c>
      <c r="D1727" t="s">
        <v>62</v>
      </c>
      <c r="E1727" t="str">
        <f t="shared" si="104"/>
        <v>S</v>
      </c>
      <c r="F1727" t="s">
        <v>49</v>
      </c>
      <c r="G1727" t="s">
        <v>46</v>
      </c>
      <c r="H1727" s="8">
        <v>80.63</v>
      </c>
      <c r="I1727" s="3">
        <f t="shared" si="105"/>
        <v>0.17399999999999999</v>
      </c>
      <c r="J1727" s="4">
        <v>17.399999999999999</v>
      </c>
      <c r="K1727" s="11">
        <f>Table1[[#This Row],[original_price]]* (Table1[[#This Row],[Markdown percentage updated]])</f>
        <v>14.029619999999998</v>
      </c>
      <c r="L17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27" s="6">
        <v>66.599999999999994</v>
      </c>
      <c r="N17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27" s="7">
        <v>45875</v>
      </c>
      <c r="P1727">
        <v>6</v>
      </c>
      <c r="Q1727" s="17" t="str">
        <f>IF(Table1[[#This Row],[stock_quantity]]=0,"NO STOCK",
IF(Table1[[#This Row],[stock_quantity]]&lt;=10,"LOW STOCK",
"IN STOCK"))</f>
        <v>LOW STOCK</v>
      </c>
      <c r="R1727" s="1">
        <f t="shared" si="106"/>
        <v>0</v>
      </c>
      <c r="T1727" t="b">
        <v>1</v>
      </c>
      <c r="U1727" s="13" t="str">
        <f t="shared" si="107"/>
        <v>Damaged</v>
      </c>
      <c r="V1727" t="s">
        <v>78</v>
      </c>
    </row>
    <row r="1728" spans="1:22" hidden="1" x14ac:dyDescent="0.3">
      <c r="A1728" t="s">
        <v>1781</v>
      </c>
      <c r="B1728" t="s">
        <v>42</v>
      </c>
      <c r="C1728" t="s">
        <v>43</v>
      </c>
      <c r="D1728" t="s">
        <v>17</v>
      </c>
      <c r="E1728" t="str">
        <f t="shared" si="104"/>
        <v>L</v>
      </c>
      <c r="F1728" t="s">
        <v>18</v>
      </c>
      <c r="G1728" t="s">
        <v>46</v>
      </c>
      <c r="H1728" s="8">
        <v>101.09</v>
      </c>
      <c r="I1728" s="3">
        <f t="shared" si="105"/>
        <v>0.248</v>
      </c>
      <c r="J1728" s="4">
        <v>24.8</v>
      </c>
      <c r="K1728" s="11">
        <f>Table1[[#This Row],[original_price]]* (Table1[[#This Row],[Markdown percentage updated]])</f>
        <v>25.070320000000002</v>
      </c>
      <c r="L17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728" s="6">
        <v>76.02</v>
      </c>
      <c r="N17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28" s="7">
        <v>45537</v>
      </c>
      <c r="P1728">
        <v>7</v>
      </c>
      <c r="Q1728" s="17" t="str">
        <f>IF(Table1[[#This Row],[stock_quantity]]=0,"NO STOCK",
IF(Table1[[#This Row],[stock_quantity]]&lt;=10,"LOW STOCK",
"IN STOCK"))</f>
        <v>LOW STOCK</v>
      </c>
      <c r="R1728" s="1">
        <f t="shared" si="106"/>
        <v>4.5</v>
      </c>
      <c r="S1728">
        <v>4.5</v>
      </c>
      <c r="T1728" t="b">
        <v>1</v>
      </c>
      <c r="U1728" s="13" t="str">
        <f t="shared" si="107"/>
        <v>Damaged</v>
      </c>
      <c r="V1728" t="s">
        <v>78</v>
      </c>
    </row>
    <row r="1729" spans="1:21" hidden="1" x14ac:dyDescent="0.3">
      <c r="A1729" t="s">
        <v>1782</v>
      </c>
      <c r="B1729" t="s">
        <v>27</v>
      </c>
      <c r="C1729" t="s">
        <v>16</v>
      </c>
      <c r="D1729" t="s">
        <v>17</v>
      </c>
      <c r="E1729" t="str">
        <f t="shared" si="104"/>
        <v>XL</v>
      </c>
      <c r="G1729" t="s">
        <v>64</v>
      </c>
      <c r="H1729" s="8">
        <v>75.48</v>
      </c>
      <c r="I1729" s="3">
        <f t="shared" si="105"/>
        <v>0</v>
      </c>
      <c r="J1729" s="4">
        <v>0</v>
      </c>
      <c r="K1729" s="11">
        <f>Table1[[#This Row],[original_price]]* (Table1[[#This Row],[Markdown percentage updated]])</f>
        <v>0</v>
      </c>
      <c r="L17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29" s="6">
        <v>75.48</v>
      </c>
      <c r="N17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29" s="7">
        <v>45804</v>
      </c>
      <c r="P1729">
        <v>16</v>
      </c>
      <c r="Q1729" s="16" t="str">
        <f>IF(Table1[[#This Row],[stock_quantity]]=0,"NO STOCK",
IF(Table1[[#This Row],[stock_quantity]]&lt;=10,"LOW STOCK",
"IN STOCK"))</f>
        <v>IN STOCK</v>
      </c>
      <c r="R1729" s="1">
        <f t="shared" si="106"/>
        <v>1.4</v>
      </c>
      <c r="S1729">
        <v>1.4</v>
      </c>
      <c r="T1729" t="b">
        <v>0</v>
      </c>
      <c r="U1729" t="str">
        <f t="shared" si="107"/>
        <v>No Return</v>
      </c>
    </row>
    <row r="1730" spans="1:21" hidden="1" x14ac:dyDescent="0.3">
      <c r="A1730" t="s">
        <v>1783</v>
      </c>
      <c r="B1730" t="s">
        <v>30</v>
      </c>
      <c r="C1730" t="s">
        <v>32</v>
      </c>
      <c r="D1730" t="s">
        <v>62</v>
      </c>
      <c r="E1730" t="str">
        <f t="shared" ref="E1730:E1793" si="108">IF(ISBLANK(F1733),"OS",F1733)</f>
        <v>S</v>
      </c>
      <c r="F1730" t="s">
        <v>39</v>
      </c>
      <c r="G1730" t="s">
        <v>70</v>
      </c>
      <c r="H1730" s="8">
        <v>159.94999999999999</v>
      </c>
      <c r="I1730" s="3">
        <f t="shared" ref="I1730:I1793" si="109">J1730/100</f>
        <v>6.4000000000000001E-2</v>
      </c>
      <c r="J1730" s="4">
        <v>6.4</v>
      </c>
      <c r="K1730" s="11">
        <f>Table1[[#This Row],[original_price]]* (Table1[[#This Row],[Markdown percentage updated]])</f>
        <v>10.236799999999999</v>
      </c>
      <c r="L17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30" s="6">
        <v>149.71</v>
      </c>
      <c r="N17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30" s="7">
        <v>45875</v>
      </c>
      <c r="P1730">
        <v>39</v>
      </c>
      <c r="Q1730" s="16" t="str">
        <f>IF(Table1[[#This Row],[stock_quantity]]=0,"NO STOCK",
IF(Table1[[#This Row],[stock_quantity]]&lt;=10,"LOW STOCK",
"IN STOCK"))</f>
        <v>IN STOCK</v>
      </c>
      <c r="R1730" s="1">
        <f t="shared" si="106"/>
        <v>3</v>
      </c>
      <c r="S1730">
        <v>3</v>
      </c>
      <c r="T1730" t="b">
        <v>0</v>
      </c>
      <c r="U1730" t="str">
        <f t="shared" si="107"/>
        <v>No Return</v>
      </c>
    </row>
    <row r="1731" spans="1:21" hidden="1" x14ac:dyDescent="0.3">
      <c r="A1731" t="s">
        <v>1784</v>
      </c>
      <c r="B1731" t="s">
        <v>42</v>
      </c>
      <c r="C1731" t="s">
        <v>61</v>
      </c>
      <c r="D1731" t="s">
        <v>62</v>
      </c>
      <c r="E1731" t="str">
        <f t="shared" si="108"/>
        <v>S</v>
      </c>
      <c r="F1731" t="s">
        <v>24</v>
      </c>
      <c r="G1731" t="s">
        <v>28</v>
      </c>
      <c r="H1731" s="8">
        <v>61.9</v>
      </c>
      <c r="I1731" s="3">
        <f t="shared" si="109"/>
        <v>0</v>
      </c>
      <c r="J1731" s="4">
        <v>0</v>
      </c>
      <c r="K1731" s="11">
        <f>Table1[[#This Row],[original_price]]* (Table1[[#This Row],[Markdown percentage updated]])</f>
        <v>0</v>
      </c>
      <c r="L17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31" s="6">
        <v>61.9</v>
      </c>
      <c r="N17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31" s="7">
        <v>45875</v>
      </c>
      <c r="P1731">
        <v>29</v>
      </c>
      <c r="Q1731" s="16" t="str">
        <f>IF(Table1[[#This Row],[stock_quantity]]=0,"NO STOCK",
IF(Table1[[#This Row],[stock_quantity]]&lt;=10,"LOW STOCK",
"IN STOCK"))</f>
        <v>IN STOCK</v>
      </c>
      <c r="R1731" s="1">
        <f t="shared" ref="R1731:R1794" si="110">IF(ISBLANK(S1731), 0, S1731)</f>
        <v>4.4000000000000004</v>
      </c>
      <c r="S1731">
        <v>4.4000000000000004</v>
      </c>
      <c r="T1731" t="b">
        <v>0</v>
      </c>
      <c r="U1731" t="str">
        <f t="shared" ref="U1731:U1794" si="111">IF(V1731="","No Return",V1731)</f>
        <v>No Return</v>
      </c>
    </row>
    <row r="1732" spans="1:21" hidden="1" x14ac:dyDescent="0.3">
      <c r="A1732" t="s">
        <v>1785</v>
      </c>
      <c r="B1732" t="s">
        <v>21</v>
      </c>
      <c r="C1732" t="s">
        <v>32</v>
      </c>
      <c r="D1732" t="s">
        <v>34</v>
      </c>
      <c r="E1732" t="str">
        <f t="shared" si="108"/>
        <v>XXL</v>
      </c>
      <c r="F1732" t="s">
        <v>18</v>
      </c>
      <c r="G1732" t="s">
        <v>66</v>
      </c>
      <c r="H1732" s="8">
        <v>63.45</v>
      </c>
      <c r="I1732" s="3">
        <f t="shared" si="109"/>
        <v>0.12300000000000001</v>
      </c>
      <c r="J1732" s="4">
        <v>12.3</v>
      </c>
      <c r="K1732" s="11">
        <f>Table1[[#This Row],[original_price]]* (Table1[[#This Row],[Markdown percentage updated]])</f>
        <v>7.8043500000000012</v>
      </c>
      <c r="L17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32" s="6">
        <v>55.65</v>
      </c>
      <c r="N17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732" s="7">
        <v>45875</v>
      </c>
      <c r="P1732">
        <v>23</v>
      </c>
      <c r="Q1732" s="16" t="str">
        <f>IF(Table1[[#This Row],[stock_quantity]]=0,"NO STOCK",
IF(Table1[[#This Row],[stock_quantity]]&lt;=10,"LOW STOCK",
"IN STOCK"))</f>
        <v>IN STOCK</v>
      </c>
      <c r="R1732" s="1">
        <f t="shared" si="110"/>
        <v>4.9000000000000004</v>
      </c>
      <c r="S1732">
        <v>4.9000000000000004</v>
      </c>
      <c r="T1732" t="b">
        <v>0</v>
      </c>
      <c r="U1732" t="str">
        <f t="shared" si="111"/>
        <v>No Return</v>
      </c>
    </row>
    <row r="1733" spans="1:21" hidden="1" x14ac:dyDescent="0.3">
      <c r="A1733" t="s">
        <v>1786</v>
      </c>
      <c r="B1733" t="s">
        <v>21</v>
      </c>
      <c r="C1733" t="s">
        <v>43</v>
      </c>
      <c r="D1733" t="s">
        <v>62</v>
      </c>
      <c r="E1733" t="str">
        <f t="shared" si="108"/>
        <v>XS</v>
      </c>
      <c r="F1733" t="s">
        <v>39</v>
      </c>
      <c r="G1733" t="s">
        <v>19</v>
      </c>
      <c r="H1733" s="8">
        <v>43.22</v>
      </c>
      <c r="I1733" s="3">
        <f t="shared" si="109"/>
        <v>0.46700000000000003</v>
      </c>
      <c r="J1733" s="4">
        <v>46.7</v>
      </c>
      <c r="K1733" s="11">
        <f>Table1[[#This Row],[original_price]]* (Table1[[#This Row],[Markdown percentage updated]])</f>
        <v>20.18374</v>
      </c>
      <c r="L17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33" s="6">
        <v>23.04</v>
      </c>
      <c r="N17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33" s="7">
        <v>45875</v>
      </c>
      <c r="P1733">
        <v>29</v>
      </c>
      <c r="Q1733" s="16" t="str">
        <f>IF(Table1[[#This Row],[stock_quantity]]=0,"NO STOCK",
IF(Table1[[#This Row],[stock_quantity]]&lt;=10,"LOW STOCK",
"IN STOCK"))</f>
        <v>IN STOCK</v>
      </c>
      <c r="R1733" s="1">
        <f t="shared" si="110"/>
        <v>1.3</v>
      </c>
      <c r="S1733">
        <v>1.3</v>
      </c>
      <c r="T1733" t="b">
        <v>0</v>
      </c>
      <c r="U1733" t="str">
        <f t="shared" si="111"/>
        <v>No Return</v>
      </c>
    </row>
    <row r="1734" spans="1:21" hidden="1" x14ac:dyDescent="0.3">
      <c r="A1734" t="s">
        <v>1787</v>
      </c>
      <c r="B1734" t="s">
        <v>30</v>
      </c>
      <c r="C1734" t="s">
        <v>32</v>
      </c>
      <c r="D1734" t="s">
        <v>23</v>
      </c>
      <c r="E1734" t="str">
        <f t="shared" si="108"/>
        <v>XS</v>
      </c>
      <c r="F1734" t="s">
        <v>39</v>
      </c>
      <c r="G1734" t="s">
        <v>64</v>
      </c>
      <c r="H1734" s="8">
        <v>64.650000000000006</v>
      </c>
      <c r="I1734" s="3">
        <f t="shared" si="109"/>
        <v>0.26800000000000002</v>
      </c>
      <c r="J1734" s="4">
        <v>26.8</v>
      </c>
      <c r="K1734" s="11">
        <f>Table1[[#This Row],[original_price]]* (Table1[[#This Row],[Markdown percentage updated]])</f>
        <v>17.326200000000004</v>
      </c>
      <c r="L17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734" s="6">
        <v>47.32</v>
      </c>
      <c r="N17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34" s="7">
        <v>45875</v>
      </c>
      <c r="P1734">
        <v>28</v>
      </c>
      <c r="Q1734" s="16" t="str">
        <f>IF(Table1[[#This Row],[stock_quantity]]=0,"NO STOCK",
IF(Table1[[#This Row],[stock_quantity]]&lt;=10,"LOW STOCK",
"IN STOCK"))</f>
        <v>IN STOCK</v>
      </c>
      <c r="R1734" s="1">
        <f t="shared" si="110"/>
        <v>4.7</v>
      </c>
      <c r="S1734">
        <v>4.7</v>
      </c>
      <c r="T1734" t="b">
        <v>0</v>
      </c>
      <c r="U1734" t="str">
        <f t="shared" si="111"/>
        <v>No Return</v>
      </c>
    </row>
    <row r="1735" spans="1:21" hidden="1" x14ac:dyDescent="0.3">
      <c r="A1735" t="s">
        <v>1788</v>
      </c>
      <c r="B1735" t="s">
        <v>30</v>
      </c>
      <c r="C1735" t="s">
        <v>22</v>
      </c>
      <c r="D1735" t="s">
        <v>17</v>
      </c>
      <c r="E1735" t="str">
        <f t="shared" si="108"/>
        <v>XS</v>
      </c>
      <c r="F1735" t="s">
        <v>49</v>
      </c>
      <c r="G1735" t="s">
        <v>66</v>
      </c>
      <c r="H1735" s="8">
        <v>118.67</v>
      </c>
      <c r="I1735" s="3">
        <f t="shared" si="109"/>
        <v>0.56000000000000005</v>
      </c>
      <c r="J1735" s="4">
        <v>56</v>
      </c>
      <c r="K1735" s="11">
        <f>Table1[[#This Row],[original_price]]* (Table1[[#This Row],[Markdown percentage updated]])</f>
        <v>66.455200000000005</v>
      </c>
      <c r="L17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35" s="6">
        <v>52.21</v>
      </c>
      <c r="N17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35" s="7">
        <v>45773</v>
      </c>
      <c r="P1735">
        <v>27</v>
      </c>
      <c r="Q1735" s="16" t="str">
        <f>IF(Table1[[#This Row],[stock_quantity]]=0,"NO STOCK",
IF(Table1[[#This Row],[stock_quantity]]&lt;=10,"LOW STOCK",
"IN STOCK"))</f>
        <v>IN STOCK</v>
      </c>
      <c r="R1735" s="1">
        <f t="shared" si="110"/>
        <v>3.5</v>
      </c>
      <c r="S1735">
        <v>3.5</v>
      </c>
      <c r="T1735" t="b">
        <v>0</v>
      </c>
      <c r="U1735" t="str">
        <f t="shared" si="111"/>
        <v>No Return</v>
      </c>
    </row>
    <row r="1736" spans="1:21" hidden="1" x14ac:dyDescent="0.3">
      <c r="A1736" t="s">
        <v>1789</v>
      </c>
      <c r="B1736" t="s">
        <v>42</v>
      </c>
      <c r="C1736" t="s">
        <v>32</v>
      </c>
      <c r="D1736" t="s">
        <v>17</v>
      </c>
      <c r="E1736" t="str">
        <f t="shared" si="108"/>
        <v>XXL</v>
      </c>
      <c r="F1736" t="s">
        <v>55</v>
      </c>
      <c r="G1736" t="s">
        <v>35</v>
      </c>
      <c r="H1736" s="8">
        <v>169.32</v>
      </c>
      <c r="I1736" s="3">
        <f t="shared" si="109"/>
        <v>0</v>
      </c>
      <c r="J1736" s="4">
        <v>0</v>
      </c>
      <c r="K1736" s="11">
        <f>Table1[[#This Row],[original_price]]* (Table1[[#This Row],[Markdown percentage updated]])</f>
        <v>0</v>
      </c>
      <c r="L17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36" s="6">
        <v>169.32</v>
      </c>
      <c r="N17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36" s="7">
        <v>45643</v>
      </c>
      <c r="P1736">
        <v>19</v>
      </c>
      <c r="Q1736" s="16" t="str">
        <f>IF(Table1[[#This Row],[stock_quantity]]=0,"NO STOCK",
IF(Table1[[#This Row],[stock_quantity]]&lt;=10,"LOW STOCK",
"IN STOCK"))</f>
        <v>IN STOCK</v>
      </c>
      <c r="R1736" s="1">
        <f t="shared" si="110"/>
        <v>2.2000000000000002</v>
      </c>
      <c r="S1736">
        <v>2.2000000000000002</v>
      </c>
      <c r="T1736" t="b">
        <v>0</v>
      </c>
      <c r="U1736" t="str">
        <f t="shared" si="111"/>
        <v>No Return</v>
      </c>
    </row>
    <row r="1737" spans="1:21" hidden="1" x14ac:dyDescent="0.3">
      <c r="A1737" t="s">
        <v>1790</v>
      </c>
      <c r="B1737" t="s">
        <v>30</v>
      </c>
      <c r="C1737" t="s">
        <v>53</v>
      </c>
      <c r="D1737" t="s">
        <v>17</v>
      </c>
      <c r="E1737" t="str">
        <f t="shared" si="108"/>
        <v>OS</v>
      </c>
      <c r="F1737" t="s">
        <v>55</v>
      </c>
      <c r="G1737" t="s">
        <v>40</v>
      </c>
      <c r="H1737" s="8">
        <v>115.77</v>
      </c>
      <c r="I1737" s="3">
        <f t="shared" si="109"/>
        <v>0</v>
      </c>
      <c r="J1737" s="4">
        <v>0</v>
      </c>
      <c r="K1737" s="11">
        <f>Table1[[#This Row],[original_price]]* (Table1[[#This Row],[Markdown percentage updated]])</f>
        <v>0</v>
      </c>
      <c r="L17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37" s="6">
        <v>115.77</v>
      </c>
      <c r="N17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37" s="7">
        <v>45620</v>
      </c>
      <c r="P1737">
        <v>43</v>
      </c>
      <c r="Q1737" s="16" t="str">
        <f>IF(Table1[[#This Row],[stock_quantity]]=0,"NO STOCK",
IF(Table1[[#This Row],[stock_quantity]]&lt;=10,"LOW STOCK",
"IN STOCK"))</f>
        <v>IN STOCK</v>
      </c>
      <c r="R1737" s="1">
        <f t="shared" si="110"/>
        <v>0</v>
      </c>
      <c r="T1737" t="b">
        <v>0</v>
      </c>
      <c r="U1737" t="str">
        <f t="shared" si="111"/>
        <v>No Return</v>
      </c>
    </row>
    <row r="1738" spans="1:21" hidden="1" x14ac:dyDescent="0.3">
      <c r="A1738" t="s">
        <v>1791</v>
      </c>
      <c r="B1738" t="s">
        <v>30</v>
      </c>
      <c r="C1738" t="s">
        <v>43</v>
      </c>
      <c r="D1738" t="s">
        <v>34</v>
      </c>
      <c r="E1738" t="str">
        <f t="shared" si="108"/>
        <v>XL</v>
      </c>
      <c r="F1738" t="s">
        <v>55</v>
      </c>
      <c r="G1738" t="s">
        <v>56</v>
      </c>
      <c r="H1738" s="8">
        <v>139.91</v>
      </c>
      <c r="I1738" s="3">
        <f t="shared" si="109"/>
        <v>0</v>
      </c>
      <c r="J1738" s="4">
        <v>0</v>
      </c>
      <c r="K1738" s="11">
        <f>Table1[[#This Row],[original_price]]* (Table1[[#This Row],[Markdown percentage updated]])</f>
        <v>0</v>
      </c>
      <c r="L17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38" s="6">
        <v>139.91</v>
      </c>
      <c r="N17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38" s="7">
        <v>45875</v>
      </c>
      <c r="P1738">
        <v>9</v>
      </c>
      <c r="Q1738" s="17" t="str">
        <f>IF(Table1[[#This Row],[stock_quantity]]=0,"NO STOCK",
IF(Table1[[#This Row],[stock_quantity]]&lt;=10,"LOW STOCK",
"IN STOCK"))</f>
        <v>LOW STOCK</v>
      </c>
      <c r="R1738" s="1">
        <f t="shared" si="110"/>
        <v>3.7</v>
      </c>
      <c r="S1738">
        <v>3.7</v>
      </c>
      <c r="T1738" t="b">
        <v>0</v>
      </c>
      <c r="U1738" t="str">
        <f t="shared" si="111"/>
        <v>No Return</v>
      </c>
    </row>
    <row r="1739" spans="1:21" hidden="1" x14ac:dyDescent="0.3">
      <c r="A1739" t="s">
        <v>1792</v>
      </c>
      <c r="B1739" t="s">
        <v>38</v>
      </c>
      <c r="C1739" t="s">
        <v>32</v>
      </c>
      <c r="D1739" t="s">
        <v>62</v>
      </c>
      <c r="E1739" t="str">
        <f t="shared" si="108"/>
        <v>S</v>
      </c>
      <c r="F1739" t="s">
        <v>49</v>
      </c>
      <c r="G1739" t="s">
        <v>66</v>
      </c>
      <c r="H1739" s="8">
        <v>101.73</v>
      </c>
      <c r="I1739" s="3">
        <f t="shared" si="109"/>
        <v>0</v>
      </c>
      <c r="J1739" s="4">
        <v>0</v>
      </c>
      <c r="K1739" s="11">
        <f>Table1[[#This Row],[original_price]]* (Table1[[#This Row],[Markdown percentage updated]])</f>
        <v>0</v>
      </c>
      <c r="L17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39" s="6">
        <v>101.73</v>
      </c>
      <c r="N17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39" s="7">
        <v>45875</v>
      </c>
      <c r="P1739">
        <v>14</v>
      </c>
      <c r="Q1739" s="16" t="str">
        <f>IF(Table1[[#This Row],[stock_quantity]]=0,"NO STOCK",
IF(Table1[[#This Row],[stock_quantity]]&lt;=10,"LOW STOCK",
"IN STOCK"))</f>
        <v>IN STOCK</v>
      </c>
      <c r="R1739" s="1">
        <f t="shared" si="110"/>
        <v>4.7</v>
      </c>
      <c r="S1739">
        <v>4.7</v>
      </c>
      <c r="T1739" t="b">
        <v>0</v>
      </c>
      <c r="U1739" t="str">
        <f t="shared" si="111"/>
        <v>No Return</v>
      </c>
    </row>
    <row r="1740" spans="1:21" hidden="1" x14ac:dyDescent="0.3">
      <c r="A1740" t="s">
        <v>1793</v>
      </c>
      <c r="B1740" t="s">
        <v>21</v>
      </c>
      <c r="C1740" t="s">
        <v>75</v>
      </c>
      <c r="D1740" t="s">
        <v>62</v>
      </c>
      <c r="E1740" t="str">
        <f t="shared" si="108"/>
        <v>XS</v>
      </c>
      <c r="G1740" t="s">
        <v>25</v>
      </c>
      <c r="H1740" s="8">
        <v>105.85</v>
      </c>
      <c r="I1740" s="3">
        <f t="shared" si="109"/>
        <v>0</v>
      </c>
      <c r="J1740" s="4">
        <v>0</v>
      </c>
      <c r="K1740" s="11">
        <f>Table1[[#This Row],[original_price]]* (Table1[[#This Row],[Markdown percentage updated]])</f>
        <v>0</v>
      </c>
      <c r="L17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40" s="6">
        <v>105.85</v>
      </c>
      <c r="N17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40" s="7">
        <v>45875</v>
      </c>
      <c r="P1740">
        <v>29</v>
      </c>
      <c r="Q1740" s="16" t="str">
        <f>IF(Table1[[#This Row],[stock_quantity]]=0,"NO STOCK",
IF(Table1[[#This Row],[stock_quantity]]&lt;=10,"LOW STOCK",
"IN STOCK"))</f>
        <v>IN STOCK</v>
      </c>
      <c r="R1740" s="1">
        <f t="shared" si="110"/>
        <v>2.1</v>
      </c>
      <c r="S1740">
        <v>2.1</v>
      </c>
      <c r="T1740" t="b">
        <v>0</v>
      </c>
      <c r="U1740" t="str">
        <f t="shared" si="111"/>
        <v>No Return</v>
      </c>
    </row>
    <row r="1741" spans="1:21" hidden="1" x14ac:dyDescent="0.3">
      <c r="A1741" t="s">
        <v>1794</v>
      </c>
      <c r="B1741" t="s">
        <v>21</v>
      </c>
      <c r="C1741" t="s">
        <v>61</v>
      </c>
      <c r="D1741" t="s">
        <v>17</v>
      </c>
      <c r="E1741" t="str">
        <f t="shared" si="108"/>
        <v>XXL</v>
      </c>
      <c r="F1741" t="s">
        <v>18</v>
      </c>
      <c r="G1741" t="s">
        <v>40</v>
      </c>
      <c r="H1741" s="8">
        <v>105.37</v>
      </c>
      <c r="I1741" s="3">
        <f t="shared" si="109"/>
        <v>0</v>
      </c>
      <c r="J1741" s="4">
        <v>0</v>
      </c>
      <c r="K1741" s="11">
        <f>Table1[[#This Row],[original_price]]* (Table1[[#This Row],[Markdown percentage updated]])</f>
        <v>0</v>
      </c>
      <c r="L17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41" s="6">
        <v>105.37</v>
      </c>
      <c r="N17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41" s="7">
        <v>45762</v>
      </c>
      <c r="P1741">
        <v>24</v>
      </c>
      <c r="Q1741" s="16" t="str">
        <f>IF(Table1[[#This Row],[stock_quantity]]=0,"NO STOCK",
IF(Table1[[#This Row],[stock_quantity]]&lt;=10,"LOW STOCK",
"IN STOCK"))</f>
        <v>IN STOCK</v>
      </c>
      <c r="R1741" s="1">
        <f t="shared" si="110"/>
        <v>1.2</v>
      </c>
      <c r="S1741">
        <v>1.2</v>
      </c>
      <c r="T1741" t="b">
        <v>0</v>
      </c>
      <c r="U1741" t="str">
        <f t="shared" si="111"/>
        <v>No Return</v>
      </c>
    </row>
    <row r="1742" spans="1:21" hidden="1" x14ac:dyDescent="0.3">
      <c r="A1742" t="s">
        <v>1795</v>
      </c>
      <c r="B1742" t="s">
        <v>21</v>
      </c>
      <c r="C1742" t="s">
        <v>48</v>
      </c>
      <c r="D1742" t="s">
        <v>62</v>
      </c>
      <c r="E1742" t="str">
        <f t="shared" si="108"/>
        <v>XS</v>
      </c>
      <c r="F1742" t="s">
        <v>39</v>
      </c>
      <c r="G1742" t="s">
        <v>70</v>
      </c>
      <c r="H1742" s="8">
        <v>44.42</v>
      </c>
      <c r="I1742" s="3">
        <f t="shared" si="109"/>
        <v>0</v>
      </c>
      <c r="J1742" s="4">
        <v>0</v>
      </c>
      <c r="K1742" s="11">
        <f>Table1[[#This Row],[original_price]]* (Table1[[#This Row],[Markdown percentage updated]])</f>
        <v>0</v>
      </c>
      <c r="L17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42" s="6">
        <v>44.42</v>
      </c>
      <c r="N17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42" s="7">
        <v>45875</v>
      </c>
      <c r="P1742">
        <v>49</v>
      </c>
      <c r="Q1742" s="16" t="str">
        <f>IF(Table1[[#This Row],[stock_quantity]]=0,"NO STOCK",
IF(Table1[[#This Row],[stock_quantity]]&lt;=10,"LOW STOCK",
"IN STOCK"))</f>
        <v>IN STOCK</v>
      </c>
      <c r="R1742" s="1">
        <f t="shared" si="110"/>
        <v>0</v>
      </c>
      <c r="T1742" t="b">
        <v>0</v>
      </c>
      <c r="U1742" t="str">
        <f t="shared" si="111"/>
        <v>No Return</v>
      </c>
    </row>
    <row r="1743" spans="1:21" hidden="1" x14ac:dyDescent="0.3">
      <c r="A1743" t="s">
        <v>1796</v>
      </c>
      <c r="B1743" t="s">
        <v>30</v>
      </c>
      <c r="C1743" t="s">
        <v>22</v>
      </c>
      <c r="D1743" t="s">
        <v>17</v>
      </c>
      <c r="E1743" t="str">
        <f t="shared" si="108"/>
        <v>M</v>
      </c>
      <c r="F1743" t="s">
        <v>55</v>
      </c>
      <c r="G1743" t="s">
        <v>40</v>
      </c>
      <c r="H1743" s="8">
        <v>164.86</v>
      </c>
      <c r="I1743" s="3">
        <f t="shared" si="109"/>
        <v>0.14300000000000002</v>
      </c>
      <c r="J1743" s="4">
        <v>14.3</v>
      </c>
      <c r="K1743" s="11">
        <f>Table1[[#This Row],[original_price]]* (Table1[[#This Row],[Markdown percentage updated]])</f>
        <v>23.574980000000004</v>
      </c>
      <c r="L17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43" s="6">
        <v>141.29</v>
      </c>
      <c r="N17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43" s="7">
        <v>45730</v>
      </c>
      <c r="P1743">
        <v>7</v>
      </c>
      <c r="Q1743" s="17" t="str">
        <f>IF(Table1[[#This Row],[stock_quantity]]=0,"NO STOCK",
IF(Table1[[#This Row],[stock_quantity]]&lt;=10,"LOW STOCK",
"IN STOCK"))</f>
        <v>LOW STOCK</v>
      </c>
      <c r="R1743" s="1">
        <f t="shared" si="110"/>
        <v>2.2999999999999998</v>
      </c>
      <c r="S1743">
        <v>2.2999999999999998</v>
      </c>
      <c r="T1743" t="b">
        <v>0</v>
      </c>
      <c r="U1743" t="str">
        <f t="shared" si="111"/>
        <v>No Return</v>
      </c>
    </row>
    <row r="1744" spans="1:21" hidden="1" x14ac:dyDescent="0.3">
      <c r="A1744" t="s">
        <v>1797</v>
      </c>
      <c r="B1744" t="s">
        <v>30</v>
      </c>
      <c r="C1744" t="s">
        <v>43</v>
      </c>
      <c r="D1744" t="s">
        <v>34</v>
      </c>
      <c r="E1744" t="str">
        <f t="shared" si="108"/>
        <v>XL</v>
      </c>
      <c r="F1744" t="s">
        <v>49</v>
      </c>
      <c r="G1744" t="s">
        <v>28</v>
      </c>
      <c r="H1744" s="8">
        <v>163.88</v>
      </c>
      <c r="I1744" s="3">
        <f t="shared" si="109"/>
        <v>5.9000000000000004E-2</v>
      </c>
      <c r="J1744" s="4">
        <v>5.9</v>
      </c>
      <c r="K1744" s="11">
        <f>Table1[[#This Row],[original_price]]* (Table1[[#This Row],[Markdown percentage updated]])</f>
        <v>9.66892</v>
      </c>
      <c r="L17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44" s="6">
        <v>154.21</v>
      </c>
      <c r="N17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744" s="7">
        <v>45875</v>
      </c>
      <c r="P1744">
        <v>39</v>
      </c>
      <c r="Q1744" s="16" t="str">
        <f>IF(Table1[[#This Row],[stock_quantity]]=0,"NO STOCK",
IF(Table1[[#This Row],[stock_quantity]]&lt;=10,"LOW STOCK",
"IN STOCK"))</f>
        <v>IN STOCK</v>
      </c>
      <c r="R1744" s="1">
        <f t="shared" si="110"/>
        <v>2.6</v>
      </c>
      <c r="S1744">
        <v>2.6</v>
      </c>
      <c r="T1744" t="b">
        <v>0</v>
      </c>
      <c r="U1744" t="str">
        <f t="shared" si="111"/>
        <v>No Return</v>
      </c>
    </row>
    <row r="1745" spans="1:22" hidden="1" x14ac:dyDescent="0.3">
      <c r="A1745" t="s">
        <v>1798</v>
      </c>
      <c r="B1745" t="s">
        <v>38</v>
      </c>
      <c r="C1745" t="s">
        <v>16</v>
      </c>
      <c r="D1745" t="s">
        <v>34</v>
      </c>
      <c r="E1745" t="str">
        <f t="shared" si="108"/>
        <v>XS</v>
      </c>
      <c r="F1745" t="s">
        <v>55</v>
      </c>
      <c r="G1745" t="s">
        <v>46</v>
      </c>
      <c r="H1745" s="8">
        <v>36.54</v>
      </c>
      <c r="I1745" s="3">
        <f t="shared" si="109"/>
        <v>5.2999999999999999E-2</v>
      </c>
      <c r="J1745" s="4">
        <v>5.3</v>
      </c>
      <c r="K1745" s="11">
        <f>Table1[[#This Row],[original_price]]* (Table1[[#This Row],[Markdown percentage updated]])</f>
        <v>1.93662</v>
      </c>
      <c r="L17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45" s="6">
        <v>34.6</v>
      </c>
      <c r="N17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745" s="7">
        <v>45875</v>
      </c>
      <c r="P1745">
        <v>13</v>
      </c>
      <c r="Q1745" s="16" t="str">
        <f>IF(Table1[[#This Row],[stock_quantity]]=0,"NO STOCK",
IF(Table1[[#This Row],[stock_quantity]]&lt;=10,"LOW STOCK",
"IN STOCK"))</f>
        <v>IN STOCK</v>
      </c>
      <c r="R1745" s="1">
        <f t="shared" si="110"/>
        <v>2.5</v>
      </c>
      <c r="S1745">
        <v>2.5</v>
      </c>
      <c r="T1745" t="b">
        <v>0</v>
      </c>
      <c r="U1745" t="str">
        <f t="shared" si="111"/>
        <v>No Return</v>
      </c>
    </row>
    <row r="1746" spans="1:22" hidden="1" x14ac:dyDescent="0.3">
      <c r="A1746" t="s">
        <v>1799</v>
      </c>
      <c r="B1746" t="s">
        <v>42</v>
      </c>
      <c r="C1746" t="s">
        <v>32</v>
      </c>
      <c r="D1746" t="s">
        <v>17</v>
      </c>
      <c r="E1746" t="str">
        <f t="shared" si="108"/>
        <v>XS</v>
      </c>
      <c r="F1746" t="s">
        <v>58</v>
      </c>
      <c r="G1746" t="s">
        <v>19</v>
      </c>
      <c r="H1746" s="8">
        <v>99.97</v>
      </c>
      <c r="I1746" s="3">
        <f t="shared" si="109"/>
        <v>0</v>
      </c>
      <c r="J1746" s="4">
        <v>0</v>
      </c>
      <c r="K1746" s="11">
        <f>Table1[[#This Row],[original_price]]* (Table1[[#This Row],[Markdown percentage updated]])</f>
        <v>0</v>
      </c>
      <c r="L17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46" s="6">
        <v>99.97</v>
      </c>
      <c r="N17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46" s="7">
        <v>45581</v>
      </c>
      <c r="P1746">
        <v>38</v>
      </c>
      <c r="Q1746" s="16" t="str">
        <f>IF(Table1[[#This Row],[stock_quantity]]=0,"NO STOCK",
IF(Table1[[#This Row],[stock_quantity]]&lt;=10,"LOW STOCK",
"IN STOCK"))</f>
        <v>IN STOCK</v>
      </c>
      <c r="R1746" s="1">
        <f t="shared" si="110"/>
        <v>1.4</v>
      </c>
      <c r="S1746">
        <v>1.4</v>
      </c>
      <c r="T1746" t="b">
        <v>0</v>
      </c>
      <c r="U1746" t="str">
        <f t="shared" si="111"/>
        <v>No Return</v>
      </c>
    </row>
    <row r="1747" spans="1:22" hidden="1" x14ac:dyDescent="0.3">
      <c r="A1747" t="s">
        <v>1800</v>
      </c>
      <c r="B1747" t="s">
        <v>15</v>
      </c>
      <c r="C1747" t="s">
        <v>53</v>
      </c>
      <c r="D1747" t="s">
        <v>62</v>
      </c>
      <c r="E1747" t="str">
        <f t="shared" si="108"/>
        <v>OS</v>
      </c>
      <c r="F1747" t="s">
        <v>18</v>
      </c>
      <c r="G1747" t="s">
        <v>19</v>
      </c>
      <c r="H1747" s="8">
        <v>194.78</v>
      </c>
      <c r="I1747" s="3">
        <f t="shared" si="109"/>
        <v>0</v>
      </c>
      <c r="J1747" s="4">
        <v>0</v>
      </c>
      <c r="K1747" s="11">
        <f>Table1[[#This Row],[original_price]]* (Table1[[#This Row],[Markdown percentage updated]])</f>
        <v>0</v>
      </c>
      <c r="L17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47" s="6">
        <v>194.78</v>
      </c>
      <c r="N17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47" s="7">
        <v>45875</v>
      </c>
      <c r="P1747">
        <v>31</v>
      </c>
      <c r="Q1747" s="16" t="str">
        <f>IF(Table1[[#This Row],[stock_quantity]]=0,"NO STOCK",
IF(Table1[[#This Row],[stock_quantity]]&lt;=10,"LOW STOCK",
"IN STOCK"))</f>
        <v>IN STOCK</v>
      </c>
      <c r="R1747" s="1">
        <f t="shared" si="110"/>
        <v>0</v>
      </c>
      <c r="T1747" t="b">
        <v>0</v>
      </c>
      <c r="U1747" t="str">
        <f t="shared" si="111"/>
        <v>No Return</v>
      </c>
    </row>
    <row r="1748" spans="1:22" hidden="1" x14ac:dyDescent="0.3">
      <c r="A1748" t="s">
        <v>1801</v>
      </c>
      <c r="B1748" t="s">
        <v>15</v>
      </c>
      <c r="C1748" t="s">
        <v>22</v>
      </c>
      <c r="D1748" t="s">
        <v>34</v>
      </c>
      <c r="E1748" t="str">
        <f t="shared" si="108"/>
        <v>XS</v>
      </c>
      <c r="F1748" t="s">
        <v>55</v>
      </c>
      <c r="G1748" t="s">
        <v>44</v>
      </c>
      <c r="H1748" s="8">
        <v>208.93</v>
      </c>
      <c r="I1748" s="3">
        <f t="shared" si="109"/>
        <v>0</v>
      </c>
      <c r="J1748" s="4">
        <v>0</v>
      </c>
      <c r="K1748" s="11">
        <f>Table1[[#This Row],[original_price]]* (Table1[[#This Row],[Markdown percentage updated]])</f>
        <v>0</v>
      </c>
      <c r="L17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48" s="6">
        <v>208.93</v>
      </c>
      <c r="N17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48" s="7">
        <v>45875</v>
      </c>
      <c r="P1748">
        <v>12</v>
      </c>
      <c r="Q1748" s="16" t="str">
        <f>IF(Table1[[#This Row],[stock_quantity]]=0,"NO STOCK",
IF(Table1[[#This Row],[stock_quantity]]&lt;=10,"LOW STOCK",
"IN STOCK"))</f>
        <v>IN STOCK</v>
      </c>
      <c r="R1748" s="1">
        <f t="shared" si="110"/>
        <v>2.2999999999999998</v>
      </c>
      <c r="S1748">
        <v>2.2999999999999998</v>
      </c>
      <c r="T1748" t="b">
        <v>0</v>
      </c>
      <c r="U1748" t="str">
        <f t="shared" si="111"/>
        <v>No Return</v>
      </c>
    </row>
    <row r="1749" spans="1:22" hidden="1" x14ac:dyDescent="0.3">
      <c r="A1749" t="s">
        <v>1802</v>
      </c>
      <c r="B1749" t="s">
        <v>38</v>
      </c>
      <c r="C1749" t="s">
        <v>53</v>
      </c>
      <c r="D1749" t="s">
        <v>17</v>
      </c>
      <c r="E1749" t="str">
        <f t="shared" si="108"/>
        <v>S</v>
      </c>
      <c r="F1749" t="s">
        <v>55</v>
      </c>
      <c r="G1749" t="s">
        <v>19</v>
      </c>
      <c r="H1749" s="8">
        <v>68.459999999999994</v>
      </c>
      <c r="I1749" s="3">
        <f t="shared" si="109"/>
        <v>0.5</v>
      </c>
      <c r="J1749" s="4">
        <v>50</v>
      </c>
      <c r="K1749" s="11">
        <f>Table1[[#This Row],[original_price]]* (Table1[[#This Row],[Markdown percentage updated]])</f>
        <v>34.229999999999997</v>
      </c>
      <c r="L17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49" s="6">
        <v>34.229999999999997</v>
      </c>
      <c r="N17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49" s="7">
        <v>45683</v>
      </c>
      <c r="P1749">
        <v>24</v>
      </c>
      <c r="Q1749" s="16" t="str">
        <f>IF(Table1[[#This Row],[stock_quantity]]=0,"NO STOCK",
IF(Table1[[#This Row],[stock_quantity]]&lt;=10,"LOW STOCK",
"IN STOCK"))</f>
        <v>IN STOCK</v>
      </c>
      <c r="R1749" s="1">
        <f t="shared" si="110"/>
        <v>1.9</v>
      </c>
      <c r="S1749">
        <v>1.9</v>
      </c>
      <c r="T1749" t="b">
        <v>0</v>
      </c>
      <c r="U1749" t="str">
        <f t="shared" si="111"/>
        <v>No Return</v>
      </c>
    </row>
    <row r="1750" spans="1:22" hidden="1" x14ac:dyDescent="0.3">
      <c r="A1750" t="s">
        <v>1803</v>
      </c>
      <c r="B1750" t="s">
        <v>27</v>
      </c>
      <c r="C1750" t="s">
        <v>32</v>
      </c>
      <c r="D1750" t="s">
        <v>23</v>
      </c>
      <c r="E1750" t="str">
        <f t="shared" si="108"/>
        <v>M</v>
      </c>
      <c r="G1750" t="s">
        <v>66</v>
      </c>
      <c r="H1750" s="8">
        <v>30.26</v>
      </c>
      <c r="I1750" s="3">
        <f t="shared" si="109"/>
        <v>0.5</v>
      </c>
      <c r="J1750" s="4">
        <v>50</v>
      </c>
      <c r="K1750" s="11">
        <f>Table1[[#This Row],[original_price]]* (Table1[[#This Row],[Markdown percentage updated]])</f>
        <v>15.13</v>
      </c>
      <c r="L17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50" s="6">
        <v>15.13</v>
      </c>
      <c r="N17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50" s="7">
        <v>45875</v>
      </c>
      <c r="P1750">
        <v>23</v>
      </c>
      <c r="Q1750" s="16" t="str">
        <f>IF(Table1[[#This Row],[stock_quantity]]=0,"NO STOCK",
IF(Table1[[#This Row],[stock_quantity]]&lt;=10,"LOW STOCK",
"IN STOCK"))</f>
        <v>IN STOCK</v>
      </c>
      <c r="R1750" s="1">
        <f t="shared" si="110"/>
        <v>1.4</v>
      </c>
      <c r="S1750">
        <v>1.4</v>
      </c>
      <c r="T1750" t="b">
        <v>0</v>
      </c>
      <c r="U1750" t="str">
        <f t="shared" si="111"/>
        <v>No Return</v>
      </c>
    </row>
    <row r="1751" spans="1:22" hidden="1" x14ac:dyDescent="0.3">
      <c r="A1751" t="s">
        <v>1804</v>
      </c>
      <c r="B1751" t="s">
        <v>15</v>
      </c>
      <c r="C1751" t="s">
        <v>43</v>
      </c>
      <c r="D1751" t="s">
        <v>62</v>
      </c>
      <c r="E1751" t="str">
        <f t="shared" si="108"/>
        <v>M</v>
      </c>
      <c r="F1751" t="s">
        <v>55</v>
      </c>
      <c r="G1751" t="s">
        <v>46</v>
      </c>
      <c r="H1751" s="8">
        <v>186.66</v>
      </c>
      <c r="I1751" s="3">
        <f t="shared" si="109"/>
        <v>0.309</v>
      </c>
      <c r="J1751" s="4">
        <v>30.9</v>
      </c>
      <c r="K1751" s="11">
        <f>Table1[[#This Row],[original_price]]* (Table1[[#This Row],[Markdown percentage updated]])</f>
        <v>57.67794</v>
      </c>
      <c r="L17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51" s="6">
        <v>128.97999999999999</v>
      </c>
      <c r="N17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51" s="7">
        <v>45875</v>
      </c>
      <c r="P1751">
        <v>7</v>
      </c>
      <c r="Q1751" s="17" t="str">
        <f>IF(Table1[[#This Row],[stock_quantity]]=0,"NO STOCK",
IF(Table1[[#This Row],[stock_quantity]]&lt;=10,"LOW STOCK",
"IN STOCK"))</f>
        <v>LOW STOCK</v>
      </c>
      <c r="R1751" s="1">
        <f t="shared" si="110"/>
        <v>1</v>
      </c>
      <c r="S1751">
        <v>1</v>
      </c>
      <c r="T1751" t="b">
        <v>0</v>
      </c>
      <c r="U1751" t="str">
        <f t="shared" si="111"/>
        <v>No Return</v>
      </c>
    </row>
    <row r="1752" spans="1:22" x14ac:dyDescent="0.3">
      <c r="A1752" t="s">
        <v>1805</v>
      </c>
      <c r="B1752" t="s">
        <v>21</v>
      </c>
      <c r="C1752" t="s">
        <v>16</v>
      </c>
      <c r="D1752" t="s">
        <v>23</v>
      </c>
      <c r="E1752" t="str">
        <f t="shared" si="108"/>
        <v>XXL</v>
      </c>
      <c r="F1752" t="s">
        <v>39</v>
      </c>
      <c r="G1752" t="s">
        <v>28</v>
      </c>
      <c r="H1752" s="8">
        <v>78.05</v>
      </c>
      <c r="I1752" s="3">
        <f t="shared" si="109"/>
        <v>0.48100000000000004</v>
      </c>
      <c r="J1752" s="4">
        <v>48.1</v>
      </c>
      <c r="K1752" s="11">
        <f>Table1[[#This Row],[original_price]]* (Table1[[#This Row],[Markdown percentage updated]])</f>
        <v>37.542050000000003</v>
      </c>
      <c r="L17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52" s="6">
        <v>40.51</v>
      </c>
      <c r="N17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52" s="7">
        <v>45875</v>
      </c>
      <c r="P1752">
        <v>36</v>
      </c>
      <c r="Q1752" s="16" t="str">
        <f>IF(Table1[[#This Row],[stock_quantity]]=0,"NO STOCK",
IF(Table1[[#This Row],[stock_quantity]]&lt;=10,"LOW STOCK",
"IN STOCK"))</f>
        <v>IN STOCK</v>
      </c>
      <c r="R1752" s="1">
        <f t="shared" si="110"/>
        <v>2.9</v>
      </c>
      <c r="S1752">
        <v>2.9</v>
      </c>
      <c r="T1752" t="b">
        <v>1</v>
      </c>
      <c r="U1752" s="13" t="str">
        <f t="shared" si="111"/>
        <v>Changed Mind</v>
      </c>
      <c r="V1752" t="s">
        <v>115</v>
      </c>
    </row>
    <row r="1753" spans="1:22" hidden="1" x14ac:dyDescent="0.3">
      <c r="A1753" t="s">
        <v>1806</v>
      </c>
      <c r="B1753" t="s">
        <v>21</v>
      </c>
      <c r="C1753" t="s">
        <v>22</v>
      </c>
      <c r="D1753" t="s">
        <v>17</v>
      </c>
      <c r="E1753" t="str">
        <f t="shared" si="108"/>
        <v>XXL</v>
      </c>
      <c r="F1753" t="s">
        <v>58</v>
      </c>
      <c r="G1753" t="s">
        <v>66</v>
      </c>
      <c r="H1753" s="8">
        <v>104.75</v>
      </c>
      <c r="I1753" s="3">
        <f t="shared" si="109"/>
        <v>0</v>
      </c>
      <c r="J1753" s="4">
        <v>0</v>
      </c>
      <c r="K1753" s="11">
        <f>Table1[[#This Row],[original_price]]* (Table1[[#This Row],[Markdown percentage updated]])</f>
        <v>0</v>
      </c>
      <c r="L17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53" s="6">
        <v>104.75</v>
      </c>
      <c r="N17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53" s="7">
        <v>45591</v>
      </c>
      <c r="P1753">
        <v>11</v>
      </c>
      <c r="Q1753" s="16" t="str">
        <f>IF(Table1[[#This Row],[stock_quantity]]=0,"NO STOCK",
IF(Table1[[#This Row],[stock_quantity]]&lt;=10,"LOW STOCK",
"IN STOCK"))</f>
        <v>IN STOCK</v>
      </c>
      <c r="R1753" s="1">
        <f t="shared" si="110"/>
        <v>0</v>
      </c>
      <c r="T1753" t="b">
        <v>0</v>
      </c>
      <c r="U1753" t="str">
        <f t="shared" si="111"/>
        <v>No Return</v>
      </c>
    </row>
    <row r="1754" spans="1:22" hidden="1" x14ac:dyDescent="0.3">
      <c r="A1754" t="s">
        <v>1807</v>
      </c>
      <c r="B1754" t="s">
        <v>30</v>
      </c>
      <c r="C1754" t="s">
        <v>22</v>
      </c>
      <c r="D1754" t="s">
        <v>62</v>
      </c>
      <c r="E1754" t="str">
        <f t="shared" si="108"/>
        <v>L</v>
      </c>
      <c r="F1754" t="s">
        <v>58</v>
      </c>
      <c r="G1754" t="s">
        <v>70</v>
      </c>
      <c r="H1754" s="8">
        <v>121.33</v>
      </c>
      <c r="I1754" s="3">
        <f t="shared" si="109"/>
        <v>0</v>
      </c>
      <c r="J1754" s="4">
        <v>0</v>
      </c>
      <c r="K1754" s="11">
        <f>Table1[[#This Row],[original_price]]* (Table1[[#This Row],[Markdown percentage updated]])</f>
        <v>0</v>
      </c>
      <c r="L17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54" s="6">
        <v>121.33</v>
      </c>
      <c r="N17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54" s="7">
        <v>45875</v>
      </c>
      <c r="P1754">
        <v>30</v>
      </c>
      <c r="Q1754" s="16" t="str">
        <f>IF(Table1[[#This Row],[stock_quantity]]=0,"NO STOCK",
IF(Table1[[#This Row],[stock_quantity]]&lt;=10,"LOW STOCK",
"IN STOCK"))</f>
        <v>IN STOCK</v>
      </c>
      <c r="R1754" s="1">
        <f t="shared" si="110"/>
        <v>4.2</v>
      </c>
      <c r="S1754">
        <v>4.2</v>
      </c>
      <c r="T1754" t="b">
        <v>0</v>
      </c>
      <c r="U1754" t="str">
        <f t="shared" si="111"/>
        <v>No Return</v>
      </c>
    </row>
    <row r="1755" spans="1:22" hidden="1" x14ac:dyDescent="0.3">
      <c r="A1755" t="s">
        <v>1808</v>
      </c>
      <c r="B1755" t="s">
        <v>42</v>
      </c>
      <c r="C1755" t="s">
        <v>43</v>
      </c>
      <c r="D1755" t="s">
        <v>34</v>
      </c>
      <c r="E1755" t="str">
        <f t="shared" si="108"/>
        <v>XL</v>
      </c>
      <c r="F1755" t="s">
        <v>49</v>
      </c>
      <c r="G1755" t="s">
        <v>46</v>
      </c>
      <c r="H1755" s="8">
        <v>78.09</v>
      </c>
      <c r="I1755" s="3">
        <f t="shared" si="109"/>
        <v>0</v>
      </c>
      <c r="J1755" s="4">
        <v>0</v>
      </c>
      <c r="K1755" s="11">
        <f>Table1[[#This Row],[original_price]]* (Table1[[#This Row],[Markdown percentage updated]])</f>
        <v>0</v>
      </c>
      <c r="L17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55" s="6">
        <v>78.09</v>
      </c>
      <c r="N17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55" s="7">
        <v>45875</v>
      </c>
      <c r="P1755">
        <v>6</v>
      </c>
      <c r="Q1755" s="17" t="str">
        <f>IF(Table1[[#This Row],[stock_quantity]]=0,"NO STOCK",
IF(Table1[[#This Row],[stock_quantity]]&lt;=10,"LOW STOCK",
"IN STOCK"))</f>
        <v>LOW STOCK</v>
      </c>
      <c r="R1755" s="1">
        <f t="shared" si="110"/>
        <v>2</v>
      </c>
      <c r="S1755">
        <v>2</v>
      </c>
      <c r="T1755" t="b">
        <v>0</v>
      </c>
      <c r="U1755" t="str">
        <f t="shared" si="111"/>
        <v>No Return</v>
      </c>
    </row>
    <row r="1756" spans="1:22" hidden="1" x14ac:dyDescent="0.3">
      <c r="A1756" t="s">
        <v>1809</v>
      </c>
      <c r="B1756" t="s">
        <v>21</v>
      </c>
      <c r="C1756" t="s">
        <v>22</v>
      </c>
      <c r="D1756" t="s">
        <v>34</v>
      </c>
      <c r="E1756" t="str">
        <f t="shared" si="108"/>
        <v>S</v>
      </c>
      <c r="F1756" t="s">
        <v>49</v>
      </c>
      <c r="G1756" t="s">
        <v>19</v>
      </c>
      <c r="H1756" s="8">
        <v>109.19</v>
      </c>
      <c r="I1756" s="3">
        <f t="shared" si="109"/>
        <v>0</v>
      </c>
      <c r="J1756" s="4">
        <v>0</v>
      </c>
      <c r="K1756" s="11">
        <f>Table1[[#This Row],[original_price]]* (Table1[[#This Row],[Markdown percentage updated]])</f>
        <v>0</v>
      </c>
      <c r="L17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56" s="6">
        <v>109.19</v>
      </c>
      <c r="N17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56" s="7">
        <v>45875</v>
      </c>
      <c r="P1756">
        <v>47</v>
      </c>
      <c r="Q1756" s="16" t="str">
        <f>IF(Table1[[#This Row],[stock_quantity]]=0,"NO STOCK",
IF(Table1[[#This Row],[stock_quantity]]&lt;=10,"LOW STOCK",
"IN STOCK"))</f>
        <v>IN STOCK</v>
      </c>
      <c r="R1756" s="1">
        <f t="shared" si="110"/>
        <v>4.5</v>
      </c>
      <c r="S1756">
        <v>4.5</v>
      </c>
      <c r="T1756" t="b">
        <v>0</v>
      </c>
      <c r="U1756" t="str">
        <f t="shared" si="111"/>
        <v>No Return</v>
      </c>
    </row>
    <row r="1757" spans="1:22" hidden="1" x14ac:dyDescent="0.3">
      <c r="A1757" t="s">
        <v>1810</v>
      </c>
      <c r="B1757" t="s">
        <v>30</v>
      </c>
      <c r="C1757" t="s">
        <v>53</v>
      </c>
      <c r="D1757" t="s">
        <v>23</v>
      </c>
      <c r="E1757" t="str">
        <f t="shared" si="108"/>
        <v>XXL</v>
      </c>
      <c r="F1757" t="s">
        <v>24</v>
      </c>
      <c r="G1757" t="s">
        <v>28</v>
      </c>
      <c r="H1757" s="8">
        <v>126.74</v>
      </c>
      <c r="I1757" s="3">
        <f t="shared" si="109"/>
        <v>0</v>
      </c>
      <c r="J1757" s="4">
        <v>0</v>
      </c>
      <c r="K1757" s="11">
        <f>Table1[[#This Row],[original_price]]* (Table1[[#This Row],[Markdown percentage updated]])</f>
        <v>0</v>
      </c>
      <c r="L17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57" s="6">
        <v>126.74</v>
      </c>
      <c r="N17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57" s="7">
        <v>45875</v>
      </c>
      <c r="P1757">
        <v>2</v>
      </c>
      <c r="Q1757" s="17" t="str">
        <f>IF(Table1[[#This Row],[stock_quantity]]=0,"NO STOCK",
IF(Table1[[#This Row],[stock_quantity]]&lt;=10,"LOW STOCK",
"IN STOCK"))</f>
        <v>LOW STOCK</v>
      </c>
      <c r="R1757" s="1">
        <f t="shared" si="110"/>
        <v>2.9</v>
      </c>
      <c r="S1757">
        <v>2.9</v>
      </c>
      <c r="T1757" t="b">
        <v>0</v>
      </c>
      <c r="U1757" t="str">
        <f t="shared" si="111"/>
        <v>No Return</v>
      </c>
    </row>
    <row r="1758" spans="1:22" hidden="1" x14ac:dyDescent="0.3">
      <c r="A1758" t="s">
        <v>1811</v>
      </c>
      <c r="B1758" t="s">
        <v>30</v>
      </c>
      <c r="C1758" t="s">
        <v>48</v>
      </c>
      <c r="D1758" t="s">
        <v>17</v>
      </c>
      <c r="E1758" t="str">
        <f t="shared" si="108"/>
        <v>L</v>
      </c>
      <c r="F1758" t="s">
        <v>18</v>
      </c>
      <c r="G1758" t="s">
        <v>28</v>
      </c>
      <c r="H1758" s="8">
        <v>95.85</v>
      </c>
      <c r="I1758" s="3">
        <f t="shared" si="109"/>
        <v>0</v>
      </c>
      <c r="J1758" s="4">
        <v>0</v>
      </c>
      <c r="K1758" s="11">
        <f>Table1[[#This Row],[original_price]]* (Table1[[#This Row],[Markdown percentage updated]])</f>
        <v>0</v>
      </c>
      <c r="L17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58" s="6">
        <v>95.85</v>
      </c>
      <c r="N17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58" s="7">
        <v>45703</v>
      </c>
      <c r="P1758">
        <v>45</v>
      </c>
      <c r="Q1758" s="16" t="str">
        <f>IF(Table1[[#This Row],[stock_quantity]]=0,"NO STOCK",
IF(Table1[[#This Row],[stock_quantity]]&lt;=10,"LOW STOCK",
"IN STOCK"))</f>
        <v>IN STOCK</v>
      </c>
      <c r="R1758" s="1">
        <f t="shared" si="110"/>
        <v>5</v>
      </c>
      <c r="S1758">
        <v>5</v>
      </c>
      <c r="T1758" t="b">
        <v>0</v>
      </c>
      <c r="U1758" t="str">
        <f t="shared" si="111"/>
        <v>No Return</v>
      </c>
    </row>
    <row r="1759" spans="1:22" hidden="1" x14ac:dyDescent="0.3">
      <c r="A1759" t="s">
        <v>1812</v>
      </c>
      <c r="B1759" t="s">
        <v>15</v>
      </c>
      <c r="C1759" t="s">
        <v>43</v>
      </c>
      <c r="D1759" t="s">
        <v>62</v>
      </c>
      <c r="E1759" t="str">
        <f t="shared" si="108"/>
        <v>OS</v>
      </c>
      <c r="F1759" t="s">
        <v>39</v>
      </c>
      <c r="G1759" t="s">
        <v>44</v>
      </c>
      <c r="H1759" s="8">
        <v>213.98</v>
      </c>
      <c r="I1759" s="3">
        <f t="shared" si="109"/>
        <v>0</v>
      </c>
      <c r="J1759" s="4">
        <v>0</v>
      </c>
      <c r="K1759" s="11">
        <f>Table1[[#This Row],[original_price]]* (Table1[[#This Row],[Markdown percentage updated]])</f>
        <v>0</v>
      </c>
      <c r="L17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59" s="6">
        <v>213.98</v>
      </c>
      <c r="N17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59" s="7">
        <v>45875</v>
      </c>
      <c r="P1759">
        <v>38</v>
      </c>
      <c r="Q1759" s="16" t="str">
        <f>IF(Table1[[#This Row],[stock_quantity]]=0,"NO STOCK",
IF(Table1[[#This Row],[stock_quantity]]&lt;=10,"LOW STOCK",
"IN STOCK"))</f>
        <v>IN STOCK</v>
      </c>
      <c r="R1759" s="1">
        <f t="shared" si="110"/>
        <v>0</v>
      </c>
      <c r="T1759" t="b">
        <v>0</v>
      </c>
      <c r="U1759" t="str">
        <f t="shared" si="111"/>
        <v>No Return</v>
      </c>
    </row>
    <row r="1760" spans="1:22" hidden="1" x14ac:dyDescent="0.3">
      <c r="A1760" t="s">
        <v>1813</v>
      </c>
      <c r="B1760" t="s">
        <v>30</v>
      </c>
      <c r="C1760" t="s">
        <v>75</v>
      </c>
      <c r="D1760" t="s">
        <v>17</v>
      </c>
      <c r="E1760" t="str">
        <f t="shared" si="108"/>
        <v>XS</v>
      </c>
      <c r="F1760" t="s">
        <v>49</v>
      </c>
      <c r="G1760" t="s">
        <v>56</v>
      </c>
      <c r="H1760" s="8">
        <v>146.22999999999999</v>
      </c>
      <c r="I1760" s="3">
        <f t="shared" si="109"/>
        <v>0.4</v>
      </c>
      <c r="J1760" s="4">
        <v>40</v>
      </c>
      <c r="K1760" s="11">
        <f>Table1[[#This Row],[original_price]]* (Table1[[#This Row],[Markdown percentage updated]])</f>
        <v>58.491999999999997</v>
      </c>
      <c r="L17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60" s="6">
        <v>87.74</v>
      </c>
      <c r="N17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60" s="7">
        <v>45684</v>
      </c>
      <c r="P1760">
        <v>17</v>
      </c>
      <c r="Q1760" s="16" t="str">
        <f>IF(Table1[[#This Row],[stock_quantity]]=0,"NO STOCK",
IF(Table1[[#This Row],[stock_quantity]]&lt;=10,"LOW STOCK",
"IN STOCK"))</f>
        <v>IN STOCK</v>
      </c>
      <c r="R1760" s="1">
        <f t="shared" si="110"/>
        <v>2.6</v>
      </c>
      <c r="S1760">
        <v>2.6</v>
      </c>
      <c r="T1760" t="b">
        <v>1</v>
      </c>
      <c r="U1760" s="13" t="str">
        <f t="shared" si="111"/>
        <v>Quality Issue</v>
      </c>
      <c r="V1760" t="s">
        <v>83</v>
      </c>
    </row>
    <row r="1761" spans="1:22" hidden="1" x14ac:dyDescent="0.3">
      <c r="A1761" t="s">
        <v>1814</v>
      </c>
      <c r="B1761" t="s">
        <v>38</v>
      </c>
      <c r="C1761" t="s">
        <v>43</v>
      </c>
      <c r="D1761" t="s">
        <v>23</v>
      </c>
      <c r="E1761" t="str">
        <f t="shared" si="108"/>
        <v>M</v>
      </c>
      <c r="F1761" t="s">
        <v>24</v>
      </c>
      <c r="G1761" t="s">
        <v>25</v>
      </c>
      <c r="H1761" s="8">
        <v>115.57</v>
      </c>
      <c r="I1761" s="3">
        <f t="shared" si="109"/>
        <v>0.161</v>
      </c>
      <c r="J1761" s="4">
        <v>16.100000000000001</v>
      </c>
      <c r="K1761" s="11">
        <f>Table1[[#This Row],[original_price]]* (Table1[[#This Row],[Markdown percentage updated]])</f>
        <v>18.606770000000001</v>
      </c>
      <c r="L17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61" s="6">
        <v>96.96</v>
      </c>
      <c r="N17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61" s="7">
        <v>45875</v>
      </c>
      <c r="P1761">
        <v>32</v>
      </c>
      <c r="Q1761" s="16" t="str">
        <f>IF(Table1[[#This Row],[stock_quantity]]=0,"NO STOCK",
IF(Table1[[#This Row],[stock_quantity]]&lt;=10,"LOW STOCK",
"IN STOCK"))</f>
        <v>IN STOCK</v>
      </c>
      <c r="R1761" s="1">
        <f t="shared" si="110"/>
        <v>3.1</v>
      </c>
      <c r="S1761">
        <v>3.1</v>
      </c>
      <c r="T1761" t="b">
        <v>1</v>
      </c>
      <c r="U1761" s="13" t="str">
        <f t="shared" si="111"/>
        <v>Size Issue</v>
      </c>
      <c r="V1761" t="s">
        <v>73</v>
      </c>
    </row>
    <row r="1762" spans="1:22" hidden="1" x14ac:dyDescent="0.3">
      <c r="A1762" t="s">
        <v>1815</v>
      </c>
      <c r="B1762" t="s">
        <v>27</v>
      </c>
      <c r="C1762" t="s">
        <v>32</v>
      </c>
      <c r="D1762" t="s">
        <v>17</v>
      </c>
      <c r="E1762" t="str">
        <f t="shared" si="108"/>
        <v>S</v>
      </c>
      <c r="G1762" t="s">
        <v>44</v>
      </c>
      <c r="H1762" s="8">
        <v>66.62</v>
      </c>
      <c r="I1762" s="3">
        <f t="shared" si="109"/>
        <v>0</v>
      </c>
      <c r="J1762" s="4">
        <v>0</v>
      </c>
      <c r="K1762" s="11">
        <f>Table1[[#This Row],[original_price]]* (Table1[[#This Row],[Markdown percentage updated]])</f>
        <v>0</v>
      </c>
      <c r="L17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62" s="6">
        <v>66.62</v>
      </c>
      <c r="N17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62" s="7">
        <v>45592</v>
      </c>
      <c r="P1762">
        <v>37</v>
      </c>
      <c r="Q1762" s="16" t="str">
        <f>IF(Table1[[#This Row],[stock_quantity]]=0,"NO STOCK",
IF(Table1[[#This Row],[stock_quantity]]&lt;=10,"LOW STOCK",
"IN STOCK"))</f>
        <v>IN STOCK</v>
      </c>
      <c r="R1762" s="1">
        <f t="shared" si="110"/>
        <v>0</v>
      </c>
      <c r="T1762" t="b">
        <v>0</v>
      </c>
      <c r="U1762" t="str">
        <f t="shared" si="111"/>
        <v>No Return</v>
      </c>
    </row>
    <row r="1763" spans="1:22" hidden="1" x14ac:dyDescent="0.3">
      <c r="A1763" t="s">
        <v>1816</v>
      </c>
      <c r="B1763" t="s">
        <v>42</v>
      </c>
      <c r="C1763" t="s">
        <v>32</v>
      </c>
      <c r="D1763" t="s">
        <v>17</v>
      </c>
      <c r="E1763" t="str">
        <f t="shared" si="108"/>
        <v>OS</v>
      </c>
      <c r="F1763" t="s">
        <v>55</v>
      </c>
      <c r="G1763" t="s">
        <v>66</v>
      </c>
      <c r="H1763" s="8">
        <v>60.37</v>
      </c>
      <c r="I1763" s="3">
        <f t="shared" si="109"/>
        <v>0.23100000000000001</v>
      </c>
      <c r="J1763" s="4">
        <v>23.1</v>
      </c>
      <c r="K1763" s="11">
        <f>Table1[[#This Row],[original_price]]* (Table1[[#This Row],[Markdown percentage updated]])</f>
        <v>13.94547</v>
      </c>
      <c r="L17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763" s="6">
        <v>46.42</v>
      </c>
      <c r="N17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63" s="7">
        <v>45730</v>
      </c>
      <c r="P1763">
        <v>30</v>
      </c>
      <c r="Q1763" s="16" t="str">
        <f>IF(Table1[[#This Row],[stock_quantity]]=0,"NO STOCK",
IF(Table1[[#This Row],[stock_quantity]]&lt;=10,"LOW STOCK",
"IN STOCK"))</f>
        <v>IN STOCK</v>
      </c>
      <c r="R1763" s="1">
        <f t="shared" si="110"/>
        <v>4.8</v>
      </c>
      <c r="S1763">
        <v>4.8</v>
      </c>
      <c r="T1763" t="b">
        <v>0</v>
      </c>
      <c r="U1763" t="str">
        <f t="shared" si="111"/>
        <v>No Return</v>
      </c>
    </row>
    <row r="1764" spans="1:22" hidden="1" x14ac:dyDescent="0.3">
      <c r="A1764" t="s">
        <v>1817</v>
      </c>
      <c r="B1764" t="s">
        <v>30</v>
      </c>
      <c r="C1764" t="s">
        <v>48</v>
      </c>
      <c r="D1764" t="s">
        <v>23</v>
      </c>
      <c r="E1764" t="str">
        <f t="shared" si="108"/>
        <v>XXL</v>
      </c>
      <c r="F1764" t="s">
        <v>58</v>
      </c>
      <c r="G1764" t="s">
        <v>44</v>
      </c>
      <c r="H1764" s="8">
        <v>83.2</v>
      </c>
      <c r="I1764" s="3">
        <f t="shared" si="109"/>
        <v>0.57100000000000006</v>
      </c>
      <c r="J1764" s="4">
        <v>57.1</v>
      </c>
      <c r="K1764" s="11">
        <f>Table1[[#This Row],[original_price]]* (Table1[[#This Row],[Markdown percentage updated]])</f>
        <v>47.507200000000005</v>
      </c>
      <c r="L17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64" s="6">
        <v>35.69</v>
      </c>
      <c r="N17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64" s="7">
        <v>45875</v>
      </c>
      <c r="P1764">
        <v>10</v>
      </c>
      <c r="Q1764" s="17" t="str">
        <f>IF(Table1[[#This Row],[stock_quantity]]=0,"NO STOCK",
IF(Table1[[#This Row],[stock_quantity]]&lt;=10,"LOW STOCK",
"IN STOCK"))</f>
        <v>LOW STOCK</v>
      </c>
      <c r="R1764" s="1">
        <f t="shared" si="110"/>
        <v>3.3</v>
      </c>
      <c r="S1764">
        <v>3.3</v>
      </c>
      <c r="T1764" t="b">
        <v>0</v>
      </c>
      <c r="U1764" t="str">
        <f t="shared" si="111"/>
        <v>No Return</v>
      </c>
    </row>
    <row r="1765" spans="1:22" hidden="1" x14ac:dyDescent="0.3">
      <c r="A1765" t="s">
        <v>1818</v>
      </c>
      <c r="B1765" t="s">
        <v>15</v>
      </c>
      <c r="C1765" t="s">
        <v>22</v>
      </c>
      <c r="D1765" t="s">
        <v>62</v>
      </c>
      <c r="E1765" t="str">
        <f t="shared" si="108"/>
        <v>S</v>
      </c>
      <c r="F1765" t="s">
        <v>39</v>
      </c>
      <c r="G1765" t="s">
        <v>64</v>
      </c>
      <c r="H1765" s="8">
        <v>204.47</v>
      </c>
      <c r="I1765" s="3">
        <f t="shared" si="109"/>
        <v>3.6000000000000004E-2</v>
      </c>
      <c r="J1765" s="4">
        <v>3.6</v>
      </c>
      <c r="K1765" s="11">
        <f>Table1[[#This Row],[original_price]]* (Table1[[#This Row],[Markdown percentage updated]])</f>
        <v>7.360920000000001</v>
      </c>
      <c r="L17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65" s="6">
        <v>197.11</v>
      </c>
      <c r="N17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765" s="7">
        <v>45875</v>
      </c>
      <c r="P1765">
        <v>26</v>
      </c>
      <c r="Q1765" s="16" t="str">
        <f>IF(Table1[[#This Row],[stock_quantity]]=0,"NO STOCK",
IF(Table1[[#This Row],[stock_quantity]]&lt;=10,"LOW STOCK",
"IN STOCK"))</f>
        <v>IN STOCK</v>
      </c>
      <c r="R1765" s="1">
        <f t="shared" si="110"/>
        <v>0</v>
      </c>
      <c r="T1765" t="b">
        <v>0</v>
      </c>
      <c r="U1765" t="str">
        <f t="shared" si="111"/>
        <v>No Return</v>
      </c>
    </row>
    <row r="1766" spans="1:22" hidden="1" x14ac:dyDescent="0.3">
      <c r="A1766" t="s">
        <v>1819</v>
      </c>
      <c r="B1766" t="s">
        <v>27</v>
      </c>
      <c r="C1766" t="s">
        <v>43</v>
      </c>
      <c r="D1766" t="s">
        <v>34</v>
      </c>
      <c r="E1766" t="str">
        <f t="shared" si="108"/>
        <v>L</v>
      </c>
      <c r="G1766" t="s">
        <v>66</v>
      </c>
      <c r="H1766" s="8">
        <v>52.73</v>
      </c>
      <c r="I1766" s="3">
        <f t="shared" si="109"/>
        <v>0</v>
      </c>
      <c r="J1766" s="4">
        <v>0</v>
      </c>
      <c r="K1766" s="11">
        <f>Table1[[#This Row],[original_price]]* (Table1[[#This Row],[Markdown percentage updated]])</f>
        <v>0</v>
      </c>
      <c r="L17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66" s="6">
        <v>52.73</v>
      </c>
      <c r="N17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66" s="7">
        <v>45875</v>
      </c>
      <c r="P1766">
        <v>42</v>
      </c>
      <c r="Q1766" s="16" t="str">
        <f>IF(Table1[[#This Row],[stock_quantity]]=0,"NO STOCK",
IF(Table1[[#This Row],[stock_quantity]]&lt;=10,"LOW STOCK",
"IN STOCK"))</f>
        <v>IN STOCK</v>
      </c>
      <c r="R1766" s="1">
        <f t="shared" si="110"/>
        <v>0</v>
      </c>
      <c r="T1766" t="b">
        <v>0</v>
      </c>
      <c r="U1766" t="str">
        <f t="shared" si="111"/>
        <v>No Return</v>
      </c>
    </row>
    <row r="1767" spans="1:22" hidden="1" x14ac:dyDescent="0.3">
      <c r="A1767" t="s">
        <v>1820</v>
      </c>
      <c r="B1767" t="s">
        <v>38</v>
      </c>
      <c r="C1767" t="s">
        <v>75</v>
      </c>
      <c r="D1767" t="s">
        <v>34</v>
      </c>
      <c r="E1767" t="str">
        <f t="shared" si="108"/>
        <v>XS</v>
      </c>
      <c r="F1767" t="s">
        <v>49</v>
      </c>
      <c r="G1767" t="s">
        <v>56</v>
      </c>
      <c r="H1767" s="8">
        <v>61.1</v>
      </c>
      <c r="I1767" s="3">
        <f t="shared" si="109"/>
        <v>0</v>
      </c>
      <c r="J1767" s="4">
        <v>0</v>
      </c>
      <c r="K1767" s="11">
        <f>Table1[[#This Row],[original_price]]* (Table1[[#This Row],[Markdown percentage updated]])</f>
        <v>0</v>
      </c>
      <c r="L17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67" s="6">
        <v>61.1</v>
      </c>
      <c r="N17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67" s="7">
        <v>45875</v>
      </c>
      <c r="P1767">
        <v>30</v>
      </c>
      <c r="Q1767" s="16" t="str">
        <f>IF(Table1[[#This Row],[stock_quantity]]=0,"NO STOCK",
IF(Table1[[#This Row],[stock_quantity]]&lt;=10,"LOW STOCK",
"IN STOCK"))</f>
        <v>IN STOCK</v>
      </c>
      <c r="R1767" s="1">
        <f t="shared" si="110"/>
        <v>4.5999999999999996</v>
      </c>
      <c r="S1767">
        <v>4.5999999999999996</v>
      </c>
      <c r="T1767" t="b">
        <v>0</v>
      </c>
      <c r="U1767" t="str">
        <f t="shared" si="111"/>
        <v>No Return</v>
      </c>
    </row>
    <row r="1768" spans="1:22" hidden="1" x14ac:dyDescent="0.3">
      <c r="A1768" t="s">
        <v>1821</v>
      </c>
      <c r="B1768" t="s">
        <v>15</v>
      </c>
      <c r="C1768" t="s">
        <v>16</v>
      </c>
      <c r="D1768" t="s">
        <v>62</v>
      </c>
      <c r="E1768" t="str">
        <f t="shared" si="108"/>
        <v>M</v>
      </c>
      <c r="F1768" t="s">
        <v>39</v>
      </c>
      <c r="G1768" t="s">
        <v>40</v>
      </c>
      <c r="H1768" s="8">
        <v>227.92</v>
      </c>
      <c r="I1768" s="3">
        <f t="shared" si="109"/>
        <v>0</v>
      </c>
      <c r="J1768" s="4">
        <v>0</v>
      </c>
      <c r="K1768" s="11">
        <f>Table1[[#This Row],[original_price]]* (Table1[[#This Row],[Markdown percentage updated]])</f>
        <v>0</v>
      </c>
      <c r="L17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68" s="6">
        <v>227.92</v>
      </c>
      <c r="N17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68" s="7">
        <v>45875</v>
      </c>
      <c r="P1768">
        <v>34</v>
      </c>
      <c r="Q1768" s="16" t="str">
        <f>IF(Table1[[#This Row],[stock_quantity]]=0,"NO STOCK",
IF(Table1[[#This Row],[stock_quantity]]&lt;=10,"LOW STOCK",
"IN STOCK"))</f>
        <v>IN STOCK</v>
      </c>
      <c r="R1768" s="1">
        <f t="shared" si="110"/>
        <v>0</v>
      </c>
      <c r="T1768" t="b">
        <v>0</v>
      </c>
      <c r="U1768" t="str">
        <f t="shared" si="111"/>
        <v>No Return</v>
      </c>
    </row>
    <row r="1769" spans="1:22" hidden="1" x14ac:dyDescent="0.3">
      <c r="A1769" t="s">
        <v>1822</v>
      </c>
      <c r="B1769" t="s">
        <v>42</v>
      </c>
      <c r="C1769" t="s">
        <v>48</v>
      </c>
      <c r="D1769" t="s">
        <v>34</v>
      </c>
      <c r="E1769" t="str">
        <f t="shared" si="108"/>
        <v>OS</v>
      </c>
      <c r="F1769" t="s">
        <v>24</v>
      </c>
      <c r="G1769" t="s">
        <v>44</v>
      </c>
      <c r="H1769" s="8">
        <v>111.55</v>
      </c>
      <c r="I1769" s="3">
        <f t="shared" si="109"/>
        <v>0</v>
      </c>
      <c r="J1769" s="4">
        <v>0</v>
      </c>
      <c r="K1769" s="11">
        <f>Table1[[#This Row],[original_price]]* (Table1[[#This Row],[Markdown percentage updated]])</f>
        <v>0</v>
      </c>
      <c r="L17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69" s="6">
        <v>111.55</v>
      </c>
      <c r="N17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69" s="7">
        <v>45875</v>
      </c>
      <c r="P1769">
        <v>14</v>
      </c>
      <c r="Q1769" s="16" t="str">
        <f>IF(Table1[[#This Row],[stock_quantity]]=0,"NO STOCK",
IF(Table1[[#This Row],[stock_quantity]]&lt;=10,"LOW STOCK",
"IN STOCK"))</f>
        <v>IN STOCK</v>
      </c>
      <c r="R1769" s="1">
        <f t="shared" si="110"/>
        <v>0</v>
      </c>
      <c r="T1769" t="b">
        <v>0</v>
      </c>
      <c r="U1769" t="str">
        <f t="shared" si="111"/>
        <v>No Return</v>
      </c>
    </row>
    <row r="1770" spans="1:22" hidden="1" x14ac:dyDescent="0.3">
      <c r="A1770" t="s">
        <v>1823</v>
      </c>
      <c r="B1770" t="s">
        <v>38</v>
      </c>
      <c r="C1770" t="s">
        <v>75</v>
      </c>
      <c r="D1770" t="s">
        <v>34</v>
      </c>
      <c r="E1770" t="str">
        <f t="shared" si="108"/>
        <v>OS</v>
      </c>
      <c r="F1770" t="s">
        <v>55</v>
      </c>
      <c r="G1770" t="s">
        <v>25</v>
      </c>
      <c r="H1770" s="8">
        <v>29.09</v>
      </c>
      <c r="I1770" s="3">
        <f t="shared" si="109"/>
        <v>0.29600000000000004</v>
      </c>
      <c r="J1770" s="4">
        <v>29.6</v>
      </c>
      <c r="K1770" s="11">
        <f>Table1[[#This Row],[original_price]]* (Table1[[#This Row],[Markdown percentage updated]])</f>
        <v>8.6106400000000018</v>
      </c>
      <c r="L17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770" s="6">
        <v>20.48</v>
      </c>
      <c r="N17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770" s="7">
        <v>45875</v>
      </c>
      <c r="P1770">
        <v>25</v>
      </c>
      <c r="Q1770" s="16" t="str">
        <f>IF(Table1[[#This Row],[stock_quantity]]=0,"NO STOCK",
IF(Table1[[#This Row],[stock_quantity]]&lt;=10,"LOW STOCK",
"IN STOCK"))</f>
        <v>IN STOCK</v>
      </c>
      <c r="R1770" s="1">
        <f t="shared" si="110"/>
        <v>4.8</v>
      </c>
      <c r="S1770">
        <v>4.8</v>
      </c>
      <c r="T1770" t="b">
        <v>0</v>
      </c>
      <c r="U1770" t="str">
        <f t="shared" si="111"/>
        <v>No Return</v>
      </c>
    </row>
    <row r="1771" spans="1:22" hidden="1" x14ac:dyDescent="0.3">
      <c r="A1771" t="s">
        <v>1824</v>
      </c>
      <c r="B1771" t="s">
        <v>42</v>
      </c>
      <c r="C1771" t="s">
        <v>48</v>
      </c>
      <c r="D1771" t="s">
        <v>34</v>
      </c>
      <c r="E1771" t="str">
        <f t="shared" si="108"/>
        <v>OS</v>
      </c>
      <c r="F1771" t="s">
        <v>58</v>
      </c>
      <c r="G1771" t="s">
        <v>25</v>
      </c>
      <c r="H1771" s="8">
        <v>179.71</v>
      </c>
      <c r="I1771" s="3">
        <f t="shared" si="109"/>
        <v>0</v>
      </c>
      <c r="J1771" s="4">
        <v>0</v>
      </c>
      <c r="K1771" s="11">
        <f>Table1[[#This Row],[original_price]]* (Table1[[#This Row],[Markdown percentage updated]])</f>
        <v>0</v>
      </c>
      <c r="L17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71" s="6">
        <v>179.71</v>
      </c>
      <c r="N17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71" s="7">
        <v>45875</v>
      </c>
      <c r="P1771">
        <v>9</v>
      </c>
      <c r="Q1771" s="17" t="str">
        <f>IF(Table1[[#This Row],[stock_quantity]]=0,"NO STOCK",
IF(Table1[[#This Row],[stock_quantity]]&lt;=10,"LOW STOCK",
"IN STOCK"))</f>
        <v>LOW STOCK</v>
      </c>
      <c r="R1771" s="1">
        <f t="shared" si="110"/>
        <v>3.9</v>
      </c>
      <c r="S1771">
        <v>3.9</v>
      </c>
      <c r="T1771" t="b">
        <v>0</v>
      </c>
      <c r="U1771" t="str">
        <f t="shared" si="111"/>
        <v>No Return</v>
      </c>
    </row>
    <row r="1772" spans="1:22" hidden="1" x14ac:dyDescent="0.3">
      <c r="A1772" t="s">
        <v>1825</v>
      </c>
      <c r="B1772" t="s">
        <v>27</v>
      </c>
      <c r="C1772" t="s">
        <v>48</v>
      </c>
      <c r="D1772" t="s">
        <v>62</v>
      </c>
      <c r="E1772" t="str">
        <f t="shared" si="108"/>
        <v>XL</v>
      </c>
      <c r="G1772" t="s">
        <v>25</v>
      </c>
      <c r="H1772" s="8">
        <v>52.76</v>
      </c>
      <c r="I1772" s="3">
        <f t="shared" si="109"/>
        <v>0.39399999999999996</v>
      </c>
      <c r="J1772" s="4">
        <v>39.4</v>
      </c>
      <c r="K1772" s="11">
        <f>Table1[[#This Row],[original_price]]* (Table1[[#This Row],[Markdown percentage updated]])</f>
        <v>20.787439999999997</v>
      </c>
      <c r="L17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72" s="6">
        <v>31.97</v>
      </c>
      <c r="N17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72" s="7">
        <v>45875</v>
      </c>
      <c r="P1772">
        <v>0</v>
      </c>
      <c r="Q1772" s="13" t="str">
        <f>IF(Table1[[#This Row],[stock_quantity]]=0,"NO STOCK",
IF(Table1[[#This Row],[stock_quantity]]&lt;=10,"LOW STOCK",
"IN STOCK"))</f>
        <v>NO STOCK</v>
      </c>
      <c r="R1772" s="1">
        <f t="shared" si="110"/>
        <v>1.4</v>
      </c>
      <c r="S1772">
        <v>1.4</v>
      </c>
      <c r="T1772" t="b">
        <v>0</v>
      </c>
      <c r="U1772" t="str">
        <f t="shared" si="111"/>
        <v>No Return</v>
      </c>
    </row>
    <row r="1773" spans="1:22" hidden="1" x14ac:dyDescent="0.3">
      <c r="A1773" t="s">
        <v>1826</v>
      </c>
      <c r="B1773" t="s">
        <v>27</v>
      </c>
      <c r="C1773" t="s">
        <v>22</v>
      </c>
      <c r="D1773" t="s">
        <v>17</v>
      </c>
      <c r="E1773" t="str">
        <f t="shared" si="108"/>
        <v>XS</v>
      </c>
      <c r="G1773" t="s">
        <v>46</v>
      </c>
      <c r="H1773" s="8">
        <v>67.900000000000006</v>
      </c>
      <c r="I1773" s="3">
        <f t="shared" si="109"/>
        <v>0</v>
      </c>
      <c r="J1773" s="4">
        <v>0</v>
      </c>
      <c r="K1773" s="11">
        <f>Table1[[#This Row],[original_price]]* (Table1[[#This Row],[Markdown percentage updated]])</f>
        <v>0</v>
      </c>
      <c r="L17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73" s="6">
        <v>67.900000000000006</v>
      </c>
      <c r="N17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73" s="7">
        <v>45657</v>
      </c>
      <c r="P1773">
        <v>1</v>
      </c>
      <c r="Q1773" s="17" t="str">
        <f>IF(Table1[[#This Row],[stock_quantity]]=0,"NO STOCK",
IF(Table1[[#This Row],[stock_quantity]]&lt;=10,"LOW STOCK",
"IN STOCK"))</f>
        <v>LOW STOCK</v>
      </c>
      <c r="R1773" s="1">
        <f t="shared" si="110"/>
        <v>1.3</v>
      </c>
      <c r="S1773">
        <v>1.3</v>
      </c>
      <c r="T1773" t="b">
        <v>0</v>
      </c>
      <c r="U1773" t="str">
        <f t="shared" si="111"/>
        <v>No Return</v>
      </c>
    </row>
    <row r="1774" spans="1:22" hidden="1" x14ac:dyDescent="0.3">
      <c r="A1774" t="s">
        <v>1827</v>
      </c>
      <c r="B1774" t="s">
        <v>27</v>
      </c>
      <c r="C1774" t="s">
        <v>22</v>
      </c>
      <c r="D1774" t="s">
        <v>34</v>
      </c>
      <c r="E1774" t="str">
        <f t="shared" si="108"/>
        <v>M</v>
      </c>
      <c r="G1774" t="s">
        <v>64</v>
      </c>
      <c r="H1774" s="8">
        <v>46.77</v>
      </c>
      <c r="I1774" s="3">
        <f t="shared" si="109"/>
        <v>0.40799999999999997</v>
      </c>
      <c r="J1774" s="4">
        <v>40.799999999999997</v>
      </c>
      <c r="K1774" s="11">
        <f>Table1[[#This Row],[original_price]]* (Table1[[#This Row],[Markdown percentage updated]])</f>
        <v>19.082160000000002</v>
      </c>
      <c r="L17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74" s="6">
        <v>27.69</v>
      </c>
      <c r="N17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74" s="7">
        <v>45875</v>
      </c>
      <c r="P1774">
        <v>25</v>
      </c>
      <c r="Q1774" s="16" t="str">
        <f>IF(Table1[[#This Row],[stock_quantity]]=0,"NO STOCK",
IF(Table1[[#This Row],[stock_quantity]]&lt;=10,"LOW STOCK",
"IN STOCK"))</f>
        <v>IN STOCK</v>
      </c>
      <c r="R1774" s="1">
        <f t="shared" si="110"/>
        <v>2.6</v>
      </c>
      <c r="S1774">
        <v>2.6</v>
      </c>
      <c r="T1774" t="b">
        <v>0</v>
      </c>
      <c r="U1774" t="str">
        <f t="shared" si="111"/>
        <v>No Return</v>
      </c>
    </row>
    <row r="1775" spans="1:22" hidden="1" x14ac:dyDescent="0.3">
      <c r="A1775" t="s">
        <v>1828</v>
      </c>
      <c r="B1775" t="s">
        <v>21</v>
      </c>
      <c r="C1775" t="s">
        <v>22</v>
      </c>
      <c r="D1775" t="s">
        <v>23</v>
      </c>
      <c r="E1775" t="str">
        <f t="shared" si="108"/>
        <v>M</v>
      </c>
      <c r="F1775" t="s">
        <v>18</v>
      </c>
      <c r="G1775" t="s">
        <v>64</v>
      </c>
      <c r="H1775" s="8">
        <v>91.6</v>
      </c>
      <c r="I1775" s="3">
        <f t="shared" si="109"/>
        <v>0</v>
      </c>
      <c r="J1775" s="4">
        <v>0</v>
      </c>
      <c r="K1775" s="11">
        <f>Table1[[#This Row],[original_price]]* (Table1[[#This Row],[Markdown percentage updated]])</f>
        <v>0</v>
      </c>
      <c r="L17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75" s="6">
        <v>91.6</v>
      </c>
      <c r="N17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75" s="7">
        <v>45875</v>
      </c>
      <c r="P1775">
        <v>6</v>
      </c>
      <c r="Q1775" s="17" t="str">
        <f>IF(Table1[[#This Row],[stock_quantity]]=0,"NO STOCK",
IF(Table1[[#This Row],[stock_quantity]]&lt;=10,"LOW STOCK",
"IN STOCK"))</f>
        <v>LOW STOCK</v>
      </c>
      <c r="R1775" s="1">
        <f t="shared" si="110"/>
        <v>2.7</v>
      </c>
      <c r="S1775">
        <v>2.7</v>
      </c>
      <c r="T1775" t="b">
        <v>0</v>
      </c>
      <c r="U1775" t="str">
        <f t="shared" si="111"/>
        <v>No Return</v>
      </c>
    </row>
    <row r="1776" spans="1:22" hidden="1" x14ac:dyDescent="0.3">
      <c r="A1776" t="s">
        <v>1829</v>
      </c>
      <c r="B1776" t="s">
        <v>15</v>
      </c>
      <c r="C1776" t="s">
        <v>22</v>
      </c>
      <c r="D1776" t="s">
        <v>17</v>
      </c>
      <c r="E1776" t="str">
        <f t="shared" si="108"/>
        <v>OS</v>
      </c>
      <c r="F1776" t="s">
        <v>55</v>
      </c>
      <c r="G1776" t="s">
        <v>25</v>
      </c>
      <c r="H1776" s="8">
        <v>230.39</v>
      </c>
      <c r="I1776" s="3">
        <f t="shared" si="109"/>
        <v>4.2000000000000003E-2</v>
      </c>
      <c r="J1776" s="4">
        <v>4.2</v>
      </c>
      <c r="K1776" s="11">
        <f>Table1[[#This Row],[original_price]]* (Table1[[#This Row],[Markdown percentage updated]])</f>
        <v>9.67638</v>
      </c>
      <c r="L17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76" s="6">
        <v>220.71</v>
      </c>
      <c r="N17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776" s="7">
        <v>45580</v>
      </c>
      <c r="P1776">
        <v>34</v>
      </c>
      <c r="Q1776" s="16" t="str">
        <f>IF(Table1[[#This Row],[stock_quantity]]=0,"NO STOCK",
IF(Table1[[#This Row],[stock_quantity]]&lt;=10,"LOW STOCK",
"IN STOCK"))</f>
        <v>IN STOCK</v>
      </c>
      <c r="R1776" s="1">
        <f t="shared" si="110"/>
        <v>3.5</v>
      </c>
      <c r="S1776">
        <v>3.5</v>
      </c>
      <c r="T1776" t="b">
        <v>0</v>
      </c>
      <c r="U1776" t="str">
        <f t="shared" si="111"/>
        <v>No Return</v>
      </c>
    </row>
    <row r="1777" spans="1:22" hidden="1" x14ac:dyDescent="0.3">
      <c r="A1777" t="s">
        <v>1830</v>
      </c>
      <c r="B1777" t="s">
        <v>15</v>
      </c>
      <c r="C1777" t="s">
        <v>53</v>
      </c>
      <c r="D1777" t="s">
        <v>34</v>
      </c>
      <c r="E1777" t="str">
        <f t="shared" si="108"/>
        <v>XL</v>
      </c>
      <c r="F1777" t="s">
        <v>58</v>
      </c>
      <c r="G1777" t="s">
        <v>44</v>
      </c>
      <c r="H1777" s="8">
        <v>118.37</v>
      </c>
      <c r="I1777" s="3">
        <f t="shared" si="109"/>
        <v>0</v>
      </c>
      <c r="J1777" s="4">
        <v>0</v>
      </c>
      <c r="K1777" s="11">
        <f>Table1[[#This Row],[original_price]]* (Table1[[#This Row],[Markdown percentage updated]])</f>
        <v>0</v>
      </c>
      <c r="L17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77" s="6">
        <v>118.37</v>
      </c>
      <c r="N17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77" s="7">
        <v>45875</v>
      </c>
      <c r="P1777">
        <v>45</v>
      </c>
      <c r="Q1777" s="16" t="str">
        <f>IF(Table1[[#This Row],[stock_quantity]]=0,"NO STOCK",
IF(Table1[[#This Row],[stock_quantity]]&lt;=10,"LOW STOCK",
"IN STOCK"))</f>
        <v>IN STOCK</v>
      </c>
      <c r="R1777" s="1">
        <f t="shared" si="110"/>
        <v>0</v>
      </c>
      <c r="T1777" t="b">
        <v>0</v>
      </c>
      <c r="U1777" t="str">
        <f t="shared" si="111"/>
        <v>No Return</v>
      </c>
    </row>
    <row r="1778" spans="1:22" hidden="1" x14ac:dyDescent="0.3">
      <c r="A1778" t="s">
        <v>1831</v>
      </c>
      <c r="B1778" t="s">
        <v>30</v>
      </c>
      <c r="C1778" t="s">
        <v>61</v>
      </c>
      <c r="D1778" t="s">
        <v>23</v>
      </c>
      <c r="E1778" t="str">
        <f t="shared" si="108"/>
        <v>M</v>
      </c>
      <c r="F1778" t="s">
        <v>58</v>
      </c>
      <c r="G1778" t="s">
        <v>19</v>
      </c>
      <c r="H1778" s="8">
        <v>81.260000000000005</v>
      </c>
      <c r="I1778" s="3">
        <f t="shared" si="109"/>
        <v>0.32700000000000001</v>
      </c>
      <c r="J1778" s="4">
        <v>32.700000000000003</v>
      </c>
      <c r="K1778" s="11">
        <f>Table1[[#This Row],[original_price]]* (Table1[[#This Row],[Markdown percentage updated]])</f>
        <v>26.572020000000002</v>
      </c>
      <c r="L17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78" s="6">
        <v>54.69</v>
      </c>
      <c r="N17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78" s="7">
        <v>45875</v>
      </c>
      <c r="P1778">
        <v>2</v>
      </c>
      <c r="Q1778" s="17" t="str">
        <f>IF(Table1[[#This Row],[stock_quantity]]=0,"NO STOCK",
IF(Table1[[#This Row],[stock_quantity]]&lt;=10,"LOW STOCK",
"IN STOCK"))</f>
        <v>LOW STOCK</v>
      </c>
      <c r="R1778" s="1">
        <f t="shared" si="110"/>
        <v>3.3</v>
      </c>
      <c r="S1778">
        <v>3.3</v>
      </c>
      <c r="T1778" t="b">
        <v>0</v>
      </c>
      <c r="U1778" t="str">
        <f t="shared" si="111"/>
        <v>No Return</v>
      </c>
    </row>
    <row r="1779" spans="1:22" hidden="1" x14ac:dyDescent="0.3">
      <c r="A1779" t="s">
        <v>1832</v>
      </c>
      <c r="B1779" t="s">
        <v>27</v>
      </c>
      <c r="C1779" t="s">
        <v>48</v>
      </c>
      <c r="D1779" t="s">
        <v>34</v>
      </c>
      <c r="E1779" t="str">
        <f t="shared" si="108"/>
        <v>XL</v>
      </c>
      <c r="G1779" t="s">
        <v>66</v>
      </c>
      <c r="H1779" s="8">
        <v>57.21</v>
      </c>
      <c r="I1779" s="3">
        <f t="shared" si="109"/>
        <v>0.18</v>
      </c>
      <c r="J1779" s="4">
        <v>18</v>
      </c>
      <c r="K1779" s="11">
        <f>Table1[[#This Row],[original_price]]* (Table1[[#This Row],[Markdown percentage updated]])</f>
        <v>10.297800000000001</v>
      </c>
      <c r="L17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79" s="6">
        <v>46.91</v>
      </c>
      <c r="N17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79" s="7">
        <v>45875</v>
      </c>
      <c r="P1779">
        <v>7</v>
      </c>
      <c r="Q1779" s="17" t="str">
        <f>IF(Table1[[#This Row],[stock_quantity]]=0,"NO STOCK",
IF(Table1[[#This Row],[stock_quantity]]&lt;=10,"LOW STOCK",
"IN STOCK"))</f>
        <v>LOW STOCK</v>
      </c>
      <c r="R1779" s="1">
        <f t="shared" si="110"/>
        <v>2.5</v>
      </c>
      <c r="S1779">
        <v>2.5</v>
      </c>
      <c r="T1779" t="b">
        <v>0</v>
      </c>
      <c r="U1779" t="str">
        <f t="shared" si="111"/>
        <v>No Return</v>
      </c>
    </row>
    <row r="1780" spans="1:22" hidden="1" x14ac:dyDescent="0.3">
      <c r="A1780" t="s">
        <v>1833</v>
      </c>
      <c r="B1780" t="s">
        <v>42</v>
      </c>
      <c r="C1780" t="s">
        <v>75</v>
      </c>
      <c r="D1780" t="s">
        <v>62</v>
      </c>
      <c r="E1780" t="str">
        <f t="shared" si="108"/>
        <v>L</v>
      </c>
      <c r="F1780" t="s">
        <v>18</v>
      </c>
      <c r="G1780" t="s">
        <v>70</v>
      </c>
      <c r="H1780" s="8">
        <v>74.53</v>
      </c>
      <c r="I1780" s="3">
        <f t="shared" si="109"/>
        <v>0</v>
      </c>
      <c r="J1780" s="4">
        <v>0</v>
      </c>
      <c r="K1780" s="11">
        <f>Table1[[#This Row],[original_price]]* (Table1[[#This Row],[Markdown percentage updated]])</f>
        <v>0</v>
      </c>
      <c r="L17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80" s="6">
        <v>74.53</v>
      </c>
      <c r="N17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80" s="7">
        <v>45875</v>
      </c>
      <c r="P1780">
        <v>9</v>
      </c>
      <c r="Q1780" s="17" t="str">
        <f>IF(Table1[[#This Row],[stock_quantity]]=0,"NO STOCK",
IF(Table1[[#This Row],[stock_quantity]]&lt;=10,"LOW STOCK",
"IN STOCK"))</f>
        <v>LOW STOCK</v>
      </c>
      <c r="R1780" s="1">
        <f t="shared" si="110"/>
        <v>0</v>
      </c>
      <c r="T1780" t="b">
        <v>0</v>
      </c>
      <c r="U1780" t="str">
        <f t="shared" si="111"/>
        <v>No Return</v>
      </c>
    </row>
    <row r="1781" spans="1:22" hidden="1" x14ac:dyDescent="0.3">
      <c r="A1781" t="s">
        <v>1834</v>
      </c>
      <c r="B1781" t="s">
        <v>42</v>
      </c>
      <c r="C1781" t="s">
        <v>32</v>
      </c>
      <c r="D1781" t="s">
        <v>62</v>
      </c>
      <c r="E1781" t="str">
        <f t="shared" si="108"/>
        <v>OS</v>
      </c>
      <c r="F1781" t="s">
        <v>58</v>
      </c>
      <c r="G1781" t="s">
        <v>19</v>
      </c>
      <c r="H1781" s="8">
        <v>69.540000000000006</v>
      </c>
      <c r="I1781" s="3">
        <f t="shared" si="109"/>
        <v>0</v>
      </c>
      <c r="J1781" s="4">
        <v>0</v>
      </c>
      <c r="K1781" s="11">
        <f>Table1[[#This Row],[original_price]]* (Table1[[#This Row],[Markdown percentage updated]])</f>
        <v>0</v>
      </c>
      <c r="L17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81" s="6">
        <v>69.540000000000006</v>
      </c>
      <c r="N17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81" s="7">
        <v>45875</v>
      </c>
      <c r="P1781">
        <v>40</v>
      </c>
      <c r="Q1781" s="16" t="str">
        <f>IF(Table1[[#This Row],[stock_quantity]]=0,"NO STOCK",
IF(Table1[[#This Row],[stock_quantity]]&lt;=10,"LOW STOCK",
"IN STOCK"))</f>
        <v>IN STOCK</v>
      </c>
      <c r="R1781" s="1">
        <f t="shared" si="110"/>
        <v>3.2</v>
      </c>
      <c r="S1781">
        <v>3.2</v>
      </c>
      <c r="T1781" t="b">
        <v>1</v>
      </c>
      <c r="U1781" s="13" t="str">
        <f t="shared" si="111"/>
        <v>Size Issue</v>
      </c>
      <c r="V1781" t="s">
        <v>73</v>
      </c>
    </row>
    <row r="1782" spans="1:22" hidden="1" x14ac:dyDescent="0.3">
      <c r="A1782" t="s">
        <v>1835</v>
      </c>
      <c r="B1782" t="s">
        <v>42</v>
      </c>
      <c r="C1782" t="s">
        <v>53</v>
      </c>
      <c r="D1782" t="s">
        <v>62</v>
      </c>
      <c r="E1782" t="str">
        <f t="shared" si="108"/>
        <v>XL</v>
      </c>
      <c r="F1782" t="s">
        <v>18</v>
      </c>
      <c r="G1782" t="s">
        <v>70</v>
      </c>
      <c r="H1782" s="8">
        <v>102.71</v>
      </c>
      <c r="I1782" s="3">
        <f t="shared" si="109"/>
        <v>0.55899999999999994</v>
      </c>
      <c r="J1782" s="4">
        <v>55.9</v>
      </c>
      <c r="K1782" s="11">
        <f>Table1[[#This Row],[original_price]]* (Table1[[#This Row],[Markdown percentage updated]])</f>
        <v>57.414889999999993</v>
      </c>
      <c r="L17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82" s="6">
        <v>45.3</v>
      </c>
      <c r="N17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82" s="7">
        <v>45875</v>
      </c>
      <c r="P1782">
        <v>31</v>
      </c>
      <c r="Q1782" s="16" t="str">
        <f>IF(Table1[[#This Row],[stock_quantity]]=0,"NO STOCK",
IF(Table1[[#This Row],[stock_quantity]]&lt;=10,"LOW STOCK",
"IN STOCK"))</f>
        <v>IN STOCK</v>
      </c>
      <c r="R1782" s="1">
        <f t="shared" si="110"/>
        <v>4.5999999999999996</v>
      </c>
      <c r="S1782">
        <v>4.5999999999999996</v>
      </c>
      <c r="T1782" t="b">
        <v>0</v>
      </c>
      <c r="U1782" t="str">
        <f t="shared" si="111"/>
        <v>No Return</v>
      </c>
    </row>
    <row r="1783" spans="1:22" hidden="1" x14ac:dyDescent="0.3">
      <c r="A1783" t="s">
        <v>1836</v>
      </c>
      <c r="B1783" t="s">
        <v>30</v>
      </c>
      <c r="C1783" t="s">
        <v>61</v>
      </c>
      <c r="D1783" t="s">
        <v>62</v>
      </c>
      <c r="E1783" t="str">
        <f t="shared" si="108"/>
        <v>L</v>
      </c>
      <c r="F1783" t="s">
        <v>24</v>
      </c>
      <c r="G1783" t="s">
        <v>56</v>
      </c>
      <c r="H1783" s="8">
        <v>117.82</v>
      </c>
      <c r="I1783" s="3">
        <f t="shared" si="109"/>
        <v>0</v>
      </c>
      <c r="J1783" s="4">
        <v>0</v>
      </c>
      <c r="K1783" s="11">
        <f>Table1[[#This Row],[original_price]]* (Table1[[#This Row],[Markdown percentage updated]])</f>
        <v>0</v>
      </c>
      <c r="L17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83" s="6">
        <v>117.82</v>
      </c>
      <c r="N17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83" s="7">
        <v>45875</v>
      </c>
      <c r="P1783">
        <v>7</v>
      </c>
      <c r="Q1783" s="17" t="str">
        <f>IF(Table1[[#This Row],[stock_quantity]]=0,"NO STOCK",
IF(Table1[[#This Row],[stock_quantity]]&lt;=10,"LOW STOCK",
"IN STOCK"))</f>
        <v>LOW STOCK</v>
      </c>
      <c r="R1783" s="1">
        <f t="shared" si="110"/>
        <v>4.9000000000000004</v>
      </c>
      <c r="S1783">
        <v>4.9000000000000004</v>
      </c>
      <c r="T1783" t="b">
        <v>0</v>
      </c>
      <c r="U1783" t="str">
        <f t="shared" si="111"/>
        <v>No Return</v>
      </c>
    </row>
    <row r="1784" spans="1:22" hidden="1" x14ac:dyDescent="0.3">
      <c r="A1784" t="s">
        <v>1837</v>
      </c>
      <c r="B1784" t="s">
        <v>27</v>
      </c>
      <c r="C1784" t="s">
        <v>61</v>
      </c>
      <c r="D1784" t="s">
        <v>17</v>
      </c>
      <c r="E1784" t="str">
        <f t="shared" si="108"/>
        <v>OS</v>
      </c>
      <c r="G1784" t="s">
        <v>66</v>
      </c>
      <c r="H1784" s="8">
        <v>61.01</v>
      </c>
      <c r="I1784" s="3">
        <f t="shared" si="109"/>
        <v>0</v>
      </c>
      <c r="J1784" s="4">
        <v>0</v>
      </c>
      <c r="K1784" s="11">
        <f>Table1[[#This Row],[original_price]]* (Table1[[#This Row],[Markdown percentage updated]])</f>
        <v>0</v>
      </c>
      <c r="L17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84" s="6">
        <v>61.01</v>
      </c>
      <c r="N17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84" s="7">
        <v>45772</v>
      </c>
      <c r="P1784">
        <v>30</v>
      </c>
      <c r="Q1784" s="16" t="str">
        <f>IF(Table1[[#This Row],[stock_quantity]]=0,"NO STOCK",
IF(Table1[[#This Row],[stock_quantity]]&lt;=10,"LOW STOCK",
"IN STOCK"))</f>
        <v>IN STOCK</v>
      </c>
      <c r="R1784" s="1">
        <f t="shared" si="110"/>
        <v>3.4</v>
      </c>
      <c r="S1784">
        <v>3.4</v>
      </c>
      <c r="T1784" t="b">
        <v>0</v>
      </c>
      <c r="U1784" t="str">
        <f t="shared" si="111"/>
        <v>No Return</v>
      </c>
    </row>
    <row r="1785" spans="1:22" hidden="1" x14ac:dyDescent="0.3">
      <c r="A1785" t="s">
        <v>1838</v>
      </c>
      <c r="B1785" t="s">
        <v>15</v>
      </c>
      <c r="C1785" t="s">
        <v>75</v>
      </c>
      <c r="D1785" t="s">
        <v>23</v>
      </c>
      <c r="E1785" t="str">
        <f t="shared" si="108"/>
        <v>XXL</v>
      </c>
      <c r="F1785" t="s">
        <v>18</v>
      </c>
      <c r="G1785" t="s">
        <v>25</v>
      </c>
      <c r="H1785" s="8">
        <v>222.01</v>
      </c>
      <c r="I1785" s="3">
        <f t="shared" si="109"/>
        <v>0</v>
      </c>
      <c r="J1785" s="4">
        <v>0</v>
      </c>
      <c r="K1785" s="11">
        <f>Table1[[#This Row],[original_price]]* (Table1[[#This Row],[Markdown percentage updated]])</f>
        <v>0</v>
      </c>
      <c r="L17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85" s="6">
        <v>222.01</v>
      </c>
      <c r="N17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85" s="7">
        <v>45875</v>
      </c>
      <c r="P1785">
        <v>27</v>
      </c>
      <c r="Q1785" s="16" t="str">
        <f>IF(Table1[[#This Row],[stock_quantity]]=0,"NO STOCK",
IF(Table1[[#This Row],[stock_quantity]]&lt;=10,"LOW STOCK",
"IN STOCK"))</f>
        <v>IN STOCK</v>
      </c>
      <c r="R1785" s="1">
        <f t="shared" si="110"/>
        <v>2.1</v>
      </c>
      <c r="S1785">
        <v>2.1</v>
      </c>
      <c r="T1785" t="b">
        <v>0</v>
      </c>
      <c r="U1785" t="str">
        <f t="shared" si="111"/>
        <v>No Return</v>
      </c>
    </row>
    <row r="1786" spans="1:22" hidden="1" x14ac:dyDescent="0.3">
      <c r="A1786" t="s">
        <v>1839</v>
      </c>
      <c r="B1786" t="s">
        <v>15</v>
      </c>
      <c r="C1786" t="s">
        <v>48</v>
      </c>
      <c r="D1786" t="s">
        <v>62</v>
      </c>
      <c r="E1786" t="str">
        <f t="shared" si="108"/>
        <v>S</v>
      </c>
      <c r="F1786" t="s">
        <v>24</v>
      </c>
      <c r="G1786" t="s">
        <v>70</v>
      </c>
      <c r="H1786" s="8">
        <v>123.55</v>
      </c>
      <c r="I1786" s="3">
        <f t="shared" si="109"/>
        <v>0</v>
      </c>
      <c r="J1786" s="4">
        <v>0</v>
      </c>
      <c r="K1786" s="11">
        <f>Table1[[#This Row],[original_price]]* (Table1[[#This Row],[Markdown percentage updated]])</f>
        <v>0</v>
      </c>
      <c r="L17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86" s="6">
        <v>123.55</v>
      </c>
      <c r="N17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86" s="7">
        <v>45875</v>
      </c>
      <c r="P1786">
        <v>28</v>
      </c>
      <c r="Q1786" s="16" t="str">
        <f>IF(Table1[[#This Row],[stock_quantity]]=0,"NO STOCK",
IF(Table1[[#This Row],[stock_quantity]]&lt;=10,"LOW STOCK",
"IN STOCK"))</f>
        <v>IN STOCK</v>
      </c>
      <c r="R1786" s="1">
        <f t="shared" si="110"/>
        <v>1.2</v>
      </c>
      <c r="S1786">
        <v>1.2</v>
      </c>
      <c r="T1786" t="b">
        <v>0</v>
      </c>
      <c r="U1786" t="str">
        <f t="shared" si="111"/>
        <v>No Return</v>
      </c>
    </row>
    <row r="1787" spans="1:22" hidden="1" x14ac:dyDescent="0.3">
      <c r="A1787" t="s">
        <v>1840</v>
      </c>
      <c r="B1787" t="s">
        <v>27</v>
      </c>
      <c r="C1787" t="s">
        <v>16</v>
      </c>
      <c r="D1787" t="s">
        <v>34</v>
      </c>
      <c r="E1787" t="str">
        <f t="shared" si="108"/>
        <v>OS</v>
      </c>
      <c r="G1787" t="s">
        <v>28</v>
      </c>
      <c r="H1787" s="8">
        <v>24.65</v>
      </c>
      <c r="I1787" s="3">
        <f t="shared" si="109"/>
        <v>0</v>
      </c>
      <c r="J1787" s="4">
        <v>0</v>
      </c>
      <c r="K1787" s="11">
        <f>Table1[[#This Row],[original_price]]* (Table1[[#This Row],[Markdown percentage updated]])</f>
        <v>0</v>
      </c>
      <c r="L17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87" s="6">
        <v>24.65</v>
      </c>
      <c r="N17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87" s="7">
        <v>45875</v>
      </c>
      <c r="P1787">
        <v>43</v>
      </c>
      <c r="Q1787" s="16" t="str">
        <f>IF(Table1[[#This Row],[stock_quantity]]=0,"NO STOCK",
IF(Table1[[#This Row],[stock_quantity]]&lt;=10,"LOW STOCK",
"IN STOCK"))</f>
        <v>IN STOCK</v>
      </c>
      <c r="R1787" s="1">
        <f t="shared" si="110"/>
        <v>1.1000000000000001</v>
      </c>
      <c r="S1787">
        <v>1.1000000000000001</v>
      </c>
      <c r="T1787" t="b">
        <v>0</v>
      </c>
      <c r="U1787" t="str">
        <f t="shared" si="111"/>
        <v>No Return</v>
      </c>
    </row>
    <row r="1788" spans="1:22" hidden="1" x14ac:dyDescent="0.3">
      <c r="A1788" t="s">
        <v>1841</v>
      </c>
      <c r="B1788" t="s">
        <v>15</v>
      </c>
      <c r="C1788" t="s">
        <v>32</v>
      </c>
      <c r="D1788" t="s">
        <v>34</v>
      </c>
      <c r="E1788" t="str">
        <f t="shared" si="108"/>
        <v>OS</v>
      </c>
      <c r="F1788" t="s">
        <v>49</v>
      </c>
      <c r="G1788" t="s">
        <v>64</v>
      </c>
      <c r="H1788" s="8">
        <v>168.8</v>
      </c>
      <c r="I1788" s="3">
        <f t="shared" si="109"/>
        <v>0</v>
      </c>
      <c r="J1788" s="4">
        <v>0</v>
      </c>
      <c r="K1788" s="11">
        <f>Table1[[#This Row],[original_price]]* (Table1[[#This Row],[Markdown percentage updated]])</f>
        <v>0</v>
      </c>
      <c r="L17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88" s="6">
        <v>168.8</v>
      </c>
      <c r="N17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88" s="7">
        <v>45875</v>
      </c>
      <c r="P1788">
        <v>1</v>
      </c>
      <c r="Q1788" s="17" t="str">
        <f>IF(Table1[[#This Row],[stock_quantity]]=0,"NO STOCK",
IF(Table1[[#This Row],[stock_quantity]]&lt;=10,"LOW STOCK",
"IN STOCK"))</f>
        <v>LOW STOCK</v>
      </c>
      <c r="R1788" s="1">
        <f t="shared" si="110"/>
        <v>1</v>
      </c>
      <c r="S1788">
        <v>1</v>
      </c>
      <c r="T1788" t="b">
        <v>0</v>
      </c>
      <c r="U1788" t="str">
        <f t="shared" si="111"/>
        <v>No Return</v>
      </c>
    </row>
    <row r="1789" spans="1:22" hidden="1" x14ac:dyDescent="0.3">
      <c r="A1789" t="s">
        <v>1842</v>
      </c>
      <c r="B1789" t="s">
        <v>21</v>
      </c>
      <c r="C1789" t="s">
        <v>61</v>
      </c>
      <c r="D1789" t="s">
        <v>34</v>
      </c>
      <c r="E1789" t="str">
        <f t="shared" si="108"/>
        <v>OS</v>
      </c>
      <c r="F1789" t="s">
        <v>39</v>
      </c>
      <c r="G1789" t="s">
        <v>46</v>
      </c>
      <c r="H1789" s="8">
        <v>39.159999999999997</v>
      </c>
      <c r="I1789" s="3">
        <f t="shared" si="109"/>
        <v>0.40100000000000002</v>
      </c>
      <c r="J1789" s="4">
        <v>40.1</v>
      </c>
      <c r="K1789" s="11">
        <f>Table1[[#This Row],[original_price]]* (Table1[[#This Row],[Markdown percentage updated]])</f>
        <v>15.703159999999999</v>
      </c>
      <c r="L17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789" s="6">
        <v>23.46</v>
      </c>
      <c r="N17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89" s="7">
        <v>45875</v>
      </c>
      <c r="P1789">
        <v>4</v>
      </c>
      <c r="Q1789" s="17" t="str">
        <f>IF(Table1[[#This Row],[stock_quantity]]=0,"NO STOCK",
IF(Table1[[#This Row],[stock_quantity]]&lt;=10,"LOW STOCK",
"IN STOCK"))</f>
        <v>LOW STOCK</v>
      </c>
      <c r="R1789" s="1">
        <f t="shared" si="110"/>
        <v>2.8</v>
      </c>
      <c r="S1789">
        <v>2.8</v>
      </c>
      <c r="T1789" t="b">
        <v>0</v>
      </c>
      <c r="U1789" t="str">
        <f t="shared" si="111"/>
        <v>No Return</v>
      </c>
    </row>
    <row r="1790" spans="1:22" hidden="1" x14ac:dyDescent="0.3">
      <c r="A1790" t="s">
        <v>1843</v>
      </c>
      <c r="B1790" t="s">
        <v>38</v>
      </c>
      <c r="C1790" t="s">
        <v>48</v>
      </c>
      <c r="D1790" t="s">
        <v>34</v>
      </c>
      <c r="E1790" t="str">
        <f t="shared" si="108"/>
        <v>XS</v>
      </c>
      <c r="G1790" t="s">
        <v>70</v>
      </c>
      <c r="H1790" s="8">
        <v>74.760000000000005</v>
      </c>
      <c r="I1790" s="3">
        <f t="shared" si="109"/>
        <v>0</v>
      </c>
      <c r="J1790" s="4">
        <v>0</v>
      </c>
      <c r="K1790" s="11">
        <f>Table1[[#This Row],[original_price]]* (Table1[[#This Row],[Markdown percentage updated]])</f>
        <v>0</v>
      </c>
      <c r="L17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90" s="6">
        <v>74.760000000000005</v>
      </c>
      <c r="N17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90" s="7">
        <v>45875</v>
      </c>
      <c r="P1790">
        <v>50</v>
      </c>
      <c r="Q1790" s="16" t="str">
        <f>IF(Table1[[#This Row],[stock_quantity]]=0,"NO STOCK",
IF(Table1[[#This Row],[stock_quantity]]&lt;=10,"LOW STOCK",
"IN STOCK"))</f>
        <v>IN STOCK</v>
      </c>
      <c r="R1790" s="1">
        <f t="shared" si="110"/>
        <v>4.4000000000000004</v>
      </c>
      <c r="S1790">
        <v>4.4000000000000004</v>
      </c>
      <c r="T1790" t="b">
        <v>1</v>
      </c>
      <c r="U1790" s="13" t="str">
        <f t="shared" si="111"/>
        <v>Color Mismatch</v>
      </c>
      <c r="V1790" t="s">
        <v>36</v>
      </c>
    </row>
    <row r="1791" spans="1:22" hidden="1" x14ac:dyDescent="0.3">
      <c r="A1791" t="s">
        <v>1844</v>
      </c>
      <c r="B1791" t="s">
        <v>27</v>
      </c>
      <c r="C1791" t="s">
        <v>61</v>
      </c>
      <c r="D1791" t="s">
        <v>23</v>
      </c>
      <c r="E1791" t="str">
        <f t="shared" si="108"/>
        <v>XS</v>
      </c>
      <c r="G1791" t="s">
        <v>64</v>
      </c>
      <c r="H1791" s="8">
        <v>37</v>
      </c>
      <c r="I1791" s="3">
        <f t="shared" si="109"/>
        <v>0</v>
      </c>
      <c r="J1791" s="4">
        <v>0</v>
      </c>
      <c r="K1791" s="11">
        <f>Table1[[#This Row],[original_price]]* (Table1[[#This Row],[Markdown percentage updated]])</f>
        <v>0</v>
      </c>
      <c r="L17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91" s="6">
        <v>37</v>
      </c>
      <c r="N17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91" s="7">
        <v>45875</v>
      </c>
      <c r="P1791">
        <v>5</v>
      </c>
      <c r="Q1791" s="17" t="str">
        <f>IF(Table1[[#This Row],[stock_quantity]]=0,"NO STOCK",
IF(Table1[[#This Row],[stock_quantity]]&lt;=10,"LOW STOCK",
"IN STOCK"))</f>
        <v>LOW STOCK</v>
      </c>
      <c r="R1791" s="1">
        <f t="shared" si="110"/>
        <v>4.9000000000000004</v>
      </c>
      <c r="S1791">
        <v>4.9000000000000004</v>
      </c>
      <c r="T1791" t="b">
        <v>0</v>
      </c>
      <c r="U1791" t="str">
        <f t="shared" si="111"/>
        <v>No Return</v>
      </c>
    </row>
    <row r="1792" spans="1:22" hidden="1" x14ac:dyDescent="0.3">
      <c r="A1792" t="s">
        <v>1845</v>
      </c>
      <c r="B1792" t="s">
        <v>27</v>
      </c>
      <c r="C1792" t="s">
        <v>43</v>
      </c>
      <c r="D1792" t="s">
        <v>23</v>
      </c>
      <c r="E1792" t="str">
        <f t="shared" si="108"/>
        <v>XS</v>
      </c>
      <c r="G1792" t="s">
        <v>28</v>
      </c>
      <c r="H1792" s="8">
        <v>67.38</v>
      </c>
      <c r="I1792" s="3">
        <f t="shared" si="109"/>
        <v>0</v>
      </c>
      <c r="J1792" s="4">
        <v>0</v>
      </c>
      <c r="K1792" s="11">
        <f>Table1[[#This Row],[original_price]]* (Table1[[#This Row],[Markdown percentage updated]])</f>
        <v>0</v>
      </c>
      <c r="L17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92" s="6">
        <v>67.38</v>
      </c>
      <c r="N17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92" s="7">
        <v>45875</v>
      </c>
      <c r="P1792">
        <v>15</v>
      </c>
      <c r="Q1792" s="16" t="str">
        <f>IF(Table1[[#This Row],[stock_quantity]]=0,"NO STOCK",
IF(Table1[[#This Row],[stock_quantity]]&lt;=10,"LOW STOCK",
"IN STOCK"))</f>
        <v>IN STOCK</v>
      </c>
      <c r="R1792" s="1">
        <f t="shared" si="110"/>
        <v>1.6</v>
      </c>
      <c r="S1792">
        <v>1.6</v>
      </c>
      <c r="T1792" t="b">
        <v>0</v>
      </c>
      <c r="U1792" t="str">
        <f t="shared" si="111"/>
        <v>No Return</v>
      </c>
    </row>
    <row r="1793" spans="1:22" hidden="1" x14ac:dyDescent="0.3">
      <c r="A1793" t="s">
        <v>1846</v>
      </c>
      <c r="B1793" t="s">
        <v>38</v>
      </c>
      <c r="C1793" t="s">
        <v>48</v>
      </c>
      <c r="D1793" t="s">
        <v>62</v>
      </c>
      <c r="E1793" t="str">
        <f t="shared" si="108"/>
        <v>XXL</v>
      </c>
      <c r="F1793" t="s">
        <v>55</v>
      </c>
      <c r="G1793" t="s">
        <v>35</v>
      </c>
      <c r="H1793" s="8">
        <v>77.44</v>
      </c>
      <c r="I1793" s="3">
        <f t="shared" si="109"/>
        <v>1.3999999999999999E-2</v>
      </c>
      <c r="J1793" s="4">
        <v>1.4</v>
      </c>
      <c r="K1793" s="11">
        <f>Table1[[#This Row],[original_price]]* (Table1[[#This Row],[Markdown percentage updated]])</f>
        <v>1.0841599999999998</v>
      </c>
      <c r="L17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793" s="6">
        <v>76.36</v>
      </c>
      <c r="N17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793" s="7">
        <v>45875</v>
      </c>
      <c r="P1793">
        <v>18</v>
      </c>
      <c r="Q1793" s="16" t="str">
        <f>IF(Table1[[#This Row],[stock_quantity]]=0,"NO STOCK",
IF(Table1[[#This Row],[stock_quantity]]&lt;=10,"LOW STOCK",
"IN STOCK"))</f>
        <v>IN STOCK</v>
      </c>
      <c r="R1793" s="1">
        <f t="shared" si="110"/>
        <v>3.3</v>
      </c>
      <c r="S1793">
        <v>3.3</v>
      </c>
      <c r="T1793" t="b">
        <v>0</v>
      </c>
      <c r="U1793" t="str">
        <f t="shared" si="111"/>
        <v>No Return</v>
      </c>
    </row>
    <row r="1794" spans="1:22" hidden="1" x14ac:dyDescent="0.3">
      <c r="A1794" t="s">
        <v>1847</v>
      </c>
      <c r="B1794" t="s">
        <v>15</v>
      </c>
      <c r="C1794" t="s">
        <v>48</v>
      </c>
      <c r="D1794" t="s">
        <v>62</v>
      </c>
      <c r="E1794" t="str">
        <f t="shared" ref="E1794:E1857" si="112">IF(ISBLANK(F1797),"OS",F1797)</f>
        <v>XL</v>
      </c>
      <c r="F1794" t="s">
        <v>55</v>
      </c>
      <c r="G1794" t="s">
        <v>40</v>
      </c>
      <c r="H1794" s="8">
        <v>215.06</v>
      </c>
      <c r="I1794" s="3">
        <f t="shared" ref="I1794:I1857" si="113">J1794/100</f>
        <v>0</v>
      </c>
      <c r="J1794" s="4">
        <v>0</v>
      </c>
      <c r="K1794" s="11">
        <f>Table1[[#This Row],[original_price]]* (Table1[[#This Row],[Markdown percentage updated]])</f>
        <v>0</v>
      </c>
      <c r="L17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94" s="6">
        <v>215.06</v>
      </c>
      <c r="N17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94" s="7">
        <v>45875</v>
      </c>
      <c r="P1794">
        <v>50</v>
      </c>
      <c r="Q1794" s="16" t="str">
        <f>IF(Table1[[#This Row],[stock_quantity]]=0,"NO STOCK",
IF(Table1[[#This Row],[stock_quantity]]&lt;=10,"LOW STOCK",
"IN STOCK"))</f>
        <v>IN STOCK</v>
      </c>
      <c r="R1794" s="1">
        <f t="shared" si="110"/>
        <v>1.6</v>
      </c>
      <c r="S1794">
        <v>1.6</v>
      </c>
      <c r="T1794" t="b">
        <v>0</v>
      </c>
      <c r="U1794" t="str">
        <f t="shared" si="111"/>
        <v>No Return</v>
      </c>
    </row>
    <row r="1795" spans="1:22" hidden="1" x14ac:dyDescent="0.3">
      <c r="A1795" t="s">
        <v>1848</v>
      </c>
      <c r="B1795" t="s">
        <v>15</v>
      </c>
      <c r="C1795" t="s">
        <v>32</v>
      </c>
      <c r="D1795" t="s">
        <v>23</v>
      </c>
      <c r="E1795" t="str">
        <f t="shared" si="112"/>
        <v>XXL</v>
      </c>
      <c r="F1795" t="s">
        <v>55</v>
      </c>
      <c r="G1795" t="s">
        <v>40</v>
      </c>
      <c r="H1795" s="8">
        <v>141.44</v>
      </c>
      <c r="I1795" s="3">
        <f t="shared" si="113"/>
        <v>0</v>
      </c>
      <c r="J1795" s="4">
        <v>0</v>
      </c>
      <c r="K1795" s="11">
        <f>Table1[[#This Row],[original_price]]* (Table1[[#This Row],[Markdown percentage updated]])</f>
        <v>0</v>
      </c>
      <c r="L17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95" s="6">
        <v>141.44</v>
      </c>
      <c r="N17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95" s="7">
        <v>45875</v>
      </c>
      <c r="P1795">
        <v>34</v>
      </c>
      <c r="Q1795" s="16" t="str">
        <f>IF(Table1[[#This Row],[stock_quantity]]=0,"NO STOCK",
IF(Table1[[#This Row],[stock_quantity]]&lt;=10,"LOW STOCK",
"IN STOCK"))</f>
        <v>IN STOCK</v>
      </c>
      <c r="R1795" s="1">
        <f t="shared" ref="R1795:R1858" si="114">IF(ISBLANK(S1795), 0, S1795)</f>
        <v>2.4</v>
      </c>
      <c r="S1795">
        <v>2.4</v>
      </c>
      <c r="T1795" t="b">
        <v>0</v>
      </c>
      <c r="U1795" t="str">
        <f t="shared" ref="U1795:U1858" si="115">IF(V1795="","No Return",V1795)</f>
        <v>No Return</v>
      </c>
    </row>
    <row r="1796" spans="1:22" hidden="1" x14ac:dyDescent="0.3">
      <c r="A1796" t="s">
        <v>1849</v>
      </c>
      <c r="B1796" t="s">
        <v>42</v>
      </c>
      <c r="C1796" t="s">
        <v>53</v>
      </c>
      <c r="D1796" t="s">
        <v>17</v>
      </c>
      <c r="E1796" t="str">
        <f t="shared" si="112"/>
        <v>OS</v>
      </c>
      <c r="F1796" t="s">
        <v>49</v>
      </c>
      <c r="G1796" t="s">
        <v>35</v>
      </c>
      <c r="H1796" s="8">
        <v>151.83000000000001</v>
      </c>
      <c r="I1796" s="3">
        <f t="shared" si="113"/>
        <v>0</v>
      </c>
      <c r="J1796" s="4">
        <v>0</v>
      </c>
      <c r="K1796" s="11">
        <f>Table1[[#This Row],[original_price]]* (Table1[[#This Row],[Markdown percentage updated]])</f>
        <v>0</v>
      </c>
      <c r="L17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96" s="6">
        <v>151.83000000000001</v>
      </c>
      <c r="N17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96" s="7">
        <v>45825</v>
      </c>
      <c r="P1796">
        <v>24</v>
      </c>
      <c r="Q1796" s="16" t="str">
        <f>IF(Table1[[#This Row],[stock_quantity]]=0,"NO STOCK",
IF(Table1[[#This Row],[stock_quantity]]&lt;=10,"LOW STOCK",
"IN STOCK"))</f>
        <v>IN STOCK</v>
      </c>
      <c r="R1796" s="1">
        <f t="shared" si="114"/>
        <v>4.3</v>
      </c>
      <c r="S1796">
        <v>4.3</v>
      </c>
      <c r="T1796" t="b">
        <v>1</v>
      </c>
      <c r="U1796" s="13" t="str">
        <f t="shared" si="115"/>
        <v>Wrong Item</v>
      </c>
      <c r="V1796" t="s">
        <v>125</v>
      </c>
    </row>
    <row r="1797" spans="1:22" hidden="1" x14ac:dyDescent="0.3">
      <c r="A1797" t="s">
        <v>1850</v>
      </c>
      <c r="B1797" t="s">
        <v>15</v>
      </c>
      <c r="C1797" t="s">
        <v>61</v>
      </c>
      <c r="D1797" t="s">
        <v>23</v>
      </c>
      <c r="E1797" t="str">
        <f t="shared" si="112"/>
        <v>OS</v>
      </c>
      <c r="F1797" t="s">
        <v>18</v>
      </c>
      <c r="G1797" t="s">
        <v>40</v>
      </c>
      <c r="H1797" s="8">
        <v>140.07</v>
      </c>
      <c r="I1797" s="3">
        <f t="shared" si="113"/>
        <v>0</v>
      </c>
      <c r="J1797" s="4">
        <v>0</v>
      </c>
      <c r="K1797" s="11">
        <f>Table1[[#This Row],[original_price]]* (Table1[[#This Row],[Markdown percentage updated]])</f>
        <v>0</v>
      </c>
      <c r="L17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797" s="6">
        <v>140.07</v>
      </c>
      <c r="N17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797" s="7">
        <v>45875</v>
      </c>
      <c r="P1797">
        <v>23</v>
      </c>
      <c r="Q1797" s="16" t="str">
        <f>IF(Table1[[#This Row],[stock_quantity]]=0,"NO STOCK",
IF(Table1[[#This Row],[stock_quantity]]&lt;=10,"LOW STOCK",
"IN STOCK"))</f>
        <v>IN STOCK</v>
      </c>
      <c r="R1797" s="1">
        <f t="shared" si="114"/>
        <v>2.7</v>
      </c>
      <c r="S1797">
        <v>2.7</v>
      </c>
      <c r="T1797" t="b">
        <v>0</v>
      </c>
      <c r="U1797" t="str">
        <f t="shared" si="115"/>
        <v>No Return</v>
      </c>
    </row>
    <row r="1798" spans="1:22" hidden="1" x14ac:dyDescent="0.3">
      <c r="A1798" t="s">
        <v>1851</v>
      </c>
      <c r="B1798" t="s">
        <v>42</v>
      </c>
      <c r="C1798" t="s">
        <v>43</v>
      </c>
      <c r="D1798" t="s">
        <v>62</v>
      </c>
      <c r="E1798" t="str">
        <f t="shared" si="112"/>
        <v>XXL</v>
      </c>
      <c r="F1798" t="s">
        <v>49</v>
      </c>
      <c r="G1798" t="s">
        <v>25</v>
      </c>
      <c r="H1798" s="8">
        <v>94.26</v>
      </c>
      <c r="I1798" s="3">
        <f t="shared" si="113"/>
        <v>0.28899999999999998</v>
      </c>
      <c r="J1798" s="4">
        <v>28.9</v>
      </c>
      <c r="K1798" s="11">
        <f>Table1[[#This Row],[original_price]]* (Table1[[#This Row],[Markdown percentage updated]])</f>
        <v>27.241139999999998</v>
      </c>
      <c r="L17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798" s="6">
        <v>67.02</v>
      </c>
      <c r="N17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798" s="7">
        <v>45875</v>
      </c>
      <c r="P1798">
        <v>44</v>
      </c>
      <c r="Q1798" s="16" t="str">
        <f>IF(Table1[[#This Row],[stock_quantity]]=0,"NO STOCK",
IF(Table1[[#This Row],[stock_quantity]]&lt;=10,"LOW STOCK",
"IN STOCK"))</f>
        <v>IN STOCK</v>
      </c>
      <c r="R1798" s="1">
        <f t="shared" si="114"/>
        <v>3.6</v>
      </c>
      <c r="S1798">
        <v>3.6</v>
      </c>
      <c r="T1798" t="b">
        <v>0</v>
      </c>
      <c r="U1798" t="str">
        <f t="shared" si="115"/>
        <v>No Return</v>
      </c>
    </row>
    <row r="1799" spans="1:22" hidden="1" x14ac:dyDescent="0.3">
      <c r="A1799" t="s">
        <v>1852</v>
      </c>
      <c r="B1799" t="s">
        <v>27</v>
      </c>
      <c r="C1799" t="s">
        <v>53</v>
      </c>
      <c r="D1799" t="s">
        <v>23</v>
      </c>
      <c r="E1799" t="str">
        <f t="shared" si="112"/>
        <v>L</v>
      </c>
      <c r="G1799" t="s">
        <v>46</v>
      </c>
      <c r="H1799" s="8">
        <v>55.79</v>
      </c>
      <c r="I1799" s="3">
        <f t="shared" si="113"/>
        <v>0.27300000000000002</v>
      </c>
      <c r="J1799" s="4">
        <v>27.3</v>
      </c>
      <c r="K1799" s="11">
        <f>Table1[[#This Row],[original_price]]* (Table1[[#This Row],[Markdown percentage updated]])</f>
        <v>15.230670000000002</v>
      </c>
      <c r="L17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799" s="6">
        <v>40.56</v>
      </c>
      <c r="N17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799" s="7">
        <v>45875</v>
      </c>
      <c r="P1799">
        <v>39</v>
      </c>
      <c r="Q1799" s="16" t="str">
        <f>IF(Table1[[#This Row],[stock_quantity]]=0,"NO STOCK",
IF(Table1[[#This Row],[stock_quantity]]&lt;=10,"LOW STOCK",
"IN STOCK"))</f>
        <v>IN STOCK</v>
      </c>
      <c r="R1799" s="1">
        <f t="shared" si="114"/>
        <v>4.9000000000000004</v>
      </c>
      <c r="S1799">
        <v>4.9000000000000004</v>
      </c>
      <c r="T1799" t="b">
        <v>0</v>
      </c>
      <c r="U1799" t="str">
        <f t="shared" si="115"/>
        <v>No Return</v>
      </c>
    </row>
    <row r="1800" spans="1:22" hidden="1" x14ac:dyDescent="0.3">
      <c r="A1800" t="s">
        <v>1853</v>
      </c>
      <c r="B1800" t="s">
        <v>27</v>
      </c>
      <c r="C1800" t="s">
        <v>61</v>
      </c>
      <c r="D1800" t="s">
        <v>23</v>
      </c>
      <c r="E1800" t="str">
        <f t="shared" si="112"/>
        <v>L</v>
      </c>
      <c r="G1800" t="s">
        <v>28</v>
      </c>
      <c r="H1800" s="8">
        <v>58.99</v>
      </c>
      <c r="I1800" s="3">
        <f t="shared" si="113"/>
        <v>0</v>
      </c>
      <c r="J1800" s="4">
        <v>0</v>
      </c>
      <c r="K1800" s="11">
        <f>Table1[[#This Row],[original_price]]* (Table1[[#This Row],[Markdown percentage updated]])</f>
        <v>0</v>
      </c>
      <c r="L18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00" s="6">
        <v>58.99</v>
      </c>
      <c r="N18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00" s="7">
        <v>45875</v>
      </c>
      <c r="P1800">
        <v>50</v>
      </c>
      <c r="Q1800" s="16" t="str">
        <f>IF(Table1[[#This Row],[stock_quantity]]=0,"NO STOCK",
IF(Table1[[#This Row],[stock_quantity]]&lt;=10,"LOW STOCK",
"IN STOCK"))</f>
        <v>IN STOCK</v>
      </c>
      <c r="R1800" s="1">
        <f t="shared" si="114"/>
        <v>2.7</v>
      </c>
      <c r="S1800">
        <v>2.7</v>
      </c>
      <c r="T1800" t="b">
        <v>0</v>
      </c>
      <c r="U1800" t="str">
        <f t="shared" si="115"/>
        <v>No Return</v>
      </c>
    </row>
    <row r="1801" spans="1:22" hidden="1" x14ac:dyDescent="0.3">
      <c r="A1801" t="s">
        <v>1854</v>
      </c>
      <c r="B1801" t="s">
        <v>38</v>
      </c>
      <c r="C1801" t="s">
        <v>75</v>
      </c>
      <c r="D1801" t="s">
        <v>62</v>
      </c>
      <c r="E1801" t="str">
        <f t="shared" si="112"/>
        <v>XXL</v>
      </c>
      <c r="F1801" t="s">
        <v>49</v>
      </c>
      <c r="G1801" t="s">
        <v>66</v>
      </c>
      <c r="H1801" s="8">
        <v>61.96</v>
      </c>
      <c r="I1801" s="3">
        <f t="shared" si="113"/>
        <v>0</v>
      </c>
      <c r="J1801" s="4">
        <v>0</v>
      </c>
      <c r="K1801" s="11">
        <f>Table1[[#This Row],[original_price]]* (Table1[[#This Row],[Markdown percentage updated]])</f>
        <v>0</v>
      </c>
      <c r="L18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01" s="6">
        <v>61.96</v>
      </c>
      <c r="N18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01" s="7">
        <v>45875</v>
      </c>
      <c r="P1801">
        <v>13</v>
      </c>
      <c r="Q1801" s="16" t="str">
        <f>IF(Table1[[#This Row],[stock_quantity]]=0,"NO STOCK",
IF(Table1[[#This Row],[stock_quantity]]&lt;=10,"LOW STOCK",
"IN STOCK"))</f>
        <v>IN STOCK</v>
      </c>
      <c r="R1801" s="1">
        <f t="shared" si="114"/>
        <v>3.9</v>
      </c>
      <c r="S1801">
        <v>3.9</v>
      </c>
      <c r="T1801" t="b">
        <v>0</v>
      </c>
      <c r="U1801" t="str">
        <f t="shared" si="115"/>
        <v>No Return</v>
      </c>
    </row>
    <row r="1802" spans="1:22" hidden="1" x14ac:dyDescent="0.3">
      <c r="A1802" t="s">
        <v>1855</v>
      </c>
      <c r="B1802" t="s">
        <v>38</v>
      </c>
      <c r="C1802" t="s">
        <v>16</v>
      </c>
      <c r="D1802" t="s">
        <v>34</v>
      </c>
      <c r="E1802" t="str">
        <f t="shared" si="112"/>
        <v>XS</v>
      </c>
      <c r="F1802" t="s">
        <v>24</v>
      </c>
      <c r="G1802" t="s">
        <v>70</v>
      </c>
      <c r="H1802" s="8">
        <v>104.25</v>
      </c>
      <c r="I1802" s="3">
        <f t="shared" si="113"/>
        <v>0</v>
      </c>
      <c r="J1802" s="4">
        <v>0</v>
      </c>
      <c r="K1802" s="11">
        <f>Table1[[#This Row],[original_price]]* (Table1[[#This Row],[Markdown percentage updated]])</f>
        <v>0</v>
      </c>
      <c r="L18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02" s="6">
        <v>104.25</v>
      </c>
      <c r="N18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02" s="7">
        <v>45875</v>
      </c>
      <c r="P1802">
        <v>35</v>
      </c>
      <c r="Q1802" s="16" t="str">
        <f>IF(Table1[[#This Row],[stock_quantity]]=0,"NO STOCK",
IF(Table1[[#This Row],[stock_quantity]]&lt;=10,"LOW STOCK",
"IN STOCK"))</f>
        <v>IN STOCK</v>
      </c>
      <c r="R1802" s="1">
        <f t="shared" si="114"/>
        <v>3.1</v>
      </c>
      <c r="S1802">
        <v>3.1</v>
      </c>
      <c r="T1802" t="b">
        <v>0</v>
      </c>
      <c r="U1802" t="str">
        <f t="shared" si="115"/>
        <v>No Return</v>
      </c>
    </row>
    <row r="1803" spans="1:22" hidden="1" x14ac:dyDescent="0.3">
      <c r="A1803" t="s">
        <v>1856</v>
      </c>
      <c r="B1803" t="s">
        <v>15</v>
      </c>
      <c r="C1803" t="s">
        <v>48</v>
      </c>
      <c r="D1803" t="s">
        <v>23</v>
      </c>
      <c r="E1803" t="str">
        <f t="shared" si="112"/>
        <v>OS</v>
      </c>
      <c r="F1803" t="s">
        <v>24</v>
      </c>
      <c r="G1803" t="s">
        <v>40</v>
      </c>
      <c r="H1803" s="8">
        <v>102.68</v>
      </c>
      <c r="I1803" s="3">
        <f t="shared" si="113"/>
        <v>0</v>
      </c>
      <c r="J1803" s="4">
        <v>0</v>
      </c>
      <c r="K1803" s="11">
        <f>Table1[[#This Row],[original_price]]* (Table1[[#This Row],[Markdown percentage updated]])</f>
        <v>0</v>
      </c>
      <c r="L18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03" s="6">
        <v>102.68</v>
      </c>
      <c r="N18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03" s="7">
        <v>45875</v>
      </c>
      <c r="P1803">
        <v>18</v>
      </c>
      <c r="Q1803" s="16" t="str">
        <f>IF(Table1[[#This Row],[stock_quantity]]=0,"NO STOCK",
IF(Table1[[#This Row],[stock_quantity]]&lt;=10,"LOW STOCK",
"IN STOCK"))</f>
        <v>IN STOCK</v>
      </c>
      <c r="R1803" s="1">
        <f t="shared" si="114"/>
        <v>1.9</v>
      </c>
      <c r="S1803">
        <v>1.9</v>
      </c>
      <c r="T1803" t="b">
        <v>0</v>
      </c>
      <c r="U1803" t="str">
        <f t="shared" si="115"/>
        <v>No Return</v>
      </c>
    </row>
    <row r="1804" spans="1:22" hidden="1" x14ac:dyDescent="0.3">
      <c r="A1804" t="s">
        <v>1857</v>
      </c>
      <c r="B1804" t="s">
        <v>42</v>
      </c>
      <c r="C1804" t="s">
        <v>61</v>
      </c>
      <c r="D1804" t="s">
        <v>23</v>
      </c>
      <c r="E1804" t="str">
        <f t="shared" si="112"/>
        <v>L</v>
      </c>
      <c r="F1804" t="s">
        <v>49</v>
      </c>
      <c r="G1804" t="s">
        <v>56</v>
      </c>
      <c r="H1804" s="8">
        <v>131.05000000000001</v>
      </c>
      <c r="I1804" s="3">
        <f t="shared" si="113"/>
        <v>0.32600000000000001</v>
      </c>
      <c r="J1804" s="4">
        <v>32.6</v>
      </c>
      <c r="K1804" s="11">
        <f>Table1[[#This Row],[original_price]]* (Table1[[#This Row],[Markdown percentage updated]])</f>
        <v>42.722300000000004</v>
      </c>
      <c r="L18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04" s="6">
        <v>88.33</v>
      </c>
      <c r="N18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04" s="7">
        <v>45875</v>
      </c>
      <c r="P1804">
        <v>9</v>
      </c>
      <c r="Q1804" s="17" t="str">
        <f>IF(Table1[[#This Row],[stock_quantity]]=0,"NO STOCK",
IF(Table1[[#This Row],[stock_quantity]]&lt;=10,"LOW STOCK",
"IN STOCK"))</f>
        <v>LOW STOCK</v>
      </c>
      <c r="R1804" s="1">
        <f t="shared" si="114"/>
        <v>0</v>
      </c>
      <c r="T1804" t="b">
        <v>0</v>
      </c>
      <c r="U1804" t="str">
        <f t="shared" si="115"/>
        <v>No Return</v>
      </c>
    </row>
    <row r="1805" spans="1:22" x14ac:dyDescent="0.3">
      <c r="A1805" t="s">
        <v>1858</v>
      </c>
      <c r="B1805" t="s">
        <v>15</v>
      </c>
      <c r="C1805" t="s">
        <v>32</v>
      </c>
      <c r="D1805" t="s">
        <v>17</v>
      </c>
      <c r="E1805" t="str">
        <f t="shared" si="112"/>
        <v>OS</v>
      </c>
      <c r="F1805" t="s">
        <v>55</v>
      </c>
      <c r="G1805" t="s">
        <v>64</v>
      </c>
      <c r="H1805" s="8">
        <v>139.72999999999999</v>
      </c>
      <c r="I1805" s="3">
        <f t="shared" si="113"/>
        <v>0.54299999999999993</v>
      </c>
      <c r="J1805" s="4">
        <v>54.3</v>
      </c>
      <c r="K1805" s="11">
        <f>Table1[[#This Row],[original_price]]* (Table1[[#This Row],[Markdown percentage updated]])</f>
        <v>75.873389999999986</v>
      </c>
      <c r="L18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05" s="6">
        <v>63.86</v>
      </c>
      <c r="N18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05" s="7">
        <v>45743</v>
      </c>
      <c r="P1805">
        <v>38</v>
      </c>
      <c r="Q1805" s="16" t="str">
        <f>IF(Table1[[#This Row],[stock_quantity]]=0,"NO STOCK",
IF(Table1[[#This Row],[stock_quantity]]&lt;=10,"LOW STOCK",
"IN STOCK"))</f>
        <v>IN STOCK</v>
      </c>
      <c r="R1805" s="1">
        <f t="shared" si="114"/>
        <v>0</v>
      </c>
      <c r="T1805" t="b">
        <v>1</v>
      </c>
      <c r="U1805" s="13" t="str">
        <f t="shared" si="115"/>
        <v>Changed Mind</v>
      </c>
      <c r="V1805" t="s">
        <v>115</v>
      </c>
    </row>
    <row r="1806" spans="1:22" hidden="1" x14ac:dyDescent="0.3">
      <c r="A1806" t="s">
        <v>1859</v>
      </c>
      <c r="B1806" t="s">
        <v>27</v>
      </c>
      <c r="C1806" t="s">
        <v>75</v>
      </c>
      <c r="D1806" t="s">
        <v>23</v>
      </c>
      <c r="E1806" t="str">
        <f t="shared" si="112"/>
        <v>OS</v>
      </c>
      <c r="G1806" t="s">
        <v>64</v>
      </c>
      <c r="H1806" s="8">
        <v>17.59</v>
      </c>
      <c r="I1806" s="3">
        <f t="shared" si="113"/>
        <v>0</v>
      </c>
      <c r="J1806" s="4">
        <v>0</v>
      </c>
      <c r="K1806" s="11">
        <f>Table1[[#This Row],[original_price]]* (Table1[[#This Row],[Markdown percentage updated]])</f>
        <v>0</v>
      </c>
      <c r="L18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06" s="6">
        <v>17.59</v>
      </c>
      <c r="N18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06" s="7">
        <v>45875</v>
      </c>
      <c r="P1806">
        <v>14</v>
      </c>
      <c r="Q1806" s="16" t="str">
        <f>IF(Table1[[#This Row],[stock_quantity]]=0,"NO STOCK",
IF(Table1[[#This Row],[stock_quantity]]&lt;=10,"LOW STOCK",
"IN STOCK"))</f>
        <v>IN STOCK</v>
      </c>
      <c r="R1806" s="1">
        <f t="shared" si="114"/>
        <v>0</v>
      </c>
      <c r="T1806" t="b">
        <v>0</v>
      </c>
      <c r="U1806" t="str">
        <f t="shared" si="115"/>
        <v>No Return</v>
      </c>
    </row>
    <row r="1807" spans="1:22" hidden="1" x14ac:dyDescent="0.3">
      <c r="A1807" t="s">
        <v>1860</v>
      </c>
      <c r="B1807" t="s">
        <v>30</v>
      </c>
      <c r="C1807" t="s">
        <v>16</v>
      </c>
      <c r="D1807" t="s">
        <v>34</v>
      </c>
      <c r="E1807" t="str">
        <f t="shared" si="112"/>
        <v>L</v>
      </c>
      <c r="F1807" t="s">
        <v>24</v>
      </c>
      <c r="G1807" t="s">
        <v>19</v>
      </c>
      <c r="H1807" s="8">
        <v>115.09</v>
      </c>
      <c r="I1807" s="3">
        <f t="shared" si="113"/>
        <v>0</v>
      </c>
      <c r="J1807" s="4">
        <v>0</v>
      </c>
      <c r="K1807" s="11">
        <f>Table1[[#This Row],[original_price]]* (Table1[[#This Row],[Markdown percentage updated]])</f>
        <v>0</v>
      </c>
      <c r="L18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07" s="6">
        <v>115.09</v>
      </c>
      <c r="N18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07" s="7">
        <v>45875</v>
      </c>
      <c r="P1807">
        <v>10</v>
      </c>
      <c r="Q1807" s="17" t="str">
        <f>IF(Table1[[#This Row],[stock_quantity]]=0,"NO STOCK",
IF(Table1[[#This Row],[stock_quantity]]&lt;=10,"LOW STOCK",
"IN STOCK"))</f>
        <v>LOW STOCK</v>
      </c>
      <c r="R1807" s="1">
        <f t="shared" si="114"/>
        <v>2.5</v>
      </c>
      <c r="S1807">
        <v>2.5</v>
      </c>
      <c r="T1807" t="b">
        <v>0</v>
      </c>
      <c r="U1807" t="str">
        <f t="shared" si="115"/>
        <v>No Return</v>
      </c>
    </row>
    <row r="1808" spans="1:22" hidden="1" x14ac:dyDescent="0.3">
      <c r="A1808" t="s">
        <v>1861</v>
      </c>
      <c r="B1808" t="s">
        <v>27</v>
      </c>
      <c r="C1808" t="s">
        <v>16</v>
      </c>
      <c r="D1808" t="s">
        <v>62</v>
      </c>
      <c r="E1808" t="str">
        <f t="shared" si="112"/>
        <v>OS</v>
      </c>
      <c r="G1808" t="s">
        <v>28</v>
      </c>
      <c r="H1808" s="8">
        <v>73.75</v>
      </c>
      <c r="I1808" s="3">
        <f t="shared" si="113"/>
        <v>0</v>
      </c>
      <c r="J1808" s="4">
        <v>0</v>
      </c>
      <c r="K1808" s="11">
        <f>Table1[[#This Row],[original_price]]* (Table1[[#This Row],[Markdown percentage updated]])</f>
        <v>0</v>
      </c>
      <c r="L18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08" s="6">
        <v>73.75</v>
      </c>
      <c r="N18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08" s="7">
        <v>45875</v>
      </c>
      <c r="P1808">
        <v>23</v>
      </c>
      <c r="Q1808" s="16" t="str">
        <f>IF(Table1[[#This Row],[stock_quantity]]=0,"NO STOCK",
IF(Table1[[#This Row],[stock_quantity]]&lt;=10,"LOW STOCK",
"IN STOCK"))</f>
        <v>IN STOCK</v>
      </c>
      <c r="R1808" s="1">
        <f t="shared" si="114"/>
        <v>4.5</v>
      </c>
      <c r="S1808">
        <v>4.5</v>
      </c>
      <c r="T1808" t="b">
        <v>0</v>
      </c>
      <c r="U1808" t="str">
        <f t="shared" si="115"/>
        <v>No Return</v>
      </c>
    </row>
    <row r="1809" spans="1:22" hidden="1" x14ac:dyDescent="0.3">
      <c r="A1809" t="s">
        <v>1862</v>
      </c>
      <c r="B1809" t="s">
        <v>27</v>
      </c>
      <c r="C1809" t="s">
        <v>53</v>
      </c>
      <c r="D1809" t="s">
        <v>23</v>
      </c>
      <c r="E1809" t="str">
        <f t="shared" si="112"/>
        <v>OS</v>
      </c>
      <c r="G1809" t="s">
        <v>64</v>
      </c>
      <c r="H1809" s="8">
        <v>66.77</v>
      </c>
      <c r="I1809" s="3">
        <f t="shared" si="113"/>
        <v>0</v>
      </c>
      <c r="J1809" s="4">
        <v>0</v>
      </c>
      <c r="K1809" s="11">
        <f>Table1[[#This Row],[original_price]]* (Table1[[#This Row],[Markdown percentage updated]])</f>
        <v>0</v>
      </c>
      <c r="L18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09" s="6">
        <v>66.77</v>
      </c>
      <c r="N18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09" s="7">
        <v>45875</v>
      </c>
      <c r="P1809">
        <v>28</v>
      </c>
      <c r="Q1809" s="16" t="str">
        <f>IF(Table1[[#This Row],[stock_quantity]]=0,"NO STOCK",
IF(Table1[[#This Row],[stock_quantity]]&lt;=10,"LOW STOCK",
"IN STOCK"))</f>
        <v>IN STOCK</v>
      </c>
      <c r="R1809" s="1">
        <f t="shared" si="114"/>
        <v>5</v>
      </c>
      <c r="S1809">
        <v>5</v>
      </c>
      <c r="T1809" t="b">
        <v>1</v>
      </c>
      <c r="U1809" s="13" t="str">
        <f t="shared" si="115"/>
        <v>Size Issue</v>
      </c>
      <c r="V1809" t="s">
        <v>73</v>
      </c>
    </row>
    <row r="1810" spans="1:22" hidden="1" x14ac:dyDescent="0.3">
      <c r="A1810" t="s">
        <v>1863</v>
      </c>
      <c r="B1810" t="s">
        <v>21</v>
      </c>
      <c r="C1810" t="s">
        <v>48</v>
      </c>
      <c r="D1810" t="s">
        <v>34</v>
      </c>
      <c r="E1810" t="str">
        <f t="shared" si="112"/>
        <v>S</v>
      </c>
      <c r="F1810" t="s">
        <v>24</v>
      </c>
      <c r="G1810" t="s">
        <v>35</v>
      </c>
      <c r="H1810" s="8">
        <v>63.92</v>
      </c>
      <c r="I1810" s="3">
        <f t="shared" si="113"/>
        <v>0</v>
      </c>
      <c r="J1810" s="4">
        <v>0</v>
      </c>
      <c r="K1810" s="11">
        <f>Table1[[#This Row],[original_price]]* (Table1[[#This Row],[Markdown percentage updated]])</f>
        <v>0</v>
      </c>
      <c r="L18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10" s="6">
        <v>63.92</v>
      </c>
      <c r="N18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10" s="7">
        <v>45875</v>
      </c>
      <c r="P1810">
        <v>10</v>
      </c>
      <c r="Q1810" s="17" t="str">
        <f>IF(Table1[[#This Row],[stock_quantity]]=0,"NO STOCK",
IF(Table1[[#This Row],[stock_quantity]]&lt;=10,"LOW STOCK",
"IN STOCK"))</f>
        <v>LOW STOCK</v>
      </c>
      <c r="R1810" s="1">
        <f t="shared" si="114"/>
        <v>4.4000000000000004</v>
      </c>
      <c r="S1810">
        <v>4.4000000000000004</v>
      </c>
      <c r="T1810" t="b">
        <v>0</v>
      </c>
      <c r="U1810" t="str">
        <f t="shared" si="115"/>
        <v>No Return</v>
      </c>
    </row>
    <row r="1811" spans="1:22" hidden="1" x14ac:dyDescent="0.3">
      <c r="A1811" t="s">
        <v>1864</v>
      </c>
      <c r="B1811" t="s">
        <v>27</v>
      </c>
      <c r="C1811" t="s">
        <v>48</v>
      </c>
      <c r="D1811" t="s">
        <v>34</v>
      </c>
      <c r="E1811" t="str">
        <f t="shared" si="112"/>
        <v>XL</v>
      </c>
      <c r="G1811" t="s">
        <v>46</v>
      </c>
      <c r="H1811" s="8">
        <v>26.26</v>
      </c>
      <c r="I1811" s="3">
        <f t="shared" si="113"/>
        <v>0</v>
      </c>
      <c r="J1811" s="4">
        <v>0</v>
      </c>
      <c r="K1811" s="11">
        <f>Table1[[#This Row],[original_price]]* (Table1[[#This Row],[Markdown percentage updated]])</f>
        <v>0</v>
      </c>
      <c r="L18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11" s="6">
        <v>26.26</v>
      </c>
      <c r="N18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11" s="7">
        <v>45875</v>
      </c>
      <c r="P1811">
        <v>27</v>
      </c>
      <c r="Q1811" s="16" t="str">
        <f>IF(Table1[[#This Row],[stock_quantity]]=0,"NO STOCK",
IF(Table1[[#This Row],[stock_quantity]]&lt;=10,"LOW STOCK",
"IN STOCK"))</f>
        <v>IN STOCK</v>
      </c>
      <c r="R1811" s="1">
        <f t="shared" si="114"/>
        <v>0</v>
      </c>
      <c r="T1811" t="b">
        <v>0</v>
      </c>
      <c r="U1811" t="str">
        <f t="shared" si="115"/>
        <v>No Return</v>
      </c>
    </row>
    <row r="1812" spans="1:22" hidden="1" x14ac:dyDescent="0.3">
      <c r="A1812" t="s">
        <v>1865</v>
      </c>
      <c r="B1812" t="s">
        <v>27</v>
      </c>
      <c r="C1812" t="s">
        <v>48</v>
      </c>
      <c r="D1812" t="s">
        <v>17</v>
      </c>
      <c r="E1812" t="str">
        <f t="shared" si="112"/>
        <v>XXL</v>
      </c>
      <c r="G1812" t="s">
        <v>35</v>
      </c>
      <c r="H1812" s="8">
        <v>62.58</v>
      </c>
      <c r="I1812" s="3">
        <f t="shared" si="113"/>
        <v>8.8000000000000009E-2</v>
      </c>
      <c r="J1812" s="4">
        <v>8.8000000000000007</v>
      </c>
      <c r="K1812" s="11">
        <f>Table1[[#This Row],[original_price]]* (Table1[[#This Row],[Markdown percentage updated]])</f>
        <v>5.5070400000000008</v>
      </c>
      <c r="L18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12" s="6">
        <v>57.07</v>
      </c>
      <c r="N18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12" s="7">
        <v>45602</v>
      </c>
      <c r="P1812">
        <v>1</v>
      </c>
      <c r="Q1812" s="17" t="str">
        <f>IF(Table1[[#This Row],[stock_quantity]]=0,"NO STOCK",
IF(Table1[[#This Row],[stock_quantity]]&lt;=10,"LOW STOCK",
"IN STOCK"))</f>
        <v>LOW STOCK</v>
      </c>
      <c r="R1812" s="1">
        <f t="shared" si="114"/>
        <v>1.7</v>
      </c>
      <c r="S1812">
        <v>1.7</v>
      </c>
      <c r="T1812" t="b">
        <v>0</v>
      </c>
      <c r="U1812" t="str">
        <f t="shared" si="115"/>
        <v>No Return</v>
      </c>
    </row>
    <row r="1813" spans="1:22" hidden="1" x14ac:dyDescent="0.3">
      <c r="A1813" t="s">
        <v>1866</v>
      </c>
      <c r="B1813" t="s">
        <v>30</v>
      </c>
      <c r="C1813" t="s">
        <v>32</v>
      </c>
      <c r="D1813" t="s">
        <v>62</v>
      </c>
      <c r="E1813" t="str">
        <f t="shared" si="112"/>
        <v>L</v>
      </c>
      <c r="F1813" t="s">
        <v>39</v>
      </c>
      <c r="G1813" t="s">
        <v>46</v>
      </c>
      <c r="H1813" s="8">
        <v>143.88</v>
      </c>
      <c r="I1813" s="3">
        <f t="shared" si="113"/>
        <v>0</v>
      </c>
      <c r="J1813" s="4">
        <v>0</v>
      </c>
      <c r="K1813" s="11">
        <f>Table1[[#This Row],[original_price]]* (Table1[[#This Row],[Markdown percentage updated]])</f>
        <v>0</v>
      </c>
      <c r="L18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13" s="6">
        <v>143.88</v>
      </c>
      <c r="N18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13" s="7">
        <v>45875</v>
      </c>
      <c r="P1813">
        <v>1</v>
      </c>
      <c r="Q1813" s="17" t="str">
        <f>IF(Table1[[#This Row],[stock_quantity]]=0,"NO STOCK",
IF(Table1[[#This Row],[stock_quantity]]&lt;=10,"LOW STOCK",
"IN STOCK"))</f>
        <v>LOW STOCK</v>
      </c>
      <c r="R1813" s="1">
        <f t="shared" si="114"/>
        <v>3.1</v>
      </c>
      <c r="S1813">
        <v>3.1</v>
      </c>
      <c r="T1813" t="b">
        <v>0</v>
      </c>
      <c r="U1813" t="str">
        <f t="shared" si="115"/>
        <v>No Return</v>
      </c>
    </row>
    <row r="1814" spans="1:22" hidden="1" x14ac:dyDescent="0.3">
      <c r="A1814" t="s">
        <v>1867</v>
      </c>
      <c r="B1814" t="s">
        <v>15</v>
      </c>
      <c r="C1814" t="s">
        <v>16</v>
      </c>
      <c r="D1814" t="s">
        <v>17</v>
      </c>
      <c r="E1814" t="str">
        <f t="shared" si="112"/>
        <v>OS</v>
      </c>
      <c r="F1814" t="s">
        <v>18</v>
      </c>
      <c r="G1814" t="s">
        <v>44</v>
      </c>
      <c r="H1814" s="8">
        <v>226.24</v>
      </c>
      <c r="I1814" s="3">
        <f t="shared" si="113"/>
        <v>1.2E-2</v>
      </c>
      <c r="J1814" s="4">
        <v>1.2</v>
      </c>
      <c r="K1814" s="11">
        <f>Table1[[#This Row],[original_price]]* (Table1[[#This Row],[Markdown percentage updated]])</f>
        <v>2.71488</v>
      </c>
      <c r="L18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14" s="6">
        <v>223.53</v>
      </c>
      <c r="N18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14" s="7">
        <v>45708</v>
      </c>
      <c r="P1814">
        <v>24</v>
      </c>
      <c r="Q1814" s="16" t="str">
        <f>IF(Table1[[#This Row],[stock_quantity]]=0,"NO STOCK",
IF(Table1[[#This Row],[stock_quantity]]&lt;=10,"LOW STOCK",
"IN STOCK"))</f>
        <v>IN STOCK</v>
      </c>
      <c r="R1814" s="1">
        <f t="shared" si="114"/>
        <v>4.5</v>
      </c>
      <c r="S1814">
        <v>4.5</v>
      </c>
      <c r="T1814" t="b">
        <v>0</v>
      </c>
      <c r="U1814" t="str">
        <f t="shared" si="115"/>
        <v>No Return</v>
      </c>
    </row>
    <row r="1815" spans="1:22" hidden="1" x14ac:dyDescent="0.3">
      <c r="A1815" t="s">
        <v>1868</v>
      </c>
      <c r="B1815" t="s">
        <v>30</v>
      </c>
      <c r="C1815" t="s">
        <v>61</v>
      </c>
      <c r="D1815" t="s">
        <v>17</v>
      </c>
      <c r="E1815" t="str">
        <f t="shared" si="112"/>
        <v>L</v>
      </c>
      <c r="F1815" t="s">
        <v>49</v>
      </c>
      <c r="G1815" t="s">
        <v>28</v>
      </c>
      <c r="H1815" s="8">
        <v>164.75</v>
      </c>
      <c r="I1815" s="3">
        <f t="shared" si="113"/>
        <v>0</v>
      </c>
      <c r="J1815" s="4">
        <v>0</v>
      </c>
      <c r="K1815" s="11">
        <f>Table1[[#This Row],[original_price]]* (Table1[[#This Row],[Markdown percentage updated]])</f>
        <v>0</v>
      </c>
      <c r="L18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15" s="6">
        <v>164.75</v>
      </c>
      <c r="N18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15" s="7">
        <v>45779</v>
      </c>
      <c r="P1815">
        <v>8</v>
      </c>
      <c r="Q1815" s="17" t="str">
        <f>IF(Table1[[#This Row],[stock_quantity]]=0,"NO STOCK",
IF(Table1[[#This Row],[stock_quantity]]&lt;=10,"LOW STOCK",
"IN STOCK"))</f>
        <v>LOW STOCK</v>
      </c>
      <c r="R1815" s="1">
        <f t="shared" si="114"/>
        <v>3.7</v>
      </c>
      <c r="S1815">
        <v>3.7</v>
      </c>
      <c r="T1815" t="b">
        <v>0</v>
      </c>
      <c r="U1815" t="str">
        <f t="shared" si="115"/>
        <v>No Return</v>
      </c>
    </row>
    <row r="1816" spans="1:22" hidden="1" x14ac:dyDescent="0.3">
      <c r="A1816" t="s">
        <v>1869</v>
      </c>
      <c r="B1816" t="s">
        <v>38</v>
      </c>
      <c r="C1816" t="s">
        <v>16</v>
      </c>
      <c r="D1816" t="s">
        <v>62</v>
      </c>
      <c r="E1816" t="str">
        <f t="shared" si="112"/>
        <v>XXL</v>
      </c>
      <c r="F1816" t="s">
        <v>24</v>
      </c>
      <c r="G1816" t="s">
        <v>64</v>
      </c>
      <c r="H1816" s="8">
        <v>56.14</v>
      </c>
      <c r="I1816" s="3">
        <f t="shared" si="113"/>
        <v>0</v>
      </c>
      <c r="J1816" s="4">
        <v>0</v>
      </c>
      <c r="K1816" s="11">
        <f>Table1[[#This Row],[original_price]]* (Table1[[#This Row],[Markdown percentage updated]])</f>
        <v>0</v>
      </c>
      <c r="L18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16" s="6">
        <v>56.14</v>
      </c>
      <c r="N18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16" s="7">
        <v>45875</v>
      </c>
      <c r="P1816">
        <v>16</v>
      </c>
      <c r="Q1816" s="16" t="str">
        <f>IF(Table1[[#This Row],[stock_quantity]]=0,"NO STOCK",
IF(Table1[[#This Row],[stock_quantity]]&lt;=10,"LOW STOCK",
"IN STOCK"))</f>
        <v>IN STOCK</v>
      </c>
      <c r="R1816" s="1">
        <f t="shared" si="114"/>
        <v>4.3</v>
      </c>
      <c r="S1816">
        <v>4.3</v>
      </c>
      <c r="T1816" t="b">
        <v>0</v>
      </c>
      <c r="U1816" t="str">
        <f t="shared" si="115"/>
        <v>No Return</v>
      </c>
    </row>
    <row r="1817" spans="1:22" hidden="1" x14ac:dyDescent="0.3">
      <c r="A1817" t="s">
        <v>1870</v>
      </c>
      <c r="B1817" t="s">
        <v>27</v>
      </c>
      <c r="C1817" t="s">
        <v>48</v>
      </c>
      <c r="D1817" t="s">
        <v>23</v>
      </c>
      <c r="E1817" t="str">
        <f t="shared" si="112"/>
        <v>XL</v>
      </c>
      <c r="G1817" t="s">
        <v>19</v>
      </c>
      <c r="H1817" s="8">
        <v>39.96</v>
      </c>
      <c r="I1817" s="3">
        <f t="shared" si="113"/>
        <v>0</v>
      </c>
      <c r="J1817" s="4">
        <v>0</v>
      </c>
      <c r="K1817" s="11">
        <f>Table1[[#This Row],[original_price]]* (Table1[[#This Row],[Markdown percentage updated]])</f>
        <v>0</v>
      </c>
      <c r="L18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17" s="6">
        <v>39.96</v>
      </c>
      <c r="N18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17" s="7">
        <v>45875</v>
      </c>
      <c r="P1817">
        <v>49</v>
      </c>
      <c r="Q1817" s="16" t="str">
        <f>IF(Table1[[#This Row],[stock_quantity]]=0,"NO STOCK",
IF(Table1[[#This Row],[stock_quantity]]&lt;=10,"LOW STOCK",
"IN STOCK"))</f>
        <v>IN STOCK</v>
      </c>
      <c r="R1817" s="1">
        <f t="shared" si="114"/>
        <v>0</v>
      </c>
      <c r="T1817" t="b">
        <v>0</v>
      </c>
      <c r="U1817" t="str">
        <f t="shared" si="115"/>
        <v>No Return</v>
      </c>
    </row>
    <row r="1818" spans="1:22" hidden="1" x14ac:dyDescent="0.3">
      <c r="A1818" t="s">
        <v>1871</v>
      </c>
      <c r="B1818" t="s">
        <v>38</v>
      </c>
      <c r="C1818" t="s">
        <v>53</v>
      </c>
      <c r="D1818" t="s">
        <v>62</v>
      </c>
      <c r="E1818" t="str">
        <f t="shared" si="112"/>
        <v>S</v>
      </c>
      <c r="F1818" t="s">
        <v>24</v>
      </c>
      <c r="G1818" t="s">
        <v>64</v>
      </c>
      <c r="H1818" s="8">
        <v>26.5</v>
      </c>
      <c r="I1818" s="3">
        <f t="shared" si="113"/>
        <v>0.57899999999999996</v>
      </c>
      <c r="J1818" s="4">
        <v>57.9</v>
      </c>
      <c r="K1818" s="11">
        <f>Table1[[#This Row],[original_price]]* (Table1[[#This Row],[Markdown percentage updated]])</f>
        <v>15.343499999999999</v>
      </c>
      <c r="L18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18" s="6">
        <v>11.16</v>
      </c>
      <c r="N18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818" s="7">
        <v>45875</v>
      </c>
      <c r="P1818">
        <v>8</v>
      </c>
      <c r="Q1818" s="17" t="str">
        <f>IF(Table1[[#This Row],[stock_quantity]]=0,"NO STOCK",
IF(Table1[[#This Row],[stock_quantity]]&lt;=10,"LOW STOCK",
"IN STOCK"))</f>
        <v>LOW STOCK</v>
      </c>
      <c r="R1818" s="1">
        <f t="shared" si="114"/>
        <v>1.7</v>
      </c>
      <c r="S1818">
        <v>1.7</v>
      </c>
      <c r="T1818" t="b">
        <v>0</v>
      </c>
      <c r="U1818" t="str">
        <f t="shared" si="115"/>
        <v>No Return</v>
      </c>
    </row>
    <row r="1819" spans="1:22" hidden="1" x14ac:dyDescent="0.3">
      <c r="A1819" t="s">
        <v>1872</v>
      </c>
      <c r="B1819" t="s">
        <v>30</v>
      </c>
      <c r="C1819" t="s">
        <v>48</v>
      </c>
      <c r="D1819" t="s">
        <v>17</v>
      </c>
      <c r="E1819" t="str">
        <f t="shared" si="112"/>
        <v>XS</v>
      </c>
      <c r="F1819" t="s">
        <v>49</v>
      </c>
      <c r="G1819" t="s">
        <v>70</v>
      </c>
      <c r="H1819" s="8">
        <v>118.53</v>
      </c>
      <c r="I1819" s="3">
        <f t="shared" si="113"/>
        <v>0.55000000000000004</v>
      </c>
      <c r="J1819" s="4">
        <v>55</v>
      </c>
      <c r="K1819" s="11">
        <f>Table1[[#This Row],[original_price]]* (Table1[[#This Row],[Markdown percentage updated]])</f>
        <v>65.191500000000005</v>
      </c>
      <c r="L18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19" s="6">
        <v>53.34</v>
      </c>
      <c r="N18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19" s="7">
        <v>45772</v>
      </c>
      <c r="P1819">
        <v>2</v>
      </c>
      <c r="Q1819" s="17" t="str">
        <f>IF(Table1[[#This Row],[stock_quantity]]=0,"NO STOCK",
IF(Table1[[#This Row],[stock_quantity]]&lt;=10,"LOW STOCK",
"IN STOCK"))</f>
        <v>LOW STOCK</v>
      </c>
      <c r="R1819" s="1">
        <f t="shared" si="114"/>
        <v>4.9000000000000004</v>
      </c>
      <c r="S1819">
        <v>4.9000000000000004</v>
      </c>
      <c r="T1819" t="b">
        <v>0</v>
      </c>
      <c r="U1819" t="str">
        <f t="shared" si="115"/>
        <v>No Return</v>
      </c>
    </row>
    <row r="1820" spans="1:22" hidden="1" x14ac:dyDescent="0.3">
      <c r="A1820" t="s">
        <v>1873</v>
      </c>
      <c r="B1820" t="s">
        <v>42</v>
      </c>
      <c r="C1820" t="s">
        <v>43</v>
      </c>
      <c r="D1820" t="s">
        <v>62</v>
      </c>
      <c r="E1820" t="str">
        <f t="shared" si="112"/>
        <v>S</v>
      </c>
      <c r="F1820" t="s">
        <v>18</v>
      </c>
      <c r="G1820" t="s">
        <v>66</v>
      </c>
      <c r="H1820" s="8">
        <v>58.08</v>
      </c>
      <c r="I1820" s="3">
        <f t="shared" si="113"/>
        <v>0</v>
      </c>
      <c r="J1820" s="4">
        <v>0</v>
      </c>
      <c r="K1820" s="11">
        <f>Table1[[#This Row],[original_price]]* (Table1[[#This Row],[Markdown percentage updated]])</f>
        <v>0</v>
      </c>
      <c r="L18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20" s="6">
        <v>58.08</v>
      </c>
      <c r="N18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20" s="7">
        <v>45875</v>
      </c>
      <c r="P1820">
        <v>42</v>
      </c>
      <c r="Q1820" s="16" t="str">
        <f>IF(Table1[[#This Row],[stock_quantity]]=0,"NO STOCK",
IF(Table1[[#This Row],[stock_quantity]]&lt;=10,"LOW STOCK",
"IN STOCK"))</f>
        <v>IN STOCK</v>
      </c>
      <c r="R1820" s="1">
        <f t="shared" si="114"/>
        <v>1.6</v>
      </c>
      <c r="S1820">
        <v>1.6</v>
      </c>
      <c r="T1820" t="b">
        <v>0</v>
      </c>
      <c r="U1820" t="str">
        <f t="shared" si="115"/>
        <v>No Return</v>
      </c>
    </row>
    <row r="1821" spans="1:22" hidden="1" x14ac:dyDescent="0.3">
      <c r="A1821" t="s">
        <v>1874</v>
      </c>
      <c r="B1821" t="s">
        <v>30</v>
      </c>
      <c r="C1821" t="s">
        <v>48</v>
      </c>
      <c r="D1821" t="s">
        <v>62</v>
      </c>
      <c r="E1821" t="str">
        <f t="shared" si="112"/>
        <v>XXL</v>
      </c>
      <c r="F1821" t="s">
        <v>39</v>
      </c>
      <c r="G1821" t="s">
        <v>64</v>
      </c>
      <c r="H1821" s="8">
        <v>138.85</v>
      </c>
      <c r="I1821" s="3">
        <f t="shared" si="113"/>
        <v>0.15</v>
      </c>
      <c r="J1821" s="4">
        <v>15</v>
      </c>
      <c r="K1821" s="11">
        <f>Table1[[#This Row],[original_price]]* (Table1[[#This Row],[Markdown percentage updated]])</f>
        <v>20.827499999999997</v>
      </c>
      <c r="L18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21" s="6">
        <v>118.02</v>
      </c>
      <c r="N18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21" s="7">
        <v>45875</v>
      </c>
      <c r="P1821">
        <v>17</v>
      </c>
      <c r="Q1821" s="16" t="str">
        <f>IF(Table1[[#This Row],[stock_quantity]]=0,"NO STOCK",
IF(Table1[[#This Row],[stock_quantity]]&lt;=10,"LOW STOCK",
"IN STOCK"))</f>
        <v>IN STOCK</v>
      </c>
      <c r="R1821" s="1">
        <f t="shared" si="114"/>
        <v>0</v>
      </c>
      <c r="T1821" t="b">
        <v>0</v>
      </c>
      <c r="U1821" t="str">
        <f t="shared" si="115"/>
        <v>No Return</v>
      </c>
    </row>
    <row r="1822" spans="1:22" x14ac:dyDescent="0.3">
      <c r="A1822" t="s">
        <v>1875</v>
      </c>
      <c r="B1822" t="s">
        <v>38</v>
      </c>
      <c r="C1822" t="s">
        <v>32</v>
      </c>
      <c r="D1822" t="s">
        <v>62</v>
      </c>
      <c r="E1822" t="str">
        <f t="shared" si="112"/>
        <v>XL</v>
      </c>
      <c r="F1822" t="s">
        <v>55</v>
      </c>
      <c r="G1822" t="s">
        <v>40</v>
      </c>
      <c r="H1822" s="8">
        <v>73.33</v>
      </c>
      <c r="I1822" s="3">
        <f t="shared" si="113"/>
        <v>0</v>
      </c>
      <c r="J1822" s="4">
        <v>0</v>
      </c>
      <c r="K1822" s="11">
        <f>Table1[[#This Row],[original_price]]* (Table1[[#This Row],[Markdown percentage updated]])</f>
        <v>0</v>
      </c>
      <c r="L18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22" s="6">
        <v>73.33</v>
      </c>
      <c r="N18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22" s="7">
        <v>45875</v>
      </c>
      <c r="P1822">
        <v>3</v>
      </c>
      <c r="Q1822" s="17" t="str">
        <f>IF(Table1[[#This Row],[stock_quantity]]=0,"NO STOCK",
IF(Table1[[#This Row],[stock_quantity]]&lt;=10,"LOW STOCK",
"IN STOCK"))</f>
        <v>LOW STOCK</v>
      </c>
      <c r="R1822" s="1">
        <f t="shared" si="114"/>
        <v>3.1</v>
      </c>
      <c r="S1822">
        <v>3.1</v>
      </c>
      <c r="T1822" t="b">
        <v>1</v>
      </c>
      <c r="U1822" s="13" t="str">
        <f t="shared" si="115"/>
        <v>Changed Mind</v>
      </c>
      <c r="V1822" t="s">
        <v>115</v>
      </c>
    </row>
    <row r="1823" spans="1:22" hidden="1" x14ac:dyDescent="0.3">
      <c r="A1823" t="s">
        <v>1876</v>
      </c>
      <c r="B1823" t="s">
        <v>15</v>
      </c>
      <c r="C1823" t="s">
        <v>75</v>
      </c>
      <c r="D1823" t="s">
        <v>23</v>
      </c>
      <c r="E1823" t="str">
        <f t="shared" si="112"/>
        <v>S</v>
      </c>
      <c r="F1823" t="s">
        <v>39</v>
      </c>
      <c r="G1823" t="s">
        <v>46</v>
      </c>
      <c r="H1823" s="8">
        <v>167.73</v>
      </c>
      <c r="I1823" s="3">
        <f t="shared" si="113"/>
        <v>0</v>
      </c>
      <c r="J1823" s="4">
        <v>0</v>
      </c>
      <c r="K1823" s="11">
        <f>Table1[[#This Row],[original_price]]* (Table1[[#This Row],[Markdown percentage updated]])</f>
        <v>0</v>
      </c>
      <c r="L18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23" s="6">
        <v>167.73</v>
      </c>
      <c r="N18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23" s="7">
        <v>45875</v>
      </c>
      <c r="P1823">
        <v>4</v>
      </c>
      <c r="Q1823" s="17" t="str">
        <f>IF(Table1[[#This Row],[stock_quantity]]=0,"NO STOCK",
IF(Table1[[#This Row],[stock_quantity]]&lt;=10,"LOW STOCK",
"IN STOCK"))</f>
        <v>LOW STOCK</v>
      </c>
      <c r="R1823" s="1">
        <f t="shared" si="114"/>
        <v>4.9000000000000004</v>
      </c>
      <c r="S1823">
        <v>4.9000000000000004</v>
      </c>
      <c r="T1823" t="b">
        <v>0</v>
      </c>
      <c r="U1823" t="str">
        <f t="shared" si="115"/>
        <v>No Return</v>
      </c>
    </row>
    <row r="1824" spans="1:22" hidden="1" x14ac:dyDescent="0.3">
      <c r="A1824" t="s">
        <v>1877</v>
      </c>
      <c r="B1824" t="s">
        <v>21</v>
      </c>
      <c r="C1824" t="s">
        <v>48</v>
      </c>
      <c r="D1824" t="s">
        <v>23</v>
      </c>
      <c r="E1824" t="str">
        <f t="shared" si="112"/>
        <v>XS</v>
      </c>
      <c r="F1824" t="s">
        <v>49</v>
      </c>
      <c r="G1824" t="s">
        <v>28</v>
      </c>
      <c r="H1824" s="8">
        <v>79.47</v>
      </c>
      <c r="I1824" s="3">
        <f t="shared" si="113"/>
        <v>0</v>
      </c>
      <c r="J1824" s="4">
        <v>0</v>
      </c>
      <c r="K1824" s="11">
        <f>Table1[[#This Row],[original_price]]* (Table1[[#This Row],[Markdown percentage updated]])</f>
        <v>0</v>
      </c>
      <c r="L18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24" s="6">
        <v>79.47</v>
      </c>
      <c r="N18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24" s="7">
        <v>45875</v>
      </c>
      <c r="P1824">
        <v>31</v>
      </c>
      <c r="Q1824" s="16" t="str">
        <f>IF(Table1[[#This Row],[stock_quantity]]=0,"NO STOCK",
IF(Table1[[#This Row],[stock_quantity]]&lt;=10,"LOW STOCK",
"IN STOCK"))</f>
        <v>IN STOCK</v>
      </c>
      <c r="R1824" s="1">
        <f t="shared" si="114"/>
        <v>3.7</v>
      </c>
      <c r="S1824">
        <v>3.7</v>
      </c>
      <c r="T1824" t="b">
        <v>0</v>
      </c>
      <c r="U1824" t="str">
        <f t="shared" si="115"/>
        <v>No Return</v>
      </c>
    </row>
    <row r="1825" spans="1:22" hidden="1" x14ac:dyDescent="0.3">
      <c r="A1825" t="s">
        <v>1878</v>
      </c>
      <c r="B1825" t="s">
        <v>42</v>
      </c>
      <c r="C1825" t="s">
        <v>75</v>
      </c>
      <c r="D1825" t="s">
        <v>62</v>
      </c>
      <c r="E1825" t="str">
        <f t="shared" si="112"/>
        <v>OS</v>
      </c>
      <c r="F1825" t="s">
        <v>18</v>
      </c>
      <c r="G1825" t="s">
        <v>35</v>
      </c>
      <c r="H1825" s="8">
        <v>69.12</v>
      </c>
      <c r="I1825" s="3">
        <f t="shared" si="113"/>
        <v>0.49399999999999999</v>
      </c>
      <c r="J1825" s="4">
        <v>49.4</v>
      </c>
      <c r="K1825" s="11">
        <f>Table1[[#This Row],[original_price]]* (Table1[[#This Row],[Markdown percentage updated]])</f>
        <v>34.14528</v>
      </c>
      <c r="L18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25" s="6">
        <v>34.97</v>
      </c>
      <c r="N18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25" s="7">
        <v>45875</v>
      </c>
      <c r="P1825">
        <v>45</v>
      </c>
      <c r="Q1825" s="16" t="str">
        <f>IF(Table1[[#This Row],[stock_quantity]]=0,"NO STOCK",
IF(Table1[[#This Row],[stock_quantity]]&lt;=10,"LOW STOCK",
"IN STOCK"))</f>
        <v>IN STOCK</v>
      </c>
      <c r="R1825" s="1">
        <f t="shared" si="114"/>
        <v>2.2999999999999998</v>
      </c>
      <c r="S1825">
        <v>2.2999999999999998</v>
      </c>
      <c r="T1825" t="b">
        <v>0</v>
      </c>
      <c r="U1825" t="str">
        <f t="shared" si="115"/>
        <v>No Return</v>
      </c>
    </row>
    <row r="1826" spans="1:22" x14ac:dyDescent="0.3">
      <c r="A1826" t="s">
        <v>1879</v>
      </c>
      <c r="B1826" t="s">
        <v>38</v>
      </c>
      <c r="C1826" t="s">
        <v>43</v>
      </c>
      <c r="D1826" t="s">
        <v>62</v>
      </c>
      <c r="E1826" t="str">
        <f t="shared" si="112"/>
        <v>XXL</v>
      </c>
      <c r="F1826" t="s">
        <v>39</v>
      </c>
      <c r="G1826" t="s">
        <v>66</v>
      </c>
      <c r="H1826" s="8">
        <v>56.18</v>
      </c>
      <c r="I1826" s="3">
        <f t="shared" si="113"/>
        <v>6.7000000000000004E-2</v>
      </c>
      <c r="J1826" s="4">
        <v>6.7</v>
      </c>
      <c r="K1826" s="11">
        <f>Table1[[#This Row],[original_price]]* (Table1[[#This Row],[Markdown percentage updated]])</f>
        <v>3.7640600000000002</v>
      </c>
      <c r="L18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26" s="6">
        <v>52.42</v>
      </c>
      <c r="N18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26" s="7">
        <v>45875</v>
      </c>
      <c r="P1826">
        <v>35</v>
      </c>
      <c r="Q1826" s="16" t="str">
        <f>IF(Table1[[#This Row],[stock_quantity]]=0,"NO STOCK",
IF(Table1[[#This Row],[stock_quantity]]&lt;=10,"LOW STOCK",
"IN STOCK"))</f>
        <v>IN STOCK</v>
      </c>
      <c r="R1826" s="1">
        <f t="shared" si="114"/>
        <v>2.6</v>
      </c>
      <c r="S1826">
        <v>2.6</v>
      </c>
      <c r="T1826" t="b">
        <v>1</v>
      </c>
      <c r="U1826" s="13" t="str">
        <f t="shared" si="115"/>
        <v>Changed Mind</v>
      </c>
      <c r="V1826" t="s">
        <v>115</v>
      </c>
    </row>
    <row r="1827" spans="1:22" x14ac:dyDescent="0.3">
      <c r="A1827" t="s">
        <v>1880</v>
      </c>
      <c r="B1827" t="s">
        <v>21</v>
      </c>
      <c r="C1827" t="s">
        <v>61</v>
      </c>
      <c r="D1827" t="s">
        <v>23</v>
      </c>
      <c r="E1827" t="str">
        <f t="shared" si="112"/>
        <v>M</v>
      </c>
      <c r="F1827" t="s">
        <v>55</v>
      </c>
      <c r="G1827" t="s">
        <v>40</v>
      </c>
      <c r="H1827" s="8">
        <v>51.28</v>
      </c>
      <c r="I1827" s="3">
        <f t="shared" si="113"/>
        <v>0.48299999999999998</v>
      </c>
      <c r="J1827" s="4">
        <v>48.3</v>
      </c>
      <c r="K1827" s="11">
        <f>Table1[[#This Row],[original_price]]* (Table1[[#This Row],[Markdown percentage updated]])</f>
        <v>24.768239999999999</v>
      </c>
      <c r="L18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27" s="6">
        <v>26.51</v>
      </c>
      <c r="N18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27" s="7">
        <v>45875</v>
      </c>
      <c r="P1827">
        <v>9</v>
      </c>
      <c r="Q1827" s="17" t="str">
        <f>IF(Table1[[#This Row],[stock_quantity]]=0,"NO STOCK",
IF(Table1[[#This Row],[stock_quantity]]&lt;=10,"LOW STOCK",
"IN STOCK"))</f>
        <v>LOW STOCK</v>
      </c>
      <c r="R1827" s="1">
        <f t="shared" si="114"/>
        <v>1.1000000000000001</v>
      </c>
      <c r="S1827">
        <v>1.1000000000000001</v>
      </c>
      <c r="T1827" t="b">
        <v>1</v>
      </c>
      <c r="U1827" s="13" t="str">
        <f t="shared" si="115"/>
        <v>Changed Mind</v>
      </c>
      <c r="V1827" t="s">
        <v>115</v>
      </c>
    </row>
    <row r="1828" spans="1:22" hidden="1" x14ac:dyDescent="0.3">
      <c r="A1828" t="s">
        <v>1881</v>
      </c>
      <c r="B1828" t="s">
        <v>15</v>
      </c>
      <c r="C1828" t="s">
        <v>61</v>
      </c>
      <c r="D1828" t="s">
        <v>17</v>
      </c>
      <c r="E1828" t="str">
        <f t="shared" si="112"/>
        <v>XS</v>
      </c>
      <c r="G1828" t="s">
        <v>46</v>
      </c>
      <c r="H1828" s="8">
        <v>111.73</v>
      </c>
      <c r="I1828" s="3">
        <f t="shared" si="113"/>
        <v>0.16800000000000001</v>
      </c>
      <c r="J1828" s="4">
        <v>16.8</v>
      </c>
      <c r="K1828" s="11">
        <f>Table1[[#This Row],[original_price]]* (Table1[[#This Row],[Markdown percentage updated]])</f>
        <v>18.77064</v>
      </c>
      <c r="L18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28" s="6">
        <v>92.96</v>
      </c>
      <c r="N18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828" s="7">
        <v>45806</v>
      </c>
      <c r="P1828">
        <v>41</v>
      </c>
      <c r="Q1828" s="16" t="str">
        <f>IF(Table1[[#This Row],[stock_quantity]]=0,"NO STOCK",
IF(Table1[[#This Row],[stock_quantity]]&lt;=10,"LOW STOCK",
"IN STOCK"))</f>
        <v>IN STOCK</v>
      </c>
      <c r="R1828" s="1">
        <f t="shared" si="114"/>
        <v>1.2</v>
      </c>
      <c r="S1828">
        <v>1.2</v>
      </c>
      <c r="T1828" t="b">
        <v>0</v>
      </c>
      <c r="U1828" t="str">
        <f t="shared" si="115"/>
        <v>No Return</v>
      </c>
    </row>
    <row r="1829" spans="1:22" x14ac:dyDescent="0.3">
      <c r="A1829" t="s">
        <v>1882</v>
      </c>
      <c r="B1829" t="s">
        <v>38</v>
      </c>
      <c r="C1829" t="s">
        <v>53</v>
      </c>
      <c r="D1829" t="s">
        <v>34</v>
      </c>
      <c r="E1829" t="str">
        <f t="shared" si="112"/>
        <v>XXL</v>
      </c>
      <c r="F1829" t="s">
        <v>49</v>
      </c>
      <c r="G1829" t="s">
        <v>40</v>
      </c>
      <c r="H1829" s="8">
        <v>49.08</v>
      </c>
      <c r="I1829" s="3">
        <f t="shared" si="113"/>
        <v>0.19899999999999998</v>
      </c>
      <c r="J1829" s="4">
        <v>19.899999999999999</v>
      </c>
      <c r="K1829" s="11">
        <f>Table1[[#This Row],[original_price]]* (Table1[[#This Row],[Markdown percentage updated]])</f>
        <v>9.7669199999999989</v>
      </c>
      <c r="L18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29" s="6">
        <v>39.31</v>
      </c>
      <c r="N18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29" s="7">
        <v>45875</v>
      </c>
      <c r="P1829">
        <v>46</v>
      </c>
      <c r="Q1829" s="16" t="str">
        <f>IF(Table1[[#This Row],[stock_quantity]]=0,"NO STOCK",
IF(Table1[[#This Row],[stock_quantity]]&lt;=10,"LOW STOCK",
"IN STOCK"))</f>
        <v>IN STOCK</v>
      </c>
      <c r="R1829" s="1">
        <f t="shared" si="114"/>
        <v>1</v>
      </c>
      <c r="S1829">
        <v>1</v>
      </c>
      <c r="T1829" t="b">
        <v>1</v>
      </c>
      <c r="U1829" s="13" t="str">
        <f t="shared" si="115"/>
        <v>Changed Mind</v>
      </c>
      <c r="V1829" t="s">
        <v>115</v>
      </c>
    </row>
    <row r="1830" spans="1:22" hidden="1" x14ac:dyDescent="0.3">
      <c r="A1830" t="s">
        <v>1883</v>
      </c>
      <c r="B1830" t="s">
        <v>30</v>
      </c>
      <c r="C1830" t="s">
        <v>75</v>
      </c>
      <c r="D1830" t="s">
        <v>23</v>
      </c>
      <c r="E1830" t="str">
        <f t="shared" si="112"/>
        <v>M</v>
      </c>
      <c r="F1830" t="s">
        <v>58</v>
      </c>
      <c r="G1830" t="s">
        <v>25</v>
      </c>
      <c r="H1830" s="8">
        <v>182.47</v>
      </c>
      <c r="I1830" s="3">
        <f t="shared" si="113"/>
        <v>0.27100000000000002</v>
      </c>
      <c r="J1830" s="4">
        <v>27.1</v>
      </c>
      <c r="K1830" s="11">
        <f>Table1[[#This Row],[original_price]]* (Table1[[#This Row],[Markdown percentage updated]])</f>
        <v>49.449370000000002</v>
      </c>
      <c r="L18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830" s="6">
        <v>133.02000000000001</v>
      </c>
      <c r="N18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30" s="7">
        <v>45875</v>
      </c>
      <c r="P1830">
        <v>40</v>
      </c>
      <c r="Q1830" s="16" t="str">
        <f>IF(Table1[[#This Row],[stock_quantity]]=0,"NO STOCK",
IF(Table1[[#This Row],[stock_quantity]]&lt;=10,"LOW STOCK",
"IN STOCK"))</f>
        <v>IN STOCK</v>
      </c>
      <c r="R1830" s="1">
        <f t="shared" si="114"/>
        <v>0</v>
      </c>
      <c r="T1830" t="b">
        <v>0</v>
      </c>
      <c r="U1830" t="str">
        <f t="shared" si="115"/>
        <v>No Return</v>
      </c>
    </row>
    <row r="1831" spans="1:22" hidden="1" x14ac:dyDescent="0.3">
      <c r="A1831" t="s">
        <v>1884</v>
      </c>
      <c r="B1831" t="s">
        <v>15</v>
      </c>
      <c r="C1831" t="s">
        <v>75</v>
      </c>
      <c r="D1831" t="s">
        <v>62</v>
      </c>
      <c r="E1831" t="str">
        <f t="shared" si="112"/>
        <v>XXL</v>
      </c>
      <c r="F1831" t="s">
        <v>55</v>
      </c>
      <c r="G1831" t="s">
        <v>66</v>
      </c>
      <c r="H1831" s="8">
        <v>241.22</v>
      </c>
      <c r="I1831" s="3">
        <f t="shared" si="113"/>
        <v>5.9000000000000004E-2</v>
      </c>
      <c r="J1831" s="4">
        <v>5.9</v>
      </c>
      <c r="K1831" s="11">
        <f>Table1[[#This Row],[original_price]]* (Table1[[#This Row],[Markdown percentage updated]])</f>
        <v>14.23198</v>
      </c>
      <c r="L18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31" s="6">
        <v>226.99</v>
      </c>
      <c r="N18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831" s="7">
        <v>45875</v>
      </c>
      <c r="P1831">
        <v>13</v>
      </c>
      <c r="Q1831" s="16" t="str">
        <f>IF(Table1[[#This Row],[stock_quantity]]=0,"NO STOCK",
IF(Table1[[#This Row],[stock_quantity]]&lt;=10,"LOW STOCK",
"IN STOCK"))</f>
        <v>IN STOCK</v>
      </c>
      <c r="R1831" s="1">
        <f t="shared" si="114"/>
        <v>1.2</v>
      </c>
      <c r="S1831">
        <v>1.2</v>
      </c>
      <c r="T1831" t="b">
        <v>0</v>
      </c>
      <c r="U1831" t="str">
        <f t="shared" si="115"/>
        <v>No Return</v>
      </c>
    </row>
    <row r="1832" spans="1:22" hidden="1" x14ac:dyDescent="0.3">
      <c r="A1832" t="s">
        <v>1885</v>
      </c>
      <c r="B1832" t="s">
        <v>42</v>
      </c>
      <c r="C1832" t="s">
        <v>53</v>
      </c>
      <c r="D1832" t="s">
        <v>17</v>
      </c>
      <c r="E1832" t="str">
        <f t="shared" si="112"/>
        <v>XS</v>
      </c>
      <c r="F1832" t="s">
        <v>49</v>
      </c>
      <c r="G1832" t="s">
        <v>44</v>
      </c>
      <c r="H1832" s="8">
        <v>78.3</v>
      </c>
      <c r="I1832" s="3">
        <f t="shared" si="113"/>
        <v>0</v>
      </c>
      <c r="J1832" s="4">
        <v>0</v>
      </c>
      <c r="K1832" s="11">
        <f>Table1[[#This Row],[original_price]]* (Table1[[#This Row],[Markdown percentage updated]])</f>
        <v>0</v>
      </c>
      <c r="L18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32" s="6">
        <v>78.3</v>
      </c>
      <c r="N18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32" s="7">
        <v>45730</v>
      </c>
      <c r="P1832">
        <v>19</v>
      </c>
      <c r="Q1832" s="16" t="str">
        <f>IF(Table1[[#This Row],[stock_quantity]]=0,"NO STOCK",
IF(Table1[[#This Row],[stock_quantity]]&lt;=10,"LOW STOCK",
"IN STOCK"))</f>
        <v>IN STOCK</v>
      </c>
      <c r="R1832" s="1">
        <f t="shared" si="114"/>
        <v>3</v>
      </c>
      <c r="S1832">
        <v>3</v>
      </c>
      <c r="T1832" t="b">
        <v>0</v>
      </c>
      <c r="U1832" t="str">
        <f t="shared" si="115"/>
        <v>No Return</v>
      </c>
    </row>
    <row r="1833" spans="1:22" hidden="1" x14ac:dyDescent="0.3">
      <c r="A1833" t="s">
        <v>1886</v>
      </c>
      <c r="B1833" t="s">
        <v>30</v>
      </c>
      <c r="C1833" t="s">
        <v>32</v>
      </c>
      <c r="D1833" t="s">
        <v>23</v>
      </c>
      <c r="E1833" t="str">
        <f t="shared" si="112"/>
        <v>S</v>
      </c>
      <c r="F1833" t="s">
        <v>58</v>
      </c>
      <c r="G1833" t="s">
        <v>66</v>
      </c>
      <c r="H1833" s="8">
        <v>73.930000000000007</v>
      </c>
      <c r="I1833" s="3">
        <f t="shared" si="113"/>
        <v>0</v>
      </c>
      <c r="J1833" s="4">
        <v>0</v>
      </c>
      <c r="K1833" s="11">
        <f>Table1[[#This Row],[original_price]]* (Table1[[#This Row],[Markdown percentage updated]])</f>
        <v>0</v>
      </c>
      <c r="L18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33" s="6">
        <v>73.930000000000007</v>
      </c>
      <c r="N18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33" s="7">
        <v>45875</v>
      </c>
      <c r="P1833">
        <v>0</v>
      </c>
      <c r="Q1833" s="13" t="str">
        <f>IF(Table1[[#This Row],[stock_quantity]]=0,"NO STOCK",
IF(Table1[[#This Row],[stock_quantity]]&lt;=10,"LOW STOCK",
"IN STOCK"))</f>
        <v>NO STOCK</v>
      </c>
      <c r="R1833" s="1">
        <f t="shared" si="114"/>
        <v>0</v>
      </c>
      <c r="T1833" t="b">
        <v>0</v>
      </c>
      <c r="U1833" t="str">
        <f t="shared" si="115"/>
        <v>No Return</v>
      </c>
    </row>
    <row r="1834" spans="1:22" hidden="1" x14ac:dyDescent="0.3">
      <c r="A1834" t="s">
        <v>1887</v>
      </c>
      <c r="B1834" t="s">
        <v>38</v>
      </c>
      <c r="C1834" t="s">
        <v>48</v>
      </c>
      <c r="D1834" t="s">
        <v>62</v>
      </c>
      <c r="E1834" t="str">
        <f t="shared" si="112"/>
        <v>M</v>
      </c>
      <c r="F1834" t="s">
        <v>49</v>
      </c>
      <c r="G1834" t="s">
        <v>46</v>
      </c>
      <c r="H1834" s="8">
        <v>97.5</v>
      </c>
      <c r="I1834" s="3">
        <f t="shared" si="113"/>
        <v>0</v>
      </c>
      <c r="J1834" s="4">
        <v>0</v>
      </c>
      <c r="K1834" s="11">
        <f>Table1[[#This Row],[original_price]]* (Table1[[#This Row],[Markdown percentage updated]])</f>
        <v>0</v>
      </c>
      <c r="L18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34" s="6">
        <v>97.5</v>
      </c>
      <c r="N18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34" s="7">
        <v>45875</v>
      </c>
      <c r="P1834">
        <v>43</v>
      </c>
      <c r="Q1834" s="16" t="str">
        <f>IF(Table1[[#This Row],[stock_quantity]]=0,"NO STOCK",
IF(Table1[[#This Row],[stock_quantity]]&lt;=10,"LOW STOCK",
"IN STOCK"))</f>
        <v>IN STOCK</v>
      </c>
      <c r="R1834" s="1">
        <f t="shared" si="114"/>
        <v>1.6</v>
      </c>
      <c r="S1834">
        <v>1.6</v>
      </c>
      <c r="T1834" t="b">
        <v>0</v>
      </c>
      <c r="U1834" t="str">
        <f t="shared" si="115"/>
        <v>No Return</v>
      </c>
    </row>
    <row r="1835" spans="1:22" hidden="1" x14ac:dyDescent="0.3">
      <c r="A1835" t="s">
        <v>1888</v>
      </c>
      <c r="B1835" t="s">
        <v>21</v>
      </c>
      <c r="C1835" t="s">
        <v>53</v>
      </c>
      <c r="D1835" t="s">
        <v>62</v>
      </c>
      <c r="E1835" t="str">
        <f t="shared" si="112"/>
        <v>XL</v>
      </c>
      <c r="F1835" t="s">
        <v>55</v>
      </c>
      <c r="G1835" t="s">
        <v>46</v>
      </c>
      <c r="H1835" s="8">
        <v>38.9</v>
      </c>
      <c r="I1835" s="3">
        <f t="shared" si="113"/>
        <v>0</v>
      </c>
      <c r="J1835" s="4">
        <v>0</v>
      </c>
      <c r="K1835" s="11">
        <f>Table1[[#This Row],[original_price]]* (Table1[[#This Row],[Markdown percentage updated]])</f>
        <v>0</v>
      </c>
      <c r="L18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35" s="6">
        <v>38.9</v>
      </c>
      <c r="N18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35" s="7">
        <v>45875</v>
      </c>
      <c r="P1835">
        <v>1</v>
      </c>
      <c r="Q1835" s="17" t="str">
        <f>IF(Table1[[#This Row],[stock_quantity]]=0,"NO STOCK",
IF(Table1[[#This Row],[stock_quantity]]&lt;=10,"LOW STOCK",
"IN STOCK"))</f>
        <v>LOW STOCK</v>
      </c>
      <c r="R1835" s="1">
        <f t="shared" si="114"/>
        <v>5</v>
      </c>
      <c r="S1835">
        <v>5</v>
      </c>
      <c r="T1835" t="b">
        <v>0</v>
      </c>
      <c r="U1835" t="str">
        <f t="shared" si="115"/>
        <v>No Return</v>
      </c>
    </row>
    <row r="1836" spans="1:22" hidden="1" x14ac:dyDescent="0.3">
      <c r="A1836" t="s">
        <v>1889</v>
      </c>
      <c r="B1836" t="s">
        <v>30</v>
      </c>
      <c r="C1836" t="s">
        <v>32</v>
      </c>
      <c r="D1836" t="s">
        <v>62</v>
      </c>
      <c r="E1836" t="str">
        <f t="shared" si="112"/>
        <v>OS</v>
      </c>
      <c r="F1836" t="s">
        <v>39</v>
      </c>
      <c r="G1836" t="s">
        <v>44</v>
      </c>
      <c r="H1836" s="8">
        <v>95.52</v>
      </c>
      <c r="I1836" s="3">
        <f t="shared" si="113"/>
        <v>0</v>
      </c>
      <c r="J1836" s="4">
        <v>0</v>
      </c>
      <c r="K1836" s="11">
        <f>Table1[[#This Row],[original_price]]* (Table1[[#This Row],[Markdown percentage updated]])</f>
        <v>0</v>
      </c>
      <c r="L18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36" s="6">
        <v>95.52</v>
      </c>
      <c r="N18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36" s="7">
        <v>45875</v>
      </c>
      <c r="P1836">
        <v>47</v>
      </c>
      <c r="Q1836" s="16" t="str">
        <f>IF(Table1[[#This Row],[stock_quantity]]=0,"NO STOCK",
IF(Table1[[#This Row],[stock_quantity]]&lt;=10,"LOW STOCK",
"IN STOCK"))</f>
        <v>IN STOCK</v>
      </c>
      <c r="R1836" s="1">
        <f t="shared" si="114"/>
        <v>3.9</v>
      </c>
      <c r="S1836">
        <v>3.9</v>
      </c>
      <c r="T1836" t="b">
        <v>0</v>
      </c>
      <c r="U1836" t="str">
        <f t="shared" si="115"/>
        <v>No Return</v>
      </c>
    </row>
    <row r="1837" spans="1:22" x14ac:dyDescent="0.3">
      <c r="A1837" t="s">
        <v>1890</v>
      </c>
      <c r="B1837" t="s">
        <v>15</v>
      </c>
      <c r="C1837" t="s">
        <v>16</v>
      </c>
      <c r="D1837" t="s">
        <v>34</v>
      </c>
      <c r="E1837" t="str">
        <f t="shared" si="112"/>
        <v>OS</v>
      </c>
      <c r="F1837" t="s">
        <v>58</v>
      </c>
      <c r="G1837" t="s">
        <v>19</v>
      </c>
      <c r="H1837" s="8">
        <v>158.63999999999999</v>
      </c>
      <c r="I1837" s="3">
        <f t="shared" si="113"/>
        <v>0.502</v>
      </c>
      <c r="J1837" s="4">
        <v>50.2</v>
      </c>
      <c r="K1837" s="11">
        <f>Table1[[#This Row],[original_price]]* (Table1[[#This Row],[Markdown percentage updated]])</f>
        <v>79.63727999999999</v>
      </c>
      <c r="L18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37" s="6">
        <v>79</v>
      </c>
      <c r="N18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37" s="7">
        <v>45875</v>
      </c>
      <c r="P1837">
        <v>7</v>
      </c>
      <c r="Q1837" s="17" t="str">
        <f>IF(Table1[[#This Row],[stock_quantity]]=0,"NO STOCK",
IF(Table1[[#This Row],[stock_quantity]]&lt;=10,"LOW STOCK",
"IN STOCK"))</f>
        <v>LOW STOCK</v>
      </c>
      <c r="R1837" s="1">
        <f t="shared" si="114"/>
        <v>3</v>
      </c>
      <c r="S1837">
        <v>3</v>
      </c>
      <c r="T1837" t="b">
        <v>1</v>
      </c>
      <c r="U1837" s="13" t="str">
        <f t="shared" si="115"/>
        <v>Changed Mind</v>
      </c>
      <c r="V1837" t="s">
        <v>115</v>
      </c>
    </row>
    <row r="1838" spans="1:22" hidden="1" x14ac:dyDescent="0.3">
      <c r="A1838" t="s">
        <v>1891</v>
      </c>
      <c r="B1838" t="s">
        <v>21</v>
      </c>
      <c r="C1838" t="s">
        <v>43</v>
      </c>
      <c r="D1838" t="s">
        <v>34</v>
      </c>
      <c r="E1838" t="str">
        <f t="shared" si="112"/>
        <v>XL</v>
      </c>
      <c r="F1838" t="s">
        <v>18</v>
      </c>
      <c r="G1838" t="s">
        <v>64</v>
      </c>
      <c r="H1838" s="8">
        <v>26.11</v>
      </c>
      <c r="I1838" s="3">
        <f t="shared" si="113"/>
        <v>0</v>
      </c>
      <c r="J1838" s="4">
        <v>0</v>
      </c>
      <c r="K1838" s="11">
        <f>Table1[[#This Row],[original_price]]* (Table1[[#This Row],[Markdown percentage updated]])</f>
        <v>0</v>
      </c>
      <c r="L18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38" s="6">
        <v>26.11</v>
      </c>
      <c r="N18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38" s="7">
        <v>45875</v>
      </c>
      <c r="P1838">
        <v>41</v>
      </c>
      <c r="Q1838" s="16" t="str">
        <f>IF(Table1[[#This Row],[stock_quantity]]=0,"NO STOCK",
IF(Table1[[#This Row],[stock_quantity]]&lt;=10,"LOW STOCK",
"IN STOCK"))</f>
        <v>IN STOCK</v>
      </c>
      <c r="R1838" s="1">
        <f t="shared" si="114"/>
        <v>4.3</v>
      </c>
      <c r="S1838">
        <v>4.3</v>
      </c>
      <c r="T1838" t="b">
        <v>0</v>
      </c>
      <c r="U1838" t="str">
        <f t="shared" si="115"/>
        <v>No Return</v>
      </c>
    </row>
    <row r="1839" spans="1:22" x14ac:dyDescent="0.3">
      <c r="A1839" t="s">
        <v>1892</v>
      </c>
      <c r="B1839" t="s">
        <v>30</v>
      </c>
      <c r="C1839" t="s">
        <v>75</v>
      </c>
      <c r="D1839" t="s">
        <v>17</v>
      </c>
      <c r="E1839" t="str">
        <f t="shared" si="112"/>
        <v>L</v>
      </c>
      <c r="G1839" t="s">
        <v>35</v>
      </c>
      <c r="H1839" s="8">
        <v>107.09</v>
      </c>
      <c r="I1839" s="3">
        <f t="shared" si="113"/>
        <v>0.43099999999999999</v>
      </c>
      <c r="J1839" s="4">
        <v>43.1</v>
      </c>
      <c r="K1839" s="11">
        <f>Table1[[#This Row],[original_price]]* (Table1[[#This Row],[Markdown percentage updated]])</f>
        <v>46.155790000000003</v>
      </c>
      <c r="L18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39" s="6">
        <v>60.93</v>
      </c>
      <c r="N18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39" s="7">
        <v>45702</v>
      </c>
      <c r="P1839">
        <v>16</v>
      </c>
      <c r="Q1839" s="16" t="str">
        <f>IF(Table1[[#This Row],[stock_quantity]]=0,"NO STOCK",
IF(Table1[[#This Row],[stock_quantity]]&lt;=10,"LOW STOCK",
"IN STOCK"))</f>
        <v>IN STOCK</v>
      </c>
      <c r="R1839" s="1">
        <f t="shared" si="114"/>
        <v>4.7</v>
      </c>
      <c r="S1839">
        <v>4.7</v>
      </c>
      <c r="T1839" t="b">
        <v>1</v>
      </c>
      <c r="U1839" s="13" t="str">
        <f t="shared" si="115"/>
        <v>Changed Mind</v>
      </c>
      <c r="V1839" t="s">
        <v>115</v>
      </c>
    </row>
    <row r="1840" spans="1:22" hidden="1" x14ac:dyDescent="0.3">
      <c r="A1840" t="s">
        <v>1893</v>
      </c>
      <c r="B1840" t="s">
        <v>27</v>
      </c>
      <c r="C1840" t="s">
        <v>61</v>
      </c>
      <c r="D1840" t="s">
        <v>62</v>
      </c>
      <c r="E1840" t="str">
        <f t="shared" si="112"/>
        <v>XS</v>
      </c>
      <c r="G1840" t="s">
        <v>28</v>
      </c>
      <c r="H1840" s="8">
        <v>71.42</v>
      </c>
      <c r="I1840" s="3">
        <f t="shared" si="113"/>
        <v>0.38</v>
      </c>
      <c r="J1840" s="4">
        <v>38</v>
      </c>
      <c r="K1840" s="11">
        <f>Table1[[#This Row],[original_price]]* (Table1[[#This Row],[Markdown percentage updated]])</f>
        <v>27.139600000000002</v>
      </c>
      <c r="L18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40" s="6">
        <v>44.28</v>
      </c>
      <c r="N18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40" s="7">
        <v>45875</v>
      </c>
      <c r="P1840">
        <v>49</v>
      </c>
      <c r="Q1840" s="16" t="str">
        <f>IF(Table1[[#This Row],[stock_quantity]]=0,"NO STOCK",
IF(Table1[[#This Row],[stock_quantity]]&lt;=10,"LOW STOCK",
"IN STOCK"))</f>
        <v>IN STOCK</v>
      </c>
      <c r="R1840" s="1">
        <f t="shared" si="114"/>
        <v>2.8</v>
      </c>
      <c r="S1840">
        <v>2.8</v>
      </c>
      <c r="T1840" t="b">
        <v>0</v>
      </c>
      <c r="U1840" t="str">
        <f t="shared" si="115"/>
        <v>No Return</v>
      </c>
    </row>
    <row r="1841" spans="1:22" hidden="1" x14ac:dyDescent="0.3">
      <c r="A1841" t="s">
        <v>1894</v>
      </c>
      <c r="B1841" t="s">
        <v>30</v>
      </c>
      <c r="C1841" t="s">
        <v>16</v>
      </c>
      <c r="D1841" t="s">
        <v>62</v>
      </c>
      <c r="E1841" t="str">
        <f t="shared" si="112"/>
        <v>XL</v>
      </c>
      <c r="F1841" t="s">
        <v>18</v>
      </c>
      <c r="G1841" t="s">
        <v>19</v>
      </c>
      <c r="H1841" s="8">
        <v>124.56</v>
      </c>
      <c r="I1841" s="3">
        <f t="shared" si="113"/>
        <v>0</v>
      </c>
      <c r="J1841" s="4">
        <v>0</v>
      </c>
      <c r="K1841" s="11">
        <f>Table1[[#This Row],[original_price]]* (Table1[[#This Row],[Markdown percentage updated]])</f>
        <v>0</v>
      </c>
      <c r="L18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41" s="6">
        <v>124.56</v>
      </c>
      <c r="N18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41" s="7">
        <v>45875</v>
      </c>
      <c r="P1841">
        <v>18</v>
      </c>
      <c r="Q1841" s="16" t="str">
        <f>IF(Table1[[#This Row],[stock_quantity]]=0,"NO STOCK",
IF(Table1[[#This Row],[stock_quantity]]&lt;=10,"LOW STOCK",
"IN STOCK"))</f>
        <v>IN STOCK</v>
      </c>
      <c r="R1841" s="1">
        <f t="shared" si="114"/>
        <v>3</v>
      </c>
      <c r="S1841">
        <v>3</v>
      </c>
      <c r="T1841" t="b">
        <v>0</v>
      </c>
      <c r="U1841" t="str">
        <f t="shared" si="115"/>
        <v>No Return</v>
      </c>
    </row>
    <row r="1842" spans="1:22" hidden="1" x14ac:dyDescent="0.3">
      <c r="A1842" t="s">
        <v>1895</v>
      </c>
      <c r="B1842" t="s">
        <v>38</v>
      </c>
      <c r="C1842" t="s">
        <v>22</v>
      </c>
      <c r="D1842" t="s">
        <v>62</v>
      </c>
      <c r="E1842" t="str">
        <f t="shared" si="112"/>
        <v>S</v>
      </c>
      <c r="F1842" t="s">
        <v>24</v>
      </c>
      <c r="G1842" t="s">
        <v>66</v>
      </c>
      <c r="H1842" s="8">
        <v>30.91</v>
      </c>
      <c r="I1842" s="3">
        <f t="shared" si="113"/>
        <v>0</v>
      </c>
      <c r="J1842" s="4">
        <v>0</v>
      </c>
      <c r="K1842" s="11">
        <f>Table1[[#This Row],[original_price]]* (Table1[[#This Row],[Markdown percentage updated]])</f>
        <v>0</v>
      </c>
      <c r="L18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42" s="6">
        <v>30.91</v>
      </c>
      <c r="N18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42" s="7">
        <v>45875</v>
      </c>
      <c r="P1842">
        <v>45</v>
      </c>
      <c r="Q1842" s="16" t="str">
        <f>IF(Table1[[#This Row],[stock_quantity]]=0,"NO STOCK",
IF(Table1[[#This Row],[stock_quantity]]&lt;=10,"LOW STOCK",
"IN STOCK"))</f>
        <v>IN STOCK</v>
      </c>
      <c r="R1842" s="1">
        <f t="shared" si="114"/>
        <v>1.8</v>
      </c>
      <c r="S1842">
        <v>1.8</v>
      </c>
      <c r="T1842" t="b">
        <v>0</v>
      </c>
      <c r="U1842" t="str">
        <f t="shared" si="115"/>
        <v>No Return</v>
      </c>
    </row>
    <row r="1843" spans="1:22" hidden="1" x14ac:dyDescent="0.3">
      <c r="A1843" t="s">
        <v>1896</v>
      </c>
      <c r="B1843" t="s">
        <v>21</v>
      </c>
      <c r="C1843" t="s">
        <v>16</v>
      </c>
      <c r="D1843" t="s">
        <v>23</v>
      </c>
      <c r="E1843" t="str">
        <f t="shared" si="112"/>
        <v>OS</v>
      </c>
      <c r="F1843" t="s">
        <v>55</v>
      </c>
      <c r="G1843" t="s">
        <v>56</v>
      </c>
      <c r="H1843" s="8">
        <v>53.37</v>
      </c>
      <c r="I1843" s="3">
        <f t="shared" si="113"/>
        <v>0</v>
      </c>
      <c r="J1843" s="4">
        <v>0</v>
      </c>
      <c r="K1843" s="11">
        <f>Table1[[#This Row],[original_price]]* (Table1[[#This Row],[Markdown percentage updated]])</f>
        <v>0</v>
      </c>
      <c r="L18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43" s="6">
        <v>53.37</v>
      </c>
      <c r="N18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43" s="7">
        <v>45875</v>
      </c>
      <c r="P1843">
        <v>15</v>
      </c>
      <c r="Q1843" s="16" t="str">
        <f>IF(Table1[[#This Row],[stock_quantity]]=0,"NO STOCK",
IF(Table1[[#This Row],[stock_quantity]]&lt;=10,"LOW STOCK",
"IN STOCK"))</f>
        <v>IN STOCK</v>
      </c>
      <c r="R1843" s="1">
        <f t="shared" si="114"/>
        <v>1.1000000000000001</v>
      </c>
      <c r="S1843">
        <v>1.1000000000000001</v>
      </c>
      <c r="T1843" t="b">
        <v>0</v>
      </c>
      <c r="U1843" t="str">
        <f t="shared" si="115"/>
        <v>No Return</v>
      </c>
    </row>
    <row r="1844" spans="1:22" x14ac:dyDescent="0.3">
      <c r="A1844" t="s">
        <v>1897</v>
      </c>
      <c r="B1844" t="s">
        <v>30</v>
      </c>
      <c r="C1844" t="s">
        <v>61</v>
      </c>
      <c r="D1844" t="s">
        <v>62</v>
      </c>
      <c r="E1844" t="str">
        <f t="shared" si="112"/>
        <v>XL</v>
      </c>
      <c r="F1844" t="s">
        <v>18</v>
      </c>
      <c r="G1844" t="s">
        <v>46</v>
      </c>
      <c r="H1844" s="8">
        <v>159.16</v>
      </c>
      <c r="I1844" s="3">
        <f t="shared" si="113"/>
        <v>0</v>
      </c>
      <c r="J1844" s="4">
        <v>0</v>
      </c>
      <c r="K1844" s="11">
        <f>Table1[[#This Row],[original_price]]* (Table1[[#This Row],[Markdown percentage updated]])</f>
        <v>0</v>
      </c>
      <c r="L18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44" s="6">
        <v>159.16</v>
      </c>
      <c r="N18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44" s="7">
        <v>45875</v>
      </c>
      <c r="P1844">
        <v>40</v>
      </c>
      <c r="Q1844" s="16" t="str">
        <f>IF(Table1[[#This Row],[stock_quantity]]=0,"NO STOCK",
IF(Table1[[#This Row],[stock_quantity]]&lt;=10,"LOW STOCK",
"IN STOCK"))</f>
        <v>IN STOCK</v>
      </c>
      <c r="R1844" s="1">
        <f t="shared" si="114"/>
        <v>0</v>
      </c>
      <c r="T1844" t="b">
        <v>1</v>
      </c>
      <c r="U1844" s="13" t="str">
        <f t="shared" si="115"/>
        <v>Changed Mind</v>
      </c>
      <c r="V1844" t="s">
        <v>115</v>
      </c>
    </row>
    <row r="1845" spans="1:22" hidden="1" x14ac:dyDescent="0.3">
      <c r="A1845" t="s">
        <v>1898</v>
      </c>
      <c r="B1845" t="s">
        <v>42</v>
      </c>
      <c r="C1845" t="s">
        <v>43</v>
      </c>
      <c r="D1845" t="s">
        <v>34</v>
      </c>
      <c r="E1845" t="str">
        <f t="shared" si="112"/>
        <v>S</v>
      </c>
      <c r="F1845" t="s">
        <v>39</v>
      </c>
      <c r="G1845" t="s">
        <v>25</v>
      </c>
      <c r="H1845" s="8">
        <v>169.64</v>
      </c>
      <c r="I1845" s="3">
        <f t="shared" si="113"/>
        <v>0</v>
      </c>
      <c r="J1845" s="4">
        <v>0</v>
      </c>
      <c r="K1845" s="11">
        <f>Table1[[#This Row],[original_price]]* (Table1[[#This Row],[Markdown percentage updated]])</f>
        <v>0</v>
      </c>
      <c r="L18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45" s="6">
        <v>169.64</v>
      </c>
      <c r="N18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45" s="7">
        <v>45875</v>
      </c>
      <c r="P1845">
        <v>5</v>
      </c>
      <c r="Q1845" s="17" t="str">
        <f>IF(Table1[[#This Row],[stock_quantity]]=0,"NO STOCK",
IF(Table1[[#This Row],[stock_quantity]]&lt;=10,"LOW STOCK",
"IN STOCK"))</f>
        <v>LOW STOCK</v>
      </c>
      <c r="R1845" s="1">
        <f t="shared" si="114"/>
        <v>1.6</v>
      </c>
      <c r="S1845">
        <v>1.6</v>
      </c>
      <c r="T1845" t="b">
        <v>0</v>
      </c>
      <c r="U1845" t="str">
        <f t="shared" si="115"/>
        <v>No Return</v>
      </c>
    </row>
    <row r="1846" spans="1:22" hidden="1" x14ac:dyDescent="0.3">
      <c r="A1846" t="s">
        <v>1899</v>
      </c>
      <c r="B1846" t="s">
        <v>27</v>
      </c>
      <c r="C1846" t="s">
        <v>61</v>
      </c>
      <c r="D1846" t="s">
        <v>62</v>
      </c>
      <c r="E1846" t="str">
        <f t="shared" si="112"/>
        <v>XS</v>
      </c>
      <c r="G1846" t="s">
        <v>44</v>
      </c>
      <c r="H1846" s="8">
        <v>59.94</v>
      </c>
      <c r="I1846" s="3">
        <f t="shared" si="113"/>
        <v>0</v>
      </c>
      <c r="J1846" s="4">
        <v>0</v>
      </c>
      <c r="K1846" s="11">
        <f>Table1[[#This Row],[original_price]]* (Table1[[#This Row],[Markdown percentage updated]])</f>
        <v>0</v>
      </c>
      <c r="L18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46" s="6">
        <v>59.94</v>
      </c>
      <c r="N18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46" s="7">
        <v>45875</v>
      </c>
      <c r="P1846">
        <v>7</v>
      </c>
      <c r="Q1846" s="17" t="str">
        <f>IF(Table1[[#This Row],[stock_quantity]]=0,"NO STOCK",
IF(Table1[[#This Row],[stock_quantity]]&lt;=10,"LOW STOCK",
"IN STOCK"))</f>
        <v>LOW STOCK</v>
      </c>
      <c r="R1846" s="1">
        <f t="shared" si="114"/>
        <v>4</v>
      </c>
      <c r="S1846">
        <v>4</v>
      </c>
      <c r="T1846" t="b">
        <v>0</v>
      </c>
      <c r="U1846" t="str">
        <f t="shared" si="115"/>
        <v>No Return</v>
      </c>
    </row>
    <row r="1847" spans="1:22" hidden="1" x14ac:dyDescent="0.3">
      <c r="A1847" t="s">
        <v>1900</v>
      </c>
      <c r="B1847" t="s">
        <v>42</v>
      </c>
      <c r="C1847" t="s">
        <v>61</v>
      </c>
      <c r="D1847" t="s">
        <v>34</v>
      </c>
      <c r="E1847" t="str">
        <f t="shared" si="112"/>
        <v>M</v>
      </c>
      <c r="F1847" t="s">
        <v>18</v>
      </c>
      <c r="G1847" t="s">
        <v>66</v>
      </c>
      <c r="H1847" s="8">
        <v>92.59</v>
      </c>
      <c r="I1847" s="3">
        <f t="shared" si="113"/>
        <v>0</v>
      </c>
      <c r="J1847" s="4">
        <v>0</v>
      </c>
      <c r="K1847" s="11">
        <f>Table1[[#This Row],[original_price]]* (Table1[[#This Row],[Markdown percentage updated]])</f>
        <v>0</v>
      </c>
      <c r="L18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47" s="6">
        <v>92.59</v>
      </c>
      <c r="N18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47" s="7">
        <v>45875</v>
      </c>
      <c r="P1847">
        <v>29</v>
      </c>
      <c r="Q1847" s="16" t="str">
        <f>IF(Table1[[#This Row],[stock_quantity]]=0,"NO STOCK",
IF(Table1[[#This Row],[stock_quantity]]&lt;=10,"LOW STOCK",
"IN STOCK"))</f>
        <v>IN STOCK</v>
      </c>
      <c r="R1847" s="1">
        <f t="shared" si="114"/>
        <v>3.5</v>
      </c>
      <c r="S1847">
        <v>3.5</v>
      </c>
      <c r="T1847" t="b">
        <v>1</v>
      </c>
      <c r="U1847" s="13" t="str">
        <f t="shared" si="115"/>
        <v>Size Issue</v>
      </c>
      <c r="V1847" t="s">
        <v>73</v>
      </c>
    </row>
    <row r="1848" spans="1:22" hidden="1" x14ac:dyDescent="0.3">
      <c r="A1848" t="s">
        <v>1901</v>
      </c>
      <c r="B1848" t="s">
        <v>38</v>
      </c>
      <c r="C1848" t="s">
        <v>48</v>
      </c>
      <c r="D1848" t="s">
        <v>17</v>
      </c>
      <c r="E1848" t="str">
        <f t="shared" si="112"/>
        <v>XXL</v>
      </c>
      <c r="F1848" t="s">
        <v>39</v>
      </c>
      <c r="G1848" t="s">
        <v>35</v>
      </c>
      <c r="H1848" s="8">
        <v>64.069999999999993</v>
      </c>
      <c r="I1848" s="3">
        <f t="shared" si="113"/>
        <v>0</v>
      </c>
      <c r="J1848" s="4">
        <v>0</v>
      </c>
      <c r="K1848" s="11">
        <f>Table1[[#This Row],[original_price]]* (Table1[[#This Row],[Markdown percentage updated]])</f>
        <v>0</v>
      </c>
      <c r="L18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48" s="6">
        <v>64.069999999999993</v>
      </c>
      <c r="N18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48" s="7">
        <v>45734</v>
      </c>
      <c r="P1848">
        <v>10</v>
      </c>
      <c r="Q1848" s="17" t="str">
        <f>IF(Table1[[#This Row],[stock_quantity]]=0,"NO STOCK",
IF(Table1[[#This Row],[stock_quantity]]&lt;=10,"LOW STOCK",
"IN STOCK"))</f>
        <v>LOW STOCK</v>
      </c>
      <c r="R1848" s="1">
        <f t="shared" si="114"/>
        <v>0</v>
      </c>
      <c r="T1848" t="b">
        <v>0</v>
      </c>
      <c r="U1848" t="str">
        <f t="shared" si="115"/>
        <v>No Return</v>
      </c>
    </row>
    <row r="1849" spans="1:22" hidden="1" x14ac:dyDescent="0.3">
      <c r="A1849" t="s">
        <v>1902</v>
      </c>
      <c r="B1849" t="s">
        <v>42</v>
      </c>
      <c r="C1849" t="s">
        <v>75</v>
      </c>
      <c r="D1849" t="s">
        <v>34</v>
      </c>
      <c r="E1849" t="str">
        <f t="shared" si="112"/>
        <v>OS</v>
      </c>
      <c r="F1849" t="s">
        <v>55</v>
      </c>
      <c r="G1849" t="s">
        <v>44</v>
      </c>
      <c r="H1849" s="8">
        <v>127.87</v>
      </c>
      <c r="I1849" s="3">
        <f t="shared" si="113"/>
        <v>0.54600000000000004</v>
      </c>
      <c r="J1849" s="4">
        <v>54.6</v>
      </c>
      <c r="K1849" s="11">
        <f>Table1[[#This Row],[original_price]]* (Table1[[#This Row],[Markdown percentage updated]])</f>
        <v>69.817020000000014</v>
      </c>
      <c r="L18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49" s="6">
        <v>58.05</v>
      </c>
      <c r="N18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49" s="7">
        <v>45875</v>
      </c>
      <c r="P1849">
        <v>14</v>
      </c>
      <c r="Q1849" s="16" t="str">
        <f>IF(Table1[[#This Row],[stock_quantity]]=0,"NO STOCK",
IF(Table1[[#This Row],[stock_quantity]]&lt;=10,"LOW STOCK",
"IN STOCK"))</f>
        <v>IN STOCK</v>
      </c>
      <c r="R1849" s="1">
        <f t="shared" si="114"/>
        <v>4.4000000000000004</v>
      </c>
      <c r="S1849">
        <v>4.4000000000000004</v>
      </c>
      <c r="T1849" t="b">
        <v>0</v>
      </c>
      <c r="U1849" t="str">
        <f t="shared" si="115"/>
        <v>No Return</v>
      </c>
    </row>
    <row r="1850" spans="1:22" hidden="1" x14ac:dyDescent="0.3">
      <c r="A1850" t="s">
        <v>1903</v>
      </c>
      <c r="B1850" t="s">
        <v>38</v>
      </c>
      <c r="C1850" t="s">
        <v>32</v>
      </c>
      <c r="D1850" t="s">
        <v>34</v>
      </c>
      <c r="E1850" t="str">
        <f t="shared" si="112"/>
        <v>XS</v>
      </c>
      <c r="F1850" t="s">
        <v>58</v>
      </c>
      <c r="G1850" t="s">
        <v>44</v>
      </c>
      <c r="H1850" s="8">
        <v>32.46</v>
      </c>
      <c r="I1850" s="3">
        <f t="shared" si="113"/>
        <v>0.129</v>
      </c>
      <c r="J1850" s="4">
        <v>12.9</v>
      </c>
      <c r="K1850" s="11">
        <f>Table1[[#This Row],[original_price]]* (Table1[[#This Row],[Markdown percentage updated]])</f>
        <v>4.1873399999999998</v>
      </c>
      <c r="L18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50" s="6">
        <v>28.27</v>
      </c>
      <c r="N18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50" s="7">
        <v>45875</v>
      </c>
      <c r="P1850">
        <v>9</v>
      </c>
      <c r="Q1850" s="17" t="str">
        <f>IF(Table1[[#This Row],[stock_quantity]]=0,"NO STOCK",
IF(Table1[[#This Row],[stock_quantity]]&lt;=10,"LOW STOCK",
"IN STOCK"))</f>
        <v>LOW STOCK</v>
      </c>
      <c r="R1850" s="1">
        <f t="shared" si="114"/>
        <v>0</v>
      </c>
      <c r="T1850" t="b">
        <v>0</v>
      </c>
      <c r="U1850" t="str">
        <f t="shared" si="115"/>
        <v>No Return</v>
      </c>
    </row>
    <row r="1851" spans="1:22" hidden="1" x14ac:dyDescent="0.3">
      <c r="A1851" t="s">
        <v>1904</v>
      </c>
      <c r="B1851" t="s">
        <v>38</v>
      </c>
      <c r="C1851" t="s">
        <v>48</v>
      </c>
      <c r="D1851" t="s">
        <v>62</v>
      </c>
      <c r="E1851" t="str">
        <f t="shared" si="112"/>
        <v>OS</v>
      </c>
      <c r="F1851" t="s">
        <v>49</v>
      </c>
      <c r="G1851" t="s">
        <v>25</v>
      </c>
      <c r="H1851" s="8">
        <v>40.31</v>
      </c>
      <c r="I1851" s="3">
        <f t="shared" si="113"/>
        <v>0.43</v>
      </c>
      <c r="J1851" s="4">
        <v>43</v>
      </c>
      <c r="K1851" s="11">
        <f>Table1[[#This Row],[original_price]]* (Table1[[#This Row],[Markdown percentage updated]])</f>
        <v>17.333300000000001</v>
      </c>
      <c r="L18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51" s="6">
        <v>22.98</v>
      </c>
      <c r="N18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851" s="7">
        <v>45875</v>
      </c>
      <c r="P1851">
        <v>30</v>
      </c>
      <c r="Q1851" s="16" t="str">
        <f>IF(Table1[[#This Row],[stock_quantity]]=0,"NO STOCK",
IF(Table1[[#This Row],[stock_quantity]]&lt;=10,"LOW STOCK",
"IN STOCK"))</f>
        <v>IN STOCK</v>
      </c>
      <c r="R1851" s="1">
        <f t="shared" si="114"/>
        <v>3.5</v>
      </c>
      <c r="S1851">
        <v>3.5</v>
      </c>
      <c r="T1851" t="b">
        <v>1</v>
      </c>
      <c r="U1851" s="13" t="str">
        <f t="shared" si="115"/>
        <v>Color Mismatch</v>
      </c>
      <c r="V1851" t="s">
        <v>36</v>
      </c>
    </row>
    <row r="1852" spans="1:22" hidden="1" x14ac:dyDescent="0.3">
      <c r="A1852" t="s">
        <v>1905</v>
      </c>
      <c r="B1852" t="s">
        <v>27</v>
      </c>
      <c r="C1852" t="s">
        <v>53</v>
      </c>
      <c r="D1852" t="s">
        <v>23</v>
      </c>
      <c r="E1852" t="str">
        <f t="shared" si="112"/>
        <v>S</v>
      </c>
      <c r="G1852" t="s">
        <v>46</v>
      </c>
      <c r="H1852" s="8">
        <v>51.3</v>
      </c>
      <c r="I1852" s="3">
        <f t="shared" si="113"/>
        <v>6.0999999999999999E-2</v>
      </c>
      <c r="J1852" s="4">
        <v>6.1</v>
      </c>
      <c r="K1852" s="11">
        <f>Table1[[#This Row],[original_price]]* (Table1[[#This Row],[Markdown percentage updated]])</f>
        <v>3.1292999999999997</v>
      </c>
      <c r="L18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52" s="6">
        <v>48.17</v>
      </c>
      <c r="N18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52" s="7">
        <v>45875</v>
      </c>
      <c r="P1852">
        <v>31</v>
      </c>
      <c r="Q1852" s="16" t="str">
        <f>IF(Table1[[#This Row],[stock_quantity]]=0,"NO STOCK",
IF(Table1[[#This Row],[stock_quantity]]&lt;=10,"LOW STOCK",
"IN STOCK"))</f>
        <v>IN STOCK</v>
      </c>
      <c r="R1852" s="1">
        <f t="shared" si="114"/>
        <v>0</v>
      </c>
      <c r="T1852" t="b">
        <v>0</v>
      </c>
      <c r="U1852" t="str">
        <f t="shared" si="115"/>
        <v>No Return</v>
      </c>
    </row>
    <row r="1853" spans="1:22" hidden="1" x14ac:dyDescent="0.3">
      <c r="A1853" t="s">
        <v>1906</v>
      </c>
      <c r="B1853" t="s">
        <v>38</v>
      </c>
      <c r="C1853" t="s">
        <v>61</v>
      </c>
      <c r="D1853" t="s">
        <v>23</v>
      </c>
      <c r="E1853" t="str">
        <f t="shared" si="112"/>
        <v>OS</v>
      </c>
      <c r="F1853" t="s">
        <v>55</v>
      </c>
      <c r="G1853" t="s">
        <v>25</v>
      </c>
      <c r="H1853" s="8">
        <v>28.62</v>
      </c>
      <c r="I1853" s="3">
        <f t="shared" si="113"/>
        <v>0</v>
      </c>
      <c r="J1853" s="4">
        <v>0</v>
      </c>
      <c r="K1853" s="11">
        <f>Table1[[#This Row],[original_price]]* (Table1[[#This Row],[Markdown percentage updated]])</f>
        <v>0</v>
      </c>
      <c r="L18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53" s="6">
        <v>28.62</v>
      </c>
      <c r="N18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53" s="7">
        <v>45875</v>
      </c>
      <c r="P1853">
        <v>41</v>
      </c>
      <c r="Q1853" s="16" t="str">
        <f>IF(Table1[[#This Row],[stock_quantity]]=0,"NO STOCK",
IF(Table1[[#This Row],[stock_quantity]]&lt;=10,"LOW STOCK",
"IN STOCK"))</f>
        <v>IN STOCK</v>
      </c>
      <c r="R1853" s="1">
        <f t="shared" si="114"/>
        <v>4</v>
      </c>
      <c r="S1853">
        <v>4</v>
      </c>
      <c r="T1853" t="b">
        <v>0</v>
      </c>
      <c r="U1853" t="str">
        <f t="shared" si="115"/>
        <v>No Return</v>
      </c>
    </row>
    <row r="1854" spans="1:22" hidden="1" x14ac:dyDescent="0.3">
      <c r="A1854" t="s">
        <v>1907</v>
      </c>
      <c r="B1854" t="s">
        <v>27</v>
      </c>
      <c r="C1854" t="s">
        <v>61</v>
      </c>
      <c r="D1854" t="s">
        <v>34</v>
      </c>
      <c r="E1854" t="str">
        <f t="shared" si="112"/>
        <v>L</v>
      </c>
      <c r="G1854" t="s">
        <v>46</v>
      </c>
      <c r="H1854" s="8">
        <v>59.03</v>
      </c>
      <c r="I1854" s="3">
        <f t="shared" si="113"/>
        <v>6.4000000000000001E-2</v>
      </c>
      <c r="J1854" s="4">
        <v>6.4</v>
      </c>
      <c r="K1854" s="11">
        <f>Table1[[#This Row],[original_price]]* (Table1[[#This Row],[Markdown percentage updated]])</f>
        <v>3.7779199999999999</v>
      </c>
      <c r="L18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54" s="6">
        <v>55.25</v>
      </c>
      <c r="N18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54" s="7">
        <v>45875</v>
      </c>
      <c r="P1854">
        <v>45</v>
      </c>
      <c r="Q1854" s="16" t="str">
        <f>IF(Table1[[#This Row],[stock_quantity]]=0,"NO STOCK",
IF(Table1[[#This Row],[stock_quantity]]&lt;=10,"LOW STOCK",
"IN STOCK"))</f>
        <v>IN STOCK</v>
      </c>
      <c r="R1854" s="1">
        <f t="shared" si="114"/>
        <v>0</v>
      </c>
      <c r="T1854" t="b">
        <v>0</v>
      </c>
      <c r="U1854" t="str">
        <f t="shared" si="115"/>
        <v>No Return</v>
      </c>
    </row>
    <row r="1855" spans="1:22" hidden="1" x14ac:dyDescent="0.3">
      <c r="A1855" t="s">
        <v>1908</v>
      </c>
      <c r="B1855" t="s">
        <v>21</v>
      </c>
      <c r="C1855" t="s">
        <v>53</v>
      </c>
      <c r="D1855" t="s">
        <v>62</v>
      </c>
      <c r="E1855" t="str">
        <f t="shared" si="112"/>
        <v>XXL</v>
      </c>
      <c r="F1855" t="s">
        <v>39</v>
      </c>
      <c r="G1855" t="s">
        <v>70</v>
      </c>
      <c r="H1855" s="8">
        <v>99.65</v>
      </c>
      <c r="I1855" s="3">
        <f t="shared" si="113"/>
        <v>7.400000000000001E-2</v>
      </c>
      <c r="J1855" s="4">
        <v>7.4</v>
      </c>
      <c r="K1855" s="11">
        <f>Table1[[#This Row],[original_price]]* (Table1[[#This Row],[Markdown percentage updated]])</f>
        <v>7.3741000000000012</v>
      </c>
      <c r="L18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55" s="6">
        <v>92.28</v>
      </c>
      <c r="N18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55" s="7">
        <v>45875</v>
      </c>
      <c r="P1855">
        <v>31</v>
      </c>
      <c r="Q1855" s="16" t="str">
        <f>IF(Table1[[#This Row],[stock_quantity]]=0,"NO STOCK",
IF(Table1[[#This Row],[stock_quantity]]&lt;=10,"LOW STOCK",
"IN STOCK"))</f>
        <v>IN STOCK</v>
      </c>
      <c r="R1855" s="1">
        <f t="shared" si="114"/>
        <v>3.8</v>
      </c>
      <c r="S1855">
        <v>3.8</v>
      </c>
      <c r="T1855" t="b">
        <v>0</v>
      </c>
      <c r="U1855" t="str">
        <f t="shared" si="115"/>
        <v>No Return</v>
      </c>
    </row>
    <row r="1856" spans="1:22" hidden="1" x14ac:dyDescent="0.3">
      <c r="A1856" t="s">
        <v>1909</v>
      </c>
      <c r="B1856" t="s">
        <v>42</v>
      </c>
      <c r="C1856" t="s">
        <v>75</v>
      </c>
      <c r="D1856" t="s">
        <v>23</v>
      </c>
      <c r="E1856" t="str">
        <f t="shared" si="112"/>
        <v>OS</v>
      </c>
      <c r="G1856" t="s">
        <v>44</v>
      </c>
      <c r="H1856" s="8">
        <v>128.55000000000001</v>
      </c>
      <c r="I1856" s="3">
        <f t="shared" si="113"/>
        <v>0</v>
      </c>
      <c r="J1856" s="4">
        <v>0</v>
      </c>
      <c r="K1856" s="11">
        <f>Table1[[#This Row],[original_price]]* (Table1[[#This Row],[Markdown percentage updated]])</f>
        <v>0</v>
      </c>
      <c r="L18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56" s="6">
        <v>128.55000000000001</v>
      </c>
      <c r="N18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56" s="7">
        <v>45875</v>
      </c>
      <c r="P1856">
        <v>1</v>
      </c>
      <c r="Q1856" s="17" t="str">
        <f>IF(Table1[[#This Row],[stock_quantity]]=0,"NO STOCK",
IF(Table1[[#This Row],[stock_quantity]]&lt;=10,"LOW STOCK",
"IN STOCK"))</f>
        <v>LOW STOCK</v>
      </c>
      <c r="R1856" s="1">
        <f t="shared" si="114"/>
        <v>3.7</v>
      </c>
      <c r="S1856">
        <v>3.7</v>
      </c>
      <c r="T1856" t="b">
        <v>0</v>
      </c>
      <c r="U1856" t="str">
        <f t="shared" si="115"/>
        <v>No Return</v>
      </c>
    </row>
    <row r="1857" spans="1:22" hidden="1" x14ac:dyDescent="0.3">
      <c r="A1857" t="s">
        <v>1910</v>
      </c>
      <c r="B1857" t="s">
        <v>38</v>
      </c>
      <c r="C1857" t="s">
        <v>43</v>
      </c>
      <c r="D1857" t="s">
        <v>17</v>
      </c>
      <c r="E1857" t="str">
        <f t="shared" si="112"/>
        <v>XXL</v>
      </c>
      <c r="F1857" t="s">
        <v>24</v>
      </c>
      <c r="G1857" t="s">
        <v>66</v>
      </c>
      <c r="H1857" s="8">
        <v>78.09</v>
      </c>
      <c r="I1857" s="3">
        <f t="shared" si="113"/>
        <v>0.56299999999999994</v>
      </c>
      <c r="J1857" s="4">
        <v>56.3</v>
      </c>
      <c r="K1857" s="11">
        <f>Table1[[#This Row],[original_price]]* (Table1[[#This Row],[Markdown percentage updated]])</f>
        <v>43.964669999999998</v>
      </c>
      <c r="L18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57" s="6">
        <v>34.130000000000003</v>
      </c>
      <c r="N18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57" s="7">
        <v>45770</v>
      </c>
      <c r="P1857">
        <v>20</v>
      </c>
      <c r="Q1857" s="16" t="str">
        <f>IF(Table1[[#This Row],[stock_quantity]]=0,"NO STOCK",
IF(Table1[[#This Row],[stock_quantity]]&lt;=10,"LOW STOCK",
"IN STOCK"))</f>
        <v>IN STOCK</v>
      </c>
      <c r="R1857" s="1">
        <f t="shared" si="114"/>
        <v>1.3</v>
      </c>
      <c r="S1857">
        <v>1.3</v>
      </c>
      <c r="T1857" t="b">
        <v>0</v>
      </c>
      <c r="U1857" t="str">
        <f t="shared" si="115"/>
        <v>No Return</v>
      </c>
    </row>
    <row r="1858" spans="1:22" hidden="1" x14ac:dyDescent="0.3">
      <c r="A1858" t="s">
        <v>1911</v>
      </c>
      <c r="B1858" t="s">
        <v>38</v>
      </c>
      <c r="C1858" t="s">
        <v>43</v>
      </c>
      <c r="D1858" t="s">
        <v>62</v>
      </c>
      <c r="E1858" t="str">
        <f t="shared" ref="E1858:E1921" si="116">IF(ISBLANK(F1861),"OS",F1861)</f>
        <v>S</v>
      </c>
      <c r="F1858" t="s">
        <v>49</v>
      </c>
      <c r="G1858" t="s">
        <v>64</v>
      </c>
      <c r="H1858" s="8">
        <v>108.89</v>
      </c>
      <c r="I1858" s="3">
        <f t="shared" ref="I1858:I1921" si="117">J1858/100</f>
        <v>0</v>
      </c>
      <c r="J1858" s="4">
        <v>0</v>
      </c>
      <c r="K1858" s="11">
        <f>Table1[[#This Row],[original_price]]* (Table1[[#This Row],[Markdown percentage updated]])</f>
        <v>0</v>
      </c>
      <c r="L18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58" s="6">
        <v>108.89</v>
      </c>
      <c r="N18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58" s="7">
        <v>45875</v>
      </c>
      <c r="P1858">
        <v>50</v>
      </c>
      <c r="Q1858" s="16" t="str">
        <f>IF(Table1[[#This Row],[stock_quantity]]=0,"NO STOCK",
IF(Table1[[#This Row],[stock_quantity]]&lt;=10,"LOW STOCK",
"IN STOCK"))</f>
        <v>IN STOCK</v>
      </c>
      <c r="R1858" s="1">
        <f t="shared" si="114"/>
        <v>2.9</v>
      </c>
      <c r="S1858">
        <v>2.9</v>
      </c>
      <c r="T1858" t="b">
        <v>0</v>
      </c>
      <c r="U1858" t="str">
        <f t="shared" si="115"/>
        <v>No Return</v>
      </c>
    </row>
    <row r="1859" spans="1:22" hidden="1" x14ac:dyDescent="0.3">
      <c r="A1859" t="s">
        <v>1912</v>
      </c>
      <c r="B1859" t="s">
        <v>38</v>
      </c>
      <c r="C1859" t="s">
        <v>53</v>
      </c>
      <c r="D1859" t="s">
        <v>17</v>
      </c>
      <c r="E1859" t="str">
        <f t="shared" si="116"/>
        <v>OS</v>
      </c>
      <c r="G1859" t="s">
        <v>40</v>
      </c>
      <c r="H1859" s="8">
        <v>35.21</v>
      </c>
      <c r="I1859" s="3">
        <f t="shared" si="117"/>
        <v>0.14699999999999999</v>
      </c>
      <c r="J1859" s="4">
        <v>14.7</v>
      </c>
      <c r="K1859" s="11">
        <f>Table1[[#This Row],[original_price]]* (Table1[[#This Row],[Markdown percentage updated]])</f>
        <v>5.1758699999999997</v>
      </c>
      <c r="L18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59" s="6">
        <v>30.03</v>
      </c>
      <c r="N18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59" s="7">
        <v>45649</v>
      </c>
      <c r="P1859">
        <v>15</v>
      </c>
      <c r="Q1859" s="16" t="str">
        <f>IF(Table1[[#This Row],[stock_quantity]]=0,"NO STOCK",
IF(Table1[[#This Row],[stock_quantity]]&lt;=10,"LOW STOCK",
"IN STOCK"))</f>
        <v>IN STOCK</v>
      </c>
      <c r="R1859" s="1">
        <f t="shared" ref="R1859:R1922" si="118">IF(ISBLANK(S1859), 0, S1859)</f>
        <v>3.1</v>
      </c>
      <c r="S1859">
        <v>3.1</v>
      </c>
      <c r="T1859" t="b">
        <v>1</v>
      </c>
      <c r="U1859" s="13" t="str">
        <f t="shared" ref="U1859:U1922" si="119">IF(V1859="","No Return",V1859)</f>
        <v>Quality Issue</v>
      </c>
      <c r="V1859" t="s">
        <v>83</v>
      </c>
    </row>
    <row r="1860" spans="1:22" hidden="1" x14ac:dyDescent="0.3">
      <c r="A1860" t="s">
        <v>1913</v>
      </c>
      <c r="B1860" t="s">
        <v>42</v>
      </c>
      <c r="C1860" t="s">
        <v>61</v>
      </c>
      <c r="D1860" t="s">
        <v>62</v>
      </c>
      <c r="E1860" t="str">
        <f t="shared" si="116"/>
        <v>S</v>
      </c>
      <c r="F1860" t="s">
        <v>49</v>
      </c>
      <c r="G1860" t="s">
        <v>70</v>
      </c>
      <c r="H1860" s="8">
        <v>129.16</v>
      </c>
      <c r="I1860" s="3">
        <f t="shared" si="117"/>
        <v>0.34</v>
      </c>
      <c r="J1860" s="4">
        <v>34</v>
      </c>
      <c r="K1860" s="11">
        <f>Table1[[#This Row],[original_price]]* (Table1[[#This Row],[Markdown percentage updated]])</f>
        <v>43.914400000000001</v>
      </c>
      <c r="L18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60" s="6">
        <v>85.25</v>
      </c>
      <c r="N18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60" s="7">
        <v>45875</v>
      </c>
      <c r="P1860">
        <v>24</v>
      </c>
      <c r="Q1860" s="16" t="str">
        <f>IF(Table1[[#This Row],[stock_quantity]]=0,"NO STOCK",
IF(Table1[[#This Row],[stock_quantity]]&lt;=10,"LOW STOCK",
"IN STOCK"))</f>
        <v>IN STOCK</v>
      </c>
      <c r="R1860" s="1">
        <f t="shared" si="118"/>
        <v>1.7</v>
      </c>
      <c r="S1860">
        <v>1.7</v>
      </c>
      <c r="T1860" t="b">
        <v>0</v>
      </c>
      <c r="U1860" t="str">
        <f t="shared" si="119"/>
        <v>No Return</v>
      </c>
    </row>
    <row r="1861" spans="1:22" hidden="1" x14ac:dyDescent="0.3">
      <c r="A1861" t="s">
        <v>1914</v>
      </c>
      <c r="B1861" t="s">
        <v>42</v>
      </c>
      <c r="C1861" t="s">
        <v>53</v>
      </c>
      <c r="D1861" t="s">
        <v>62</v>
      </c>
      <c r="E1861" t="str">
        <f t="shared" si="116"/>
        <v>XS</v>
      </c>
      <c r="F1861" t="s">
        <v>39</v>
      </c>
      <c r="G1861" t="s">
        <v>40</v>
      </c>
      <c r="H1861" s="8">
        <v>142.43</v>
      </c>
      <c r="I1861" s="3">
        <f t="shared" si="117"/>
        <v>0</v>
      </c>
      <c r="J1861" s="4">
        <v>0</v>
      </c>
      <c r="K1861" s="11">
        <f>Table1[[#This Row],[original_price]]* (Table1[[#This Row],[Markdown percentage updated]])</f>
        <v>0</v>
      </c>
      <c r="L18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61" s="6">
        <v>142.43</v>
      </c>
      <c r="N18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61" s="7">
        <v>45875</v>
      </c>
      <c r="P1861">
        <v>15</v>
      </c>
      <c r="Q1861" s="16" t="str">
        <f>IF(Table1[[#This Row],[stock_quantity]]=0,"NO STOCK",
IF(Table1[[#This Row],[stock_quantity]]&lt;=10,"LOW STOCK",
"IN STOCK"))</f>
        <v>IN STOCK</v>
      </c>
      <c r="R1861" s="1">
        <f t="shared" si="118"/>
        <v>4.0999999999999996</v>
      </c>
      <c r="S1861">
        <v>4.0999999999999996</v>
      </c>
      <c r="T1861" t="b">
        <v>1</v>
      </c>
      <c r="U1861" s="13" t="str">
        <f t="shared" si="119"/>
        <v>Size Issue</v>
      </c>
      <c r="V1861" t="s">
        <v>73</v>
      </c>
    </row>
    <row r="1862" spans="1:22" hidden="1" x14ac:dyDescent="0.3">
      <c r="A1862" t="s">
        <v>1915</v>
      </c>
      <c r="B1862" t="s">
        <v>27</v>
      </c>
      <c r="C1862" t="s">
        <v>75</v>
      </c>
      <c r="D1862" t="s">
        <v>17</v>
      </c>
      <c r="E1862" t="str">
        <f t="shared" si="116"/>
        <v>XL</v>
      </c>
      <c r="G1862" t="s">
        <v>64</v>
      </c>
      <c r="H1862" s="8">
        <v>45.19</v>
      </c>
      <c r="I1862" s="3">
        <f t="shared" si="117"/>
        <v>0</v>
      </c>
      <c r="J1862" s="4">
        <v>0</v>
      </c>
      <c r="K1862" s="11">
        <f>Table1[[#This Row],[original_price]]* (Table1[[#This Row],[Markdown percentage updated]])</f>
        <v>0</v>
      </c>
      <c r="L18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62" s="6">
        <v>45.19</v>
      </c>
      <c r="N18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62" s="7">
        <v>45716</v>
      </c>
      <c r="P1862">
        <v>38</v>
      </c>
      <c r="Q1862" s="16" t="str">
        <f>IF(Table1[[#This Row],[stock_quantity]]=0,"NO STOCK",
IF(Table1[[#This Row],[stock_quantity]]&lt;=10,"LOW STOCK",
"IN STOCK"))</f>
        <v>IN STOCK</v>
      </c>
      <c r="R1862" s="1">
        <f t="shared" si="118"/>
        <v>1.6</v>
      </c>
      <c r="S1862">
        <v>1.6</v>
      </c>
      <c r="T1862" t="b">
        <v>1</v>
      </c>
      <c r="U1862" s="13" t="str">
        <f t="shared" si="119"/>
        <v>Wrong Item</v>
      </c>
      <c r="V1862" t="s">
        <v>125</v>
      </c>
    </row>
    <row r="1863" spans="1:22" hidden="1" x14ac:dyDescent="0.3">
      <c r="A1863" t="s">
        <v>1916</v>
      </c>
      <c r="B1863" t="s">
        <v>38</v>
      </c>
      <c r="C1863" t="s">
        <v>48</v>
      </c>
      <c r="D1863" t="s">
        <v>34</v>
      </c>
      <c r="E1863" t="str">
        <f t="shared" si="116"/>
        <v>S</v>
      </c>
      <c r="F1863" t="s">
        <v>39</v>
      </c>
      <c r="G1863" t="s">
        <v>66</v>
      </c>
      <c r="H1863" s="8">
        <v>47.66</v>
      </c>
      <c r="I1863" s="3">
        <f t="shared" si="117"/>
        <v>0</v>
      </c>
      <c r="J1863" s="4">
        <v>0</v>
      </c>
      <c r="K1863" s="11">
        <f>Table1[[#This Row],[original_price]]* (Table1[[#This Row],[Markdown percentage updated]])</f>
        <v>0</v>
      </c>
      <c r="L18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63" s="6">
        <v>47.66</v>
      </c>
      <c r="N18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63" s="7">
        <v>45875</v>
      </c>
      <c r="P1863">
        <v>0</v>
      </c>
      <c r="Q1863" s="13" t="str">
        <f>IF(Table1[[#This Row],[stock_quantity]]=0,"NO STOCK",
IF(Table1[[#This Row],[stock_quantity]]&lt;=10,"LOW STOCK",
"IN STOCK"))</f>
        <v>NO STOCK</v>
      </c>
      <c r="R1863" s="1">
        <f t="shared" si="118"/>
        <v>4.8</v>
      </c>
      <c r="S1863">
        <v>4.8</v>
      </c>
      <c r="T1863" t="b">
        <v>1</v>
      </c>
      <c r="U1863" s="13" t="str">
        <f t="shared" si="119"/>
        <v>Size Issue</v>
      </c>
      <c r="V1863" t="s">
        <v>73</v>
      </c>
    </row>
    <row r="1864" spans="1:22" hidden="1" x14ac:dyDescent="0.3">
      <c r="A1864" t="s">
        <v>1917</v>
      </c>
      <c r="B1864" t="s">
        <v>38</v>
      </c>
      <c r="C1864" t="s">
        <v>22</v>
      </c>
      <c r="D1864" t="s">
        <v>62</v>
      </c>
      <c r="E1864" t="str">
        <f t="shared" si="116"/>
        <v>L</v>
      </c>
      <c r="F1864" t="s">
        <v>55</v>
      </c>
      <c r="G1864" t="s">
        <v>56</v>
      </c>
      <c r="H1864" s="8">
        <v>115.05</v>
      </c>
      <c r="I1864" s="3">
        <f t="shared" si="117"/>
        <v>0.4</v>
      </c>
      <c r="J1864" s="4">
        <v>40</v>
      </c>
      <c r="K1864" s="11">
        <f>Table1[[#This Row],[original_price]]* (Table1[[#This Row],[Markdown percentage updated]])</f>
        <v>46.02</v>
      </c>
      <c r="L18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64" s="6">
        <v>69.03</v>
      </c>
      <c r="N18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64" s="7">
        <v>45875</v>
      </c>
      <c r="P1864">
        <v>48</v>
      </c>
      <c r="Q1864" s="16" t="str">
        <f>IF(Table1[[#This Row],[stock_quantity]]=0,"NO STOCK",
IF(Table1[[#This Row],[stock_quantity]]&lt;=10,"LOW STOCK",
"IN STOCK"))</f>
        <v>IN STOCK</v>
      </c>
      <c r="R1864" s="1">
        <f t="shared" si="118"/>
        <v>3.1</v>
      </c>
      <c r="S1864">
        <v>3.1</v>
      </c>
      <c r="T1864" t="b">
        <v>0</v>
      </c>
      <c r="U1864" t="str">
        <f t="shared" si="119"/>
        <v>No Return</v>
      </c>
    </row>
    <row r="1865" spans="1:22" hidden="1" x14ac:dyDescent="0.3">
      <c r="A1865" t="s">
        <v>1918</v>
      </c>
      <c r="B1865" t="s">
        <v>38</v>
      </c>
      <c r="C1865" t="s">
        <v>32</v>
      </c>
      <c r="D1865" t="s">
        <v>62</v>
      </c>
      <c r="E1865" t="str">
        <f t="shared" si="116"/>
        <v>L</v>
      </c>
      <c r="F1865" t="s">
        <v>18</v>
      </c>
      <c r="G1865" t="s">
        <v>70</v>
      </c>
      <c r="H1865" s="8">
        <v>87.84</v>
      </c>
      <c r="I1865" s="3">
        <f t="shared" si="117"/>
        <v>0</v>
      </c>
      <c r="J1865" s="4">
        <v>0</v>
      </c>
      <c r="K1865" s="11">
        <f>Table1[[#This Row],[original_price]]* (Table1[[#This Row],[Markdown percentage updated]])</f>
        <v>0</v>
      </c>
      <c r="L18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65" s="6">
        <v>87.84</v>
      </c>
      <c r="N18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65" s="7">
        <v>45875</v>
      </c>
      <c r="P1865">
        <v>29</v>
      </c>
      <c r="Q1865" s="16" t="str">
        <f>IF(Table1[[#This Row],[stock_quantity]]=0,"NO STOCK",
IF(Table1[[#This Row],[stock_quantity]]&lt;=10,"LOW STOCK",
"IN STOCK"))</f>
        <v>IN STOCK</v>
      </c>
      <c r="R1865" s="1">
        <f t="shared" si="118"/>
        <v>1.3</v>
      </c>
      <c r="S1865">
        <v>1.3</v>
      </c>
      <c r="T1865" t="b">
        <v>0</v>
      </c>
      <c r="U1865" t="str">
        <f t="shared" si="119"/>
        <v>No Return</v>
      </c>
    </row>
    <row r="1866" spans="1:22" hidden="1" x14ac:dyDescent="0.3">
      <c r="A1866" t="s">
        <v>1919</v>
      </c>
      <c r="B1866" t="s">
        <v>42</v>
      </c>
      <c r="C1866" t="s">
        <v>75</v>
      </c>
      <c r="D1866" t="s">
        <v>34</v>
      </c>
      <c r="E1866" t="str">
        <f t="shared" si="116"/>
        <v>XXL</v>
      </c>
      <c r="F1866" t="s">
        <v>39</v>
      </c>
      <c r="G1866" t="s">
        <v>44</v>
      </c>
      <c r="H1866" s="8">
        <v>73.42</v>
      </c>
      <c r="I1866" s="3">
        <f t="shared" si="117"/>
        <v>0.35</v>
      </c>
      <c r="J1866" s="4">
        <v>35</v>
      </c>
      <c r="K1866" s="11">
        <f>Table1[[#This Row],[original_price]]* (Table1[[#This Row],[Markdown percentage updated]])</f>
        <v>25.696999999999999</v>
      </c>
      <c r="L18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66" s="6">
        <v>47.72</v>
      </c>
      <c r="N18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66" s="7">
        <v>45875</v>
      </c>
      <c r="P1866">
        <v>44</v>
      </c>
      <c r="Q1866" s="16" t="str">
        <f>IF(Table1[[#This Row],[stock_quantity]]=0,"NO STOCK",
IF(Table1[[#This Row],[stock_quantity]]&lt;=10,"LOW STOCK",
"IN STOCK"))</f>
        <v>IN STOCK</v>
      </c>
      <c r="R1866" s="1">
        <f t="shared" si="118"/>
        <v>0</v>
      </c>
      <c r="T1866" t="b">
        <v>0</v>
      </c>
      <c r="U1866" t="str">
        <f t="shared" si="119"/>
        <v>No Return</v>
      </c>
    </row>
    <row r="1867" spans="1:22" hidden="1" x14ac:dyDescent="0.3">
      <c r="A1867" t="s">
        <v>1920</v>
      </c>
      <c r="B1867" t="s">
        <v>30</v>
      </c>
      <c r="C1867" t="s">
        <v>61</v>
      </c>
      <c r="D1867" t="s">
        <v>34</v>
      </c>
      <c r="E1867" t="str">
        <f t="shared" si="116"/>
        <v>OS</v>
      </c>
      <c r="F1867" t="s">
        <v>24</v>
      </c>
      <c r="G1867" t="s">
        <v>64</v>
      </c>
      <c r="H1867" s="8">
        <v>181.58</v>
      </c>
      <c r="I1867" s="3">
        <f t="shared" si="117"/>
        <v>0.21600000000000003</v>
      </c>
      <c r="J1867" s="4">
        <v>21.6</v>
      </c>
      <c r="K1867" s="11">
        <f>Table1[[#This Row],[original_price]]* (Table1[[#This Row],[Markdown percentage updated]])</f>
        <v>39.221280000000007</v>
      </c>
      <c r="L18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867" s="6">
        <v>142.36000000000001</v>
      </c>
      <c r="N18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67" s="7">
        <v>45875</v>
      </c>
      <c r="P1867">
        <v>14</v>
      </c>
      <c r="Q1867" s="16" t="str">
        <f>IF(Table1[[#This Row],[stock_quantity]]=0,"NO STOCK",
IF(Table1[[#This Row],[stock_quantity]]&lt;=10,"LOW STOCK",
"IN STOCK"))</f>
        <v>IN STOCK</v>
      </c>
      <c r="R1867" s="1">
        <f t="shared" si="118"/>
        <v>4.7</v>
      </c>
      <c r="S1867">
        <v>4.7</v>
      </c>
      <c r="T1867" t="b">
        <v>0</v>
      </c>
      <c r="U1867" t="str">
        <f t="shared" si="119"/>
        <v>No Return</v>
      </c>
    </row>
    <row r="1868" spans="1:22" hidden="1" x14ac:dyDescent="0.3">
      <c r="A1868" t="s">
        <v>1921</v>
      </c>
      <c r="B1868" t="s">
        <v>21</v>
      </c>
      <c r="C1868" t="s">
        <v>48</v>
      </c>
      <c r="D1868" t="s">
        <v>17</v>
      </c>
      <c r="E1868" t="str">
        <f t="shared" si="116"/>
        <v>L</v>
      </c>
      <c r="F1868" t="s">
        <v>24</v>
      </c>
      <c r="G1868" t="s">
        <v>28</v>
      </c>
      <c r="H1868" s="8">
        <v>71.680000000000007</v>
      </c>
      <c r="I1868" s="3">
        <f t="shared" si="117"/>
        <v>0</v>
      </c>
      <c r="J1868" s="4">
        <v>0</v>
      </c>
      <c r="K1868" s="11">
        <f>Table1[[#This Row],[original_price]]* (Table1[[#This Row],[Markdown percentage updated]])</f>
        <v>0</v>
      </c>
      <c r="L18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68" s="6">
        <v>71.680000000000007</v>
      </c>
      <c r="N18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68" s="7">
        <v>45874</v>
      </c>
      <c r="P1868">
        <v>0</v>
      </c>
      <c r="Q1868" s="13" t="str">
        <f>IF(Table1[[#This Row],[stock_quantity]]=0,"NO STOCK",
IF(Table1[[#This Row],[stock_quantity]]&lt;=10,"LOW STOCK",
"IN STOCK"))</f>
        <v>NO STOCK</v>
      </c>
      <c r="R1868" s="1">
        <f t="shared" si="118"/>
        <v>1.5</v>
      </c>
      <c r="S1868">
        <v>1.5</v>
      </c>
      <c r="T1868" t="b">
        <v>0</v>
      </c>
      <c r="U1868" t="str">
        <f t="shared" si="119"/>
        <v>No Return</v>
      </c>
    </row>
    <row r="1869" spans="1:22" hidden="1" x14ac:dyDescent="0.3">
      <c r="A1869" t="s">
        <v>1922</v>
      </c>
      <c r="B1869" t="s">
        <v>21</v>
      </c>
      <c r="C1869" t="s">
        <v>32</v>
      </c>
      <c r="D1869" t="s">
        <v>23</v>
      </c>
      <c r="E1869" t="str">
        <f t="shared" si="116"/>
        <v>OS</v>
      </c>
      <c r="F1869" t="s">
        <v>49</v>
      </c>
      <c r="G1869" t="s">
        <v>56</v>
      </c>
      <c r="H1869" s="8">
        <v>25.63</v>
      </c>
      <c r="I1869" s="3">
        <f t="shared" si="117"/>
        <v>0</v>
      </c>
      <c r="J1869" s="4">
        <v>0</v>
      </c>
      <c r="K1869" s="11">
        <f>Table1[[#This Row],[original_price]]* (Table1[[#This Row],[Markdown percentage updated]])</f>
        <v>0</v>
      </c>
      <c r="L18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69" s="6">
        <v>25.63</v>
      </c>
      <c r="N18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69" s="7">
        <v>45875</v>
      </c>
      <c r="P1869">
        <v>27</v>
      </c>
      <c r="Q1869" s="16" t="str">
        <f>IF(Table1[[#This Row],[stock_quantity]]=0,"NO STOCK",
IF(Table1[[#This Row],[stock_quantity]]&lt;=10,"LOW STOCK",
"IN STOCK"))</f>
        <v>IN STOCK</v>
      </c>
      <c r="R1869" s="1">
        <f t="shared" si="118"/>
        <v>1.2</v>
      </c>
      <c r="S1869">
        <v>1.2</v>
      </c>
      <c r="T1869" t="b">
        <v>0</v>
      </c>
      <c r="U1869" t="str">
        <f t="shared" si="119"/>
        <v>No Return</v>
      </c>
    </row>
    <row r="1870" spans="1:22" hidden="1" x14ac:dyDescent="0.3">
      <c r="A1870" t="s">
        <v>1923</v>
      </c>
      <c r="B1870" t="s">
        <v>21</v>
      </c>
      <c r="C1870" t="s">
        <v>75</v>
      </c>
      <c r="D1870" t="s">
        <v>23</v>
      </c>
      <c r="E1870" t="str">
        <f t="shared" si="116"/>
        <v>M</v>
      </c>
      <c r="G1870" t="s">
        <v>70</v>
      </c>
      <c r="H1870" s="8">
        <v>31.34</v>
      </c>
      <c r="I1870" s="3">
        <f t="shared" si="117"/>
        <v>0.48499999999999999</v>
      </c>
      <c r="J1870" s="4">
        <v>48.5</v>
      </c>
      <c r="K1870" s="11">
        <f>Table1[[#This Row],[original_price]]* (Table1[[#This Row],[Markdown percentage updated]])</f>
        <v>15.1999</v>
      </c>
      <c r="L18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70" s="6">
        <v>16.14</v>
      </c>
      <c r="N18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870" s="7">
        <v>45875</v>
      </c>
      <c r="P1870">
        <v>36</v>
      </c>
      <c r="Q1870" s="16" t="str">
        <f>IF(Table1[[#This Row],[stock_quantity]]=0,"NO STOCK",
IF(Table1[[#This Row],[stock_quantity]]&lt;=10,"LOW STOCK",
"IN STOCK"))</f>
        <v>IN STOCK</v>
      </c>
      <c r="R1870" s="1">
        <f t="shared" si="118"/>
        <v>1.6</v>
      </c>
      <c r="S1870">
        <v>1.6</v>
      </c>
      <c r="T1870" t="b">
        <v>1</v>
      </c>
      <c r="U1870" s="13" t="str">
        <f t="shared" si="119"/>
        <v>Size Issue</v>
      </c>
      <c r="V1870" t="s">
        <v>73</v>
      </c>
    </row>
    <row r="1871" spans="1:22" hidden="1" x14ac:dyDescent="0.3">
      <c r="A1871" t="s">
        <v>1924</v>
      </c>
      <c r="B1871" t="s">
        <v>42</v>
      </c>
      <c r="C1871" t="s">
        <v>48</v>
      </c>
      <c r="D1871" t="s">
        <v>34</v>
      </c>
      <c r="E1871" t="str">
        <f t="shared" si="116"/>
        <v>S</v>
      </c>
      <c r="F1871" t="s">
        <v>24</v>
      </c>
      <c r="G1871" t="s">
        <v>56</v>
      </c>
      <c r="H1871" s="8">
        <v>98.91</v>
      </c>
      <c r="I1871" s="3">
        <f t="shared" si="117"/>
        <v>0.33799999999999997</v>
      </c>
      <c r="J1871" s="4">
        <v>33.799999999999997</v>
      </c>
      <c r="K1871" s="11">
        <f>Table1[[#This Row],[original_price]]* (Table1[[#This Row],[Markdown percentage updated]])</f>
        <v>33.431579999999997</v>
      </c>
      <c r="L18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71" s="6">
        <v>65.48</v>
      </c>
      <c r="N18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71" s="7">
        <v>45875</v>
      </c>
      <c r="P1871">
        <v>33</v>
      </c>
      <c r="Q1871" s="16" t="str">
        <f>IF(Table1[[#This Row],[stock_quantity]]=0,"NO STOCK",
IF(Table1[[#This Row],[stock_quantity]]&lt;=10,"LOW STOCK",
"IN STOCK"))</f>
        <v>IN STOCK</v>
      </c>
      <c r="R1871" s="1">
        <f t="shared" si="118"/>
        <v>0</v>
      </c>
      <c r="T1871" t="b">
        <v>1</v>
      </c>
      <c r="U1871" s="13" t="str">
        <f t="shared" si="119"/>
        <v>Color Mismatch</v>
      </c>
      <c r="V1871" t="s">
        <v>36</v>
      </c>
    </row>
    <row r="1872" spans="1:22" hidden="1" x14ac:dyDescent="0.3">
      <c r="A1872" t="s">
        <v>1925</v>
      </c>
      <c r="B1872" t="s">
        <v>27</v>
      </c>
      <c r="C1872" t="s">
        <v>16</v>
      </c>
      <c r="D1872" t="s">
        <v>23</v>
      </c>
      <c r="E1872" t="str">
        <f t="shared" si="116"/>
        <v>XL</v>
      </c>
      <c r="G1872" t="s">
        <v>19</v>
      </c>
      <c r="H1872" s="8">
        <v>43.33</v>
      </c>
      <c r="I1872" s="3">
        <f t="shared" si="117"/>
        <v>7.8E-2</v>
      </c>
      <c r="J1872" s="4">
        <v>7.8</v>
      </c>
      <c r="K1872" s="11">
        <f>Table1[[#This Row],[original_price]]* (Table1[[#This Row],[Markdown percentage updated]])</f>
        <v>3.37974</v>
      </c>
      <c r="L18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72" s="6">
        <v>39.950000000000003</v>
      </c>
      <c r="N18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72" s="7">
        <v>45875</v>
      </c>
      <c r="P1872">
        <v>4</v>
      </c>
      <c r="Q1872" s="17" t="str">
        <f>IF(Table1[[#This Row],[stock_quantity]]=0,"NO STOCK",
IF(Table1[[#This Row],[stock_quantity]]&lt;=10,"LOW STOCK",
"IN STOCK"))</f>
        <v>LOW STOCK</v>
      </c>
      <c r="R1872" s="1">
        <f t="shared" si="118"/>
        <v>1.3</v>
      </c>
      <c r="S1872">
        <v>1.3</v>
      </c>
      <c r="T1872" t="b">
        <v>0</v>
      </c>
      <c r="U1872" t="str">
        <f t="shared" si="119"/>
        <v>No Return</v>
      </c>
    </row>
    <row r="1873" spans="1:22" hidden="1" x14ac:dyDescent="0.3">
      <c r="A1873" t="s">
        <v>1926</v>
      </c>
      <c r="B1873" t="s">
        <v>30</v>
      </c>
      <c r="C1873" t="s">
        <v>61</v>
      </c>
      <c r="D1873" t="s">
        <v>62</v>
      </c>
      <c r="E1873" t="str">
        <f t="shared" si="116"/>
        <v>XS</v>
      </c>
      <c r="F1873" t="s">
        <v>58</v>
      </c>
      <c r="G1873" t="s">
        <v>28</v>
      </c>
      <c r="H1873" s="8">
        <v>70.709999999999994</v>
      </c>
      <c r="I1873" s="3">
        <f t="shared" si="117"/>
        <v>0</v>
      </c>
      <c r="J1873" s="4">
        <v>0</v>
      </c>
      <c r="K1873" s="11">
        <f>Table1[[#This Row],[original_price]]* (Table1[[#This Row],[Markdown percentage updated]])</f>
        <v>0</v>
      </c>
      <c r="L18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73" s="6">
        <v>70.709999999999994</v>
      </c>
      <c r="N18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73" s="7">
        <v>45875</v>
      </c>
      <c r="P1873">
        <v>8</v>
      </c>
      <c r="Q1873" s="17" t="str">
        <f>IF(Table1[[#This Row],[stock_quantity]]=0,"NO STOCK",
IF(Table1[[#This Row],[stock_quantity]]&lt;=10,"LOW STOCK",
"IN STOCK"))</f>
        <v>LOW STOCK</v>
      </c>
      <c r="R1873" s="1">
        <f t="shared" si="118"/>
        <v>2.2999999999999998</v>
      </c>
      <c r="S1873">
        <v>2.2999999999999998</v>
      </c>
      <c r="T1873" t="b">
        <v>0</v>
      </c>
      <c r="U1873" t="str">
        <f t="shared" si="119"/>
        <v>No Return</v>
      </c>
    </row>
    <row r="1874" spans="1:22" hidden="1" x14ac:dyDescent="0.3">
      <c r="A1874" t="s">
        <v>1927</v>
      </c>
      <c r="B1874" t="s">
        <v>15</v>
      </c>
      <c r="C1874" t="s">
        <v>48</v>
      </c>
      <c r="D1874" t="s">
        <v>23</v>
      </c>
      <c r="E1874" t="str">
        <f t="shared" si="116"/>
        <v>XS</v>
      </c>
      <c r="F1874" t="s">
        <v>39</v>
      </c>
      <c r="G1874" t="s">
        <v>66</v>
      </c>
      <c r="H1874" s="8">
        <v>215.99</v>
      </c>
      <c r="I1874" s="3">
        <f t="shared" si="117"/>
        <v>0.38100000000000001</v>
      </c>
      <c r="J1874" s="4">
        <v>38.1</v>
      </c>
      <c r="K1874" s="11">
        <f>Table1[[#This Row],[original_price]]* (Table1[[#This Row],[Markdown percentage updated]])</f>
        <v>82.292190000000005</v>
      </c>
      <c r="L18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74" s="6">
        <v>133.69999999999999</v>
      </c>
      <c r="N18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74" s="7">
        <v>45875</v>
      </c>
      <c r="P1874">
        <v>14</v>
      </c>
      <c r="Q1874" s="16" t="str">
        <f>IF(Table1[[#This Row],[stock_quantity]]=0,"NO STOCK",
IF(Table1[[#This Row],[stock_quantity]]&lt;=10,"LOW STOCK",
"IN STOCK"))</f>
        <v>IN STOCK</v>
      </c>
      <c r="R1874" s="1">
        <f t="shared" si="118"/>
        <v>3.9</v>
      </c>
      <c r="S1874">
        <v>3.9</v>
      </c>
      <c r="T1874" t="b">
        <v>0</v>
      </c>
      <c r="U1874" t="str">
        <f t="shared" si="119"/>
        <v>No Return</v>
      </c>
    </row>
    <row r="1875" spans="1:22" hidden="1" x14ac:dyDescent="0.3">
      <c r="A1875" t="s">
        <v>1928</v>
      </c>
      <c r="B1875" t="s">
        <v>42</v>
      </c>
      <c r="C1875" t="s">
        <v>32</v>
      </c>
      <c r="D1875" t="s">
        <v>23</v>
      </c>
      <c r="E1875" t="str">
        <f t="shared" si="116"/>
        <v>L</v>
      </c>
      <c r="F1875" t="s">
        <v>18</v>
      </c>
      <c r="G1875" t="s">
        <v>46</v>
      </c>
      <c r="H1875" s="8">
        <v>145.57</v>
      </c>
      <c r="I1875" s="3">
        <f t="shared" si="117"/>
        <v>5.0999999999999997E-2</v>
      </c>
      <c r="J1875" s="4">
        <v>5.0999999999999996</v>
      </c>
      <c r="K1875" s="11">
        <f>Table1[[#This Row],[original_price]]* (Table1[[#This Row],[Markdown percentage updated]])</f>
        <v>7.4240699999999995</v>
      </c>
      <c r="L18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75" s="6">
        <v>138.15</v>
      </c>
      <c r="N18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75" s="7">
        <v>45875</v>
      </c>
      <c r="P1875">
        <v>8</v>
      </c>
      <c r="Q1875" s="17" t="str">
        <f>IF(Table1[[#This Row],[stock_quantity]]=0,"NO STOCK",
IF(Table1[[#This Row],[stock_quantity]]&lt;=10,"LOW STOCK",
"IN STOCK"))</f>
        <v>LOW STOCK</v>
      </c>
      <c r="R1875" s="1">
        <f t="shared" si="118"/>
        <v>4.4000000000000004</v>
      </c>
      <c r="S1875">
        <v>4.4000000000000004</v>
      </c>
      <c r="T1875" t="b">
        <v>0</v>
      </c>
      <c r="U1875" t="str">
        <f t="shared" si="119"/>
        <v>No Return</v>
      </c>
    </row>
    <row r="1876" spans="1:22" hidden="1" x14ac:dyDescent="0.3">
      <c r="A1876" t="s">
        <v>1929</v>
      </c>
      <c r="B1876" t="s">
        <v>30</v>
      </c>
      <c r="C1876" t="s">
        <v>32</v>
      </c>
      <c r="D1876" t="s">
        <v>34</v>
      </c>
      <c r="E1876" t="str">
        <f t="shared" si="116"/>
        <v>XXL</v>
      </c>
      <c r="F1876" t="s">
        <v>55</v>
      </c>
      <c r="G1876" t="s">
        <v>64</v>
      </c>
      <c r="H1876" s="8">
        <v>195.03</v>
      </c>
      <c r="I1876" s="3">
        <f t="shared" si="117"/>
        <v>0</v>
      </c>
      <c r="J1876" s="4">
        <v>0</v>
      </c>
      <c r="K1876" s="11">
        <f>Table1[[#This Row],[original_price]]* (Table1[[#This Row],[Markdown percentage updated]])</f>
        <v>0</v>
      </c>
      <c r="L18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76" s="6">
        <v>195.03</v>
      </c>
      <c r="N18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76" s="7">
        <v>45875</v>
      </c>
      <c r="P1876">
        <v>44</v>
      </c>
      <c r="Q1876" s="16" t="str">
        <f>IF(Table1[[#This Row],[stock_quantity]]=0,"NO STOCK",
IF(Table1[[#This Row],[stock_quantity]]&lt;=10,"LOW STOCK",
"IN STOCK"))</f>
        <v>IN STOCK</v>
      </c>
      <c r="R1876" s="1">
        <f t="shared" si="118"/>
        <v>4.4000000000000004</v>
      </c>
      <c r="S1876">
        <v>4.4000000000000004</v>
      </c>
      <c r="T1876" t="b">
        <v>0</v>
      </c>
      <c r="U1876" t="str">
        <f t="shared" si="119"/>
        <v>No Return</v>
      </c>
    </row>
    <row r="1877" spans="1:22" hidden="1" x14ac:dyDescent="0.3">
      <c r="A1877" t="s">
        <v>1930</v>
      </c>
      <c r="B1877" t="s">
        <v>38</v>
      </c>
      <c r="C1877" t="s">
        <v>53</v>
      </c>
      <c r="D1877" t="s">
        <v>23</v>
      </c>
      <c r="E1877" t="str">
        <f t="shared" si="116"/>
        <v>XXL</v>
      </c>
      <c r="F1877" t="s">
        <v>55</v>
      </c>
      <c r="G1877" t="s">
        <v>28</v>
      </c>
      <c r="H1877" s="8">
        <v>74.88</v>
      </c>
      <c r="I1877" s="3">
        <f t="shared" si="117"/>
        <v>9.6999999999999989E-2</v>
      </c>
      <c r="J1877" s="4">
        <v>9.6999999999999993</v>
      </c>
      <c r="K1877" s="11">
        <f>Table1[[#This Row],[original_price]]* (Table1[[#This Row],[Markdown percentage updated]])</f>
        <v>7.2633599999999987</v>
      </c>
      <c r="L18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77" s="6">
        <v>67.62</v>
      </c>
      <c r="N18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77" s="7">
        <v>45875</v>
      </c>
      <c r="P1877">
        <v>23</v>
      </c>
      <c r="Q1877" s="16" t="str">
        <f>IF(Table1[[#This Row],[stock_quantity]]=0,"NO STOCK",
IF(Table1[[#This Row],[stock_quantity]]&lt;=10,"LOW STOCK",
"IN STOCK"))</f>
        <v>IN STOCK</v>
      </c>
      <c r="R1877" s="1">
        <f t="shared" si="118"/>
        <v>2.6</v>
      </c>
      <c r="S1877">
        <v>2.6</v>
      </c>
      <c r="T1877" t="b">
        <v>0</v>
      </c>
      <c r="U1877" t="str">
        <f t="shared" si="119"/>
        <v>No Return</v>
      </c>
    </row>
    <row r="1878" spans="1:22" hidden="1" x14ac:dyDescent="0.3">
      <c r="A1878" t="s">
        <v>1931</v>
      </c>
      <c r="B1878" t="s">
        <v>21</v>
      </c>
      <c r="C1878" t="s">
        <v>61</v>
      </c>
      <c r="D1878" t="s">
        <v>17</v>
      </c>
      <c r="E1878" t="str">
        <f t="shared" si="116"/>
        <v>S</v>
      </c>
      <c r="F1878" t="s">
        <v>24</v>
      </c>
      <c r="G1878" t="s">
        <v>25</v>
      </c>
      <c r="H1878" s="8">
        <v>50.3</v>
      </c>
      <c r="I1878" s="3">
        <f t="shared" si="117"/>
        <v>0</v>
      </c>
      <c r="J1878" s="4">
        <v>0</v>
      </c>
      <c r="K1878" s="11">
        <f>Table1[[#This Row],[original_price]]* (Table1[[#This Row],[Markdown percentage updated]])</f>
        <v>0</v>
      </c>
      <c r="L18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78" s="6">
        <v>50.3</v>
      </c>
      <c r="N18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78" s="7">
        <v>45522</v>
      </c>
      <c r="P1878">
        <v>23</v>
      </c>
      <c r="Q1878" s="16" t="str">
        <f>IF(Table1[[#This Row],[stock_quantity]]=0,"NO STOCK",
IF(Table1[[#This Row],[stock_quantity]]&lt;=10,"LOW STOCK",
"IN STOCK"))</f>
        <v>IN STOCK</v>
      </c>
      <c r="R1878" s="1">
        <f t="shared" si="118"/>
        <v>1.3</v>
      </c>
      <c r="S1878">
        <v>1.3</v>
      </c>
      <c r="T1878" t="b">
        <v>0</v>
      </c>
      <c r="U1878" t="str">
        <f t="shared" si="119"/>
        <v>No Return</v>
      </c>
    </row>
    <row r="1879" spans="1:22" hidden="1" x14ac:dyDescent="0.3">
      <c r="A1879" t="s">
        <v>1932</v>
      </c>
      <c r="B1879" t="s">
        <v>15</v>
      </c>
      <c r="C1879" t="s">
        <v>53</v>
      </c>
      <c r="D1879" t="s">
        <v>62</v>
      </c>
      <c r="E1879" t="str">
        <f t="shared" si="116"/>
        <v>OS</v>
      </c>
      <c r="F1879" t="s">
        <v>49</v>
      </c>
      <c r="G1879" t="s">
        <v>19</v>
      </c>
      <c r="H1879" s="8">
        <v>130.65</v>
      </c>
      <c r="I1879" s="3">
        <f t="shared" si="117"/>
        <v>0</v>
      </c>
      <c r="J1879" s="4">
        <v>0</v>
      </c>
      <c r="K1879" s="11">
        <f>Table1[[#This Row],[original_price]]* (Table1[[#This Row],[Markdown percentage updated]])</f>
        <v>0</v>
      </c>
      <c r="L18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79" s="6">
        <v>130.65</v>
      </c>
      <c r="N18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79" s="7">
        <v>45875</v>
      </c>
      <c r="P1879">
        <v>20</v>
      </c>
      <c r="Q1879" s="16" t="str">
        <f>IF(Table1[[#This Row],[stock_quantity]]=0,"NO STOCK",
IF(Table1[[#This Row],[stock_quantity]]&lt;=10,"LOW STOCK",
"IN STOCK"))</f>
        <v>IN STOCK</v>
      </c>
      <c r="R1879" s="1">
        <f t="shared" si="118"/>
        <v>2.6</v>
      </c>
      <c r="S1879">
        <v>2.6</v>
      </c>
      <c r="T1879" t="b">
        <v>0</v>
      </c>
      <c r="U1879" t="str">
        <f t="shared" si="119"/>
        <v>No Return</v>
      </c>
    </row>
    <row r="1880" spans="1:22" hidden="1" x14ac:dyDescent="0.3">
      <c r="A1880" t="s">
        <v>1933</v>
      </c>
      <c r="B1880" t="s">
        <v>42</v>
      </c>
      <c r="C1880" t="s">
        <v>75</v>
      </c>
      <c r="D1880" t="s">
        <v>17</v>
      </c>
      <c r="E1880" t="str">
        <f t="shared" si="116"/>
        <v>OS</v>
      </c>
      <c r="F1880" t="s">
        <v>49</v>
      </c>
      <c r="G1880" t="s">
        <v>46</v>
      </c>
      <c r="H1880" s="8">
        <v>94.56</v>
      </c>
      <c r="I1880" s="3">
        <f t="shared" si="117"/>
        <v>0.40299999999999997</v>
      </c>
      <c r="J1880" s="4">
        <v>40.299999999999997</v>
      </c>
      <c r="K1880" s="11">
        <f>Table1[[#This Row],[original_price]]* (Table1[[#This Row],[Markdown percentage updated]])</f>
        <v>38.107679999999995</v>
      </c>
      <c r="L18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80" s="6">
        <v>56.45</v>
      </c>
      <c r="N18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80" s="7">
        <v>45822</v>
      </c>
      <c r="P1880">
        <v>41</v>
      </c>
      <c r="Q1880" s="16" t="str">
        <f>IF(Table1[[#This Row],[stock_quantity]]=0,"NO STOCK",
IF(Table1[[#This Row],[stock_quantity]]&lt;=10,"LOW STOCK",
"IN STOCK"))</f>
        <v>IN STOCK</v>
      </c>
      <c r="R1880" s="1">
        <f t="shared" si="118"/>
        <v>4.7</v>
      </c>
      <c r="S1880">
        <v>4.7</v>
      </c>
      <c r="T1880" t="b">
        <v>0</v>
      </c>
      <c r="U1880" t="str">
        <f t="shared" si="119"/>
        <v>No Return</v>
      </c>
    </row>
    <row r="1881" spans="1:22" hidden="1" x14ac:dyDescent="0.3">
      <c r="A1881" t="s">
        <v>1934</v>
      </c>
      <c r="B1881" t="s">
        <v>15</v>
      </c>
      <c r="C1881" t="s">
        <v>22</v>
      </c>
      <c r="D1881" t="s">
        <v>17</v>
      </c>
      <c r="E1881" t="str">
        <f t="shared" si="116"/>
        <v>OS</v>
      </c>
      <c r="F1881" t="s">
        <v>39</v>
      </c>
      <c r="G1881" t="s">
        <v>70</v>
      </c>
      <c r="H1881" s="8">
        <v>138.97999999999999</v>
      </c>
      <c r="I1881" s="3">
        <f t="shared" si="117"/>
        <v>0.10199999999999999</v>
      </c>
      <c r="J1881" s="4">
        <v>10.199999999999999</v>
      </c>
      <c r="K1881" s="11">
        <f>Table1[[#This Row],[original_price]]* (Table1[[#This Row],[Markdown percentage updated]])</f>
        <v>14.175959999999998</v>
      </c>
      <c r="L18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81" s="6">
        <v>124.8</v>
      </c>
      <c r="N18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881" s="7">
        <v>45860</v>
      </c>
      <c r="P1881">
        <v>36</v>
      </c>
      <c r="Q1881" s="16" t="str">
        <f>IF(Table1[[#This Row],[stock_quantity]]=0,"NO STOCK",
IF(Table1[[#This Row],[stock_quantity]]&lt;=10,"LOW STOCK",
"IN STOCK"))</f>
        <v>IN STOCK</v>
      </c>
      <c r="R1881" s="1">
        <f t="shared" si="118"/>
        <v>1.4</v>
      </c>
      <c r="S1881">
        <v>1.4</v>
      </c>
      <c r="T1881" t="b">
        <v>0</v>
      </c>
      <c r="U1881" t="str">
        <f t="shared" si="119"/>
        <v>No Return</v>
      </c>
    </row>
    <row r="1882" spans="1:22" hidden="1" x14ac:dyDescent="0.3">
      <c r="A1882" t="s">
        <v>1935</v>
      </c>
      <c r="B1882" t="s">
        <v>27</v>
      </c>
      <c r="C1882" t="s">
        <v>48</v>
      </c>
      <c r="D1882" t="s">
        <v>23</v>
      </c>
      <c r="E1882" t="str">
        <f t="shared" si="116"/>
        <v>S</v>
      </c>
      <c r="G1882" t="s">
        <v>46</v>
      </c>
      <c r="H1882" s="8">
        <v>52.57</v>
      </c>
      <c r="I1882" s="3">
        <f t="shared" si="117"/>
        <v>0</v>
      </c>
      <c r="J1882" s="4">
        <v>0</v>
      </c>
      <c r="K1882" s="11">
        <f>Table1[[#This Row],[original_price]]* (Table1[[#This Row],[Markdown percentage updated]])</f>
        <v>0</v>
      </c>
      <c r="L18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82" s="6">
        <v>52.57</v>
      </c>
      <c r="N18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82" s="7">
        <v>45875</v>
      </c>
      <c r="P1882">
        <v>50</v>
      </c>
      <c r="Q1882" s="16" t="str">
        <f>IF(Table1[[#This Row],[stock_quantity]]=0,"NO STOCK",
IF(Table1[[#This Row],[stock_quantity]]&lt;=10,"LOW STOCK",
"IN STOCK"))</f>
        <v>IN STOCK</v>
      </c>
      <c r="R1882" s="1">
        <f t="shared" si="118"/>
        <v>2.5</v>
      </c>
      <c r="S1882">
        <v>2.5</v>
      </c>
      <c r="T1882" t="b">
        <v>1</v>
      </c>
      <c r="U1882" s="13" t="str">
        <f t="shared" si="119"/>
        <v>Damaged</v>
      </c>
      <c r="V1882" t="s">
        <v>78</v>
      </c>
    </row>
    <row r="1883" spans="1:22" hidden="1" x14ac:dyDescent="0.3">
      <c r="A1883" t="s">
        <v>1936</v>
      </c>
      <c r="B1883" t="s">
        <v>15</v>
      </c>
      <c r="C1883" t="s">
        <v>48</v>
      </c>
      <c r="D1883" t="s">
        <v>17</v>
      </c>
      <c r="E1883" t="str">
        <f t="shared" si="116"/>
        <v>S</v>
      </c>
      <c r="G1883" t="s">
        <v>35</v>
      </c>
      <c r="H1883" s="8">
        <v>151.62</v>
      </c>
      <c r="I1883" s="3">
        <f t="shared" si="117"/>
        <v>0</v>
      </c>
      <c r="J1883" s="4">
        <v>0</v>
      </c>
      <c r="K1883" s="11">
        <f>Table1[[#This Row],[original_price]]* (Table1[[#This Row],[Markdown percentage updated]])</f>
        <v>0</v>
      </c>
      <c r="L18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83" s="6">
        <v>151.62</v>
      </c>
      <c r="N18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83" s="7">
        <v>45849</v>
      </c>
      <c r="P1883">
        <v>41</v>
      </c>
      <c r="Q1883" s="16" t="str">
        <f>IF(Table1[[#This Row],[stock_quantity]]=0,"NO STOCK",
IF(Table1[[#This Row],[stock_quantity]]&lt;=10,"LOW STOCK",
"IN STOCK"))</f>
        <v>IN STOCK</v>
      </c>
      <c r="R1883" s="1">
        <f t="shared" si="118"/>
        <v>3.5</v>
      </c>
      <c r="S1883">
        <v>3.5</v>
      </c>
      <c r="T1883" t="b">
        <v>0</v>
      </c>
      <c r="U1883" t="str">
        <f t="shared" si="119"/>
        <v>No Return</v>
      </c>
    </row>
    <row r="1884" spans="1:22" hidden="1" x14ac:dyDescent="0.3">
      <c r="A1884" t="s">
        <v>1937</v>
      </c>
      <c r="B1884" t="s">
        <v>27</v>
      </c>
      <c r="C1884" t="s">
        <v>22</v>
      </c>
      <c r="D1884" t="s">
        <v>17</v>
      </c>
      <c r="E1884" t="str">
        <f t="shared" si="116"/>
        <v>XS</v>
      </c>
      <c r="G1884" t="s">
        <v>44</v>
      </c>
      <c r="H1884" s="8">
        <v>26.7</v>
      </c>
      <c r="I1884" s="3">
        <f t="shared" si="117"/>
        <v>0</v>
      </c>
      <c r="J1884" s="4">
        <v>0</v>
      </c>
      <c r="K1884" s="11">
        <f>Table1[[#This Row],[original_price]]* (Table1[[#This Row],[Markdown percentage updated]])</f>
        <v>0</v>
      </c>
      <c r="L18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84" s="6">
        <v>26.7</v>
      </c>
      <c r="N18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84" s="7">
        <v>45804</v>
      </c>
      <c r="P1884">
        <v>48</v>
      </c>
      <c r="Q1884" s="16" t="str">
        <f>IF(Table1[[#This Row],[stock_quantity]]=0,"NO STOCK",
IF(Table1[[#This Row],[stock_quantity]]&lt;=10,"LOW STOCK",
"IN STOCK"))</f>
        <v>IN STOCK</v>
      </c>
      <c r="R1884" s="1">
        <f t="shared" si="118"/>
        <v>3.1</v>
      </c>
      <c r="S1884">
        <v>3.1</v>
      </c>
      <c r="T1884" t="b">
        <v>0</v>
      </c>
      <c r="U1884" t="str">
        <f t="shared" si="119"/>
        <v>No Return</v>
      </c>
    </row>
    <row r="1885" spans="1:22" hidden="1" x14ac:dyDescent="0.3">
      <c r="A1885" t="s">
        <v>1938</v>
      </c>
      <c r="B1885" t="s">
        <v>15</v>
      </c>
      <c r="C1885" t="s">
        <v>53</v>
      </c>
      <c r="D1885" t="s">
        <v>62</v>
      </c>
      <c r="E1885" t="str">
        <f t="shared" si="116"/>
        <v>L</v>
      </c>
      <c r="F1885" t="s">
        <v>39</v>
      </c>
      <c r="G1885" t="s">
        <v>70</v>
      </c>
      <c r="H1885" s="8">
        <v>147.5</v>
      </c>
      <c r="I1885" s="3">
        <f t="shared" si="117"/>
        <v>0</v>
      </c>
      <c r="J1885" s="4">
        <v>0</v>
      </c>
      <c r="K1885" s="11">
        <f>Table1[[#This Row],[original_price]]* (Table1[[#This Row],[Markdown percentage updated]])</f>
        <v>0</v>
      </c>
      <c r="L18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85" s="6">
        <v>147.5</v>
      </c>
      <c r="N18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85" s="7">
        <v>45875</v>
      </c>
      <c r="P1885">
        <v>4</v>
      </c>
      <c r="Q1885" s="17" t="str">
        <f>IF(Table1[[#This Row],[stock_quantity]]=0,"NO STOCK",
IF(Table1[[#This Row],[stock_quantity]]&lt;=10,"LOW STOCK",
"IN STOCK"))</f>
        <v>LOW STOCK</v>
      </c>
      <c r="R1885" s="1">
        <f t="shared" si="118"/>
        <v>2.4</v>
      </c>
      <c r="S1885">
        <v>2.4</v>
      </c>
      <c r="T1885" t="b">
        <v>0</v>
      </c>
      <c r="U1885" t="str">
        <f t="shared" si="119"/>
        <v>No Return</v>
      </c>
    </row>
    <row r="1886" spans="1:22" hidden="1" x14ac:dyDescent="0.3">
      <c r="A1886" t="s">
        <v>1939</v>
      </c>
      <c r="B1886" t="s">
        <v>21</v>
      </c>
      <c r="C1886" t="s">
        <v>43</v>
      </c>
      <c r="D1886" t="s">
        <v>34</v>
      </c>
      <c r="E1886" t="str">
        <f t="shared" si="116"/>
        <v>S</v>
      </c>
      <c r="F1886" t="s">
        <v>39</v>
      </c>
      <c r="G1886" t="s">
        <v>64</v>
      </c>
      <c r="H1886" s="8">
        <v>66</v>
      </c>
      <c r="I1886" s="3">
        <f t="shared" si="117"/>
        <v>2.7000000000000003E-2</v>
      </c>
      <c r="J1886" s="4">
        <v>2.7</v>
      </c>
      <c r="K1886" s="11">
        <f>Table1[[#This Row],[original_price]]* (Table1[[#This Row],[Markdown percentage updated]])</f>
        <v>1.7820000000000003</v>
      </c>
      <c r="L18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86" s="6">
        <v>64.22</v>
      </c>
      <c r="N18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86" s="7">
        <v>45875</v>
      </c>
      <c r="P1886">
        <v>42</v>
      </c>
      <c r="Q1886" s="16" t="str">
        <f>IF(Table1[[#This Row],[stock_quantity]]=0,"NO STOCK",
IF(Table1[[#This Row],[stock_quantity]]&lt;=10,"LOW STOCK",
"IN STOCK"))</f>
        <v>IN STOCK</v>
      </c>
      <c r="R1886" s="1">
        <f t="shared" si="118"/>
        <v>4.4000000000000004</v>
      </c>
      <c r="S1886">
        <v>4.4000000000000004</v>
      </c>
      <c r="T1886" t="b">
        <v>0</v>
      </c>
      <c r="U1886" t="str">
        <f t="shared" si="119"/>
        <v>No Return</v>
      </c>
    </row>
    <row r="1887" spans="1:22" hidden="1" x14ac:dyDescent="0.3">
      <c r="A1887" t="s">
        <v>1940</v>
      </c>
      <c r="B1887" t="s">
        <v>15</v>
      </c>
      <c r="C1887" t="s">
        <v>16</v>
      </c>
      <c r="D1887" t="s">
        <v>34</v>
      </c>
      <c r="E1887" t="str">
        <f t="shared" si="116"/>
        <v>XL</v>
      </c>
      <c r="F1887" t="s">
        <v>55</v>
      </c>
      <c r="G1887" t="s">
        <v>19</v>
      </c>
      <c r="H1887" s="8">
        <v>183.6</v>
      </c>
      <c r="I1887" s="3">
        <f t="shared" si="117"/>
        <v>0</v>
      </c>
      <c r="J1887" s="4">
        <v>0</v>
      </c>
      <c r="K1887" s="11">
        <f>Table1[[#This Row],[original_price]]* (Table1[[#This Row],[Markdown percentage updated]])</f>
        <v>0</v>
      </c>
      <c r="L18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87" s="6">
        <v>183.6</v>
      </c>
      <c r="N18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87" s="7">
        <v>45875</v>
      </c>
      <c r="P1887">
        <v>10</v>
      </c>
      <c r="Q1887" s="17" t="str">
        <f>IF(Table1[[#This Row],[stock_quantity]]=0,"NO STOCK",
IF(Table1[[#This Row],[stock_quantity]]&lt;=10,"LOW STOCK",
"IN STOCK"))</f>
        <v>LOW STOCK</v>
      </c>
      <c r="R1887" s="1">
        <f t="shared" si="118"/>
        <v>0</v>
      </c>
      <c r="T1887" t="b">
        <v>0</v>
      </c>
      <c r="U1887" t="str">
        <f t="shared" si="119"/>
        <v>No Return</v>
      </c>
    </row>
    <row r="1888" spans="1:22" hidden="1" x14ac:dyDescent="0.3">
      <c r="A1888" t="s">
        <v>1941</v>
      </c>
      <c r="B1888" t="s">
        <v>30</v>
      </c>
      <c r="C1888" t="s">
        <v>22</v>
      </c>
      <c r="D1888" t="s">
        <v>62</v>
      </c>
      <c r="E1888" t="str">
        <f t="shared" si="116"/>
        <v>L</v>
      </c>
      <c r="F1888" t="s">
        <v>24</v>
      </c>
      <c r="G1888" t="s">
        <v>44</v>
      </c>
      <c r="H1888" s="8">
        <v>195.83</v>
      </c>
      <c r="I1888" s="3">
        <f t="shared" si="117"/>
        <v>0</v>
      </c>
      <c r="J1888" s="4">
        <v>0</v>
      </c>
      <c r="K1888" s="11">
        <f>Table1[[#This Row],[original_price]]* (Table1[[#This Row],[Markdown percentage updated]])</f>
        <v>0</v>
      </c>
      <c r="L18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88" s="6">
        <v>195.83</v>
      </c>
      <c r="N18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88" s="7">
        <v>45875</v>
      </c>
      <c r="P1888">
        <v>14</v>
      </c>
      <c r="Q1888" s="16" t="str">
        <f>IF(Table1[[#This Row],[stock_quantity]]=0,"NO STOCK",
IF(Table1[[#This Row],[stock_quantity]]&lt;=10,"LOW STOCK",
"IN STOCK"))</f>
        <v>IN STOCK</v>
      </c>
      <c r="R1888" s="1">
        <f t="shared" si="118"/>
        <v>2.1</v>
      </c>
      <c r="S1888">
        <v>2.1</v>
      </c>
      <c r="T1888" t="b">
        <v>0</v>
      </c>
      <c r="U1888" t="str">
        <f t="shared" si="119"/>
        <v>No Return</v>
      </c>
    </row>
    <row r="1889" spans="1:22" hidden="1" x14ac:dyDescent="0.3">
      <c r="A1889" t="s">
        <v>1942</v>
      </c>
      <c r="B1889" t="s">
        <v>38</v>
      </c>
      <c r="C1889" t="s">
        <v>53</v>
      </c>
      <c r="D1889" t="s">
        <v>23</v>
      </c>
      <c r="E1889" t="str">
        <f t="shared" si="116"/>
        <v>L</v>
      </c>
      <c r="F1889" t="s">
        <v>39</v>
      </c>
      <c r="G1889" t="s">
        <v>56</v>
      </c>
      <c r="H1889" s="8">
        <v>75.53</v>
      </c>
      <c r="I1889" s="3">
        <f t="shared" si="117"/>
        <v>0.58099999999999996</v>
      </c>
      <c r="J1889" s="4">
        <v>58.1</v>
      </c>
      <c r="K1889" s="11">
        <f>Table1[[#This Row],[original_price]]* (Table1[[#This Row],[Markdown percentage updated]])</f>
        <v>43.882929999999995</v>
      </c>
      <c r="L18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889" s="6">
        <v>31.65</v>
      </c>
      <c r="N18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89" s="7">
        <v>45875</v>
      </c>
      <c r="P1889">
        <v>33</v>
      </c>
      <c r="Q1889" s="16" t="str">
        <f>IF(Table1[[#This Row],[stock_quantity]]=0,"NO STOCK",
IF(Table1[[#This Row],[stock_quantity]]&lt;=10,"LOW STOCK",
"IN STOCK"))</f>
        <v>IN STOCK</v>
      </c>
      <c r="R1889" s="1">
        <f t="shared" si="118"/>
        <v>4</v>
      </c>
      <c r="S1889">
        <v>4</v>
      </c>
      <c r="T1889" t="b">
        <v>0</v>
      </c>
      <c r="U1889" t="str">
        <f t="shared" si="119"/>
        <v>No Return</v>
      </c>
    </row>
    <row r="1890" spans="1:22" hidden="1" x14ac:dyDescent="0.3">
      <c r="A1890" t="s">
        <v>1943</v>
      </c>
      <c r="B1890" t="s">
        <v>21</v>
      </c>
      <c r="C1890" t="s">
        <v>43</v>
      </c>
      <c r="D1890" t="s">
        <v>17</v>
      </c>
      <c r="E1890" t="str">
        <f t="shared" si="116"/>
        <v>L</v>
      </c>
      <c r="F1890" t="s">
        <v>18</v>
      </c>
      <c r="G1890" t="s">
        <v>56</v>
      </c>
      <c r="H1890" s="8">
        <v>30.78</v>
      </c>
      <c r="I1890" s="3">
        <f t="shared" si="117"/>
        <v>0</v>
      </c>
      <c r="J1890" s="4">
        <v>0</v>
      </c>
      <c r="K1890" s="11">
        <f>Table1[[#This Row],[original_price]]* (Table1[[#This Row],[Markdown percentage updated]])</f>
        <v>0</v>
      </c>
      <c r="L18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90" s="6">
        <v>30.78</v>
      </c>
      <c r="N18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90" s="7">
        <v>45821</v>
      </c>
      <c r="P1890">
        <v>28</v>
      </c>
      <c r="Q1890" s="16" t="str">
        <f>IF(Table1[[#This Row],[stock_quantity]]=0,"NO STOCK",
IF(Table1[[#This Row],[stock_quantity]]&lt;=10,"LOW STOCK",
"IN STOCK"))</f>
        <v>IN STOCK</v>
      </c>
      <c r="R1890" s="1">
        <f t="shared" si="118"/>
        <v>3.9</v>
      </c>
      <c r="S1890">
        <v>3.9</v>
      </c>
      <c r="T1890" t="b">
        <v>0</v>
      </c>
      <c r="U1890" t="str">
        <f t="shared" si="119"/>
        <v>No Return</v>
      </c>
    </row>
    <row r="1891" spans="1:22" hidden="1" x14ac:dyDescent="0.3">
      <c r="A1891" t="s">
        <v>1944</v>
      </c>
      <c r="B1891" t="s">
        <v>30</v>
      </c>
      <c r="C1891" t="s">
        <v>32</v>
      </c>
      <c r="D1891" t="s">
        <v>23</v>
      </c>
      <c r="E1891" t="str">
        <f t="shared" si="116"/>
        <v>XL</v>
      </c>
      <c r="F1891" t="s">
        <v>24</v>
      </c>
      <c r="G1891" t="s">
        <v>35</v>
      </c>
      <c r="H1891" s="8">
        <v>150.96</v>
      </c>
      <c r="I1891" s="3">
        <f t="shared" si="117"/>
        <v>0</v>
      </c>
      <c r="J1891" s="4">
        <v>0</v>
      </c>
      <c r="K1891" s="11">
        <f>Table1[[#This Row],[original_price]]* (Table1[[#This Row],[Markdown percentage updated]])</f>
        <v>0</v>
      </c>
      <c r="L18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91" s="6">
        <v>150.96</v>
      </c>
      <c r="N18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91" s="7">
        <v>45875</v>
      </c>
      <c r="P1891">
        <v>18</v>
      </c>
      <c r="Q1891" s="16" t="str">
        <f>IF(Table1[[#This Row],[stock_quantity]]=0,"NO STOCK",
IF(Table1[[#This Row],[stock_quantity]]&lt;=10,"LOW STOCK",
"IN STOCK"))</f>
        <v>IN STOCK</v>
      </c>
      <c r="R1891" s="1">
        <f t="shared" si="118"/>
        <v>4.5999999999999996</v>
      </c>
      <c r="S1891">
        <v>4.5999999999999996</v>
      </c>
      <c r="T1891" t="b">
        <v>0</v>
      </c>
      <c r="U1891" t="str">
        <f t="shared" si="119"/>
        <v>No Return</v>
      </c>
    </row>
    <row r="1892" spans="1:22" hidden="1" x14ac:dyDescent="0.3">
      <c r="A1892" t="s">
        <v>1945</v>
      </c>
      <c r="B1892" t="s">
        <v>38</v>
      </c>
      <c r="C1892" t="s">
        <v>75</v>
      </c>
      <c r="D1892" t="s">
        <v>62</v>
      </c>
      <c r="E1892" t="str">
        <f t="shared" si="116"/>
        <v>XL</v>
      </c>
      <c r="F1892" t="s">
        <v>24</v>
      </c>
      <c r="G1892" t="s">
        <v>28</v>
      </c>
      <c r="H1892" s="8">
        <v>58.98</v>
      </c>
      <c r="I1892" s="3">
        <f t="shared" si="117"/>
        <v>0.18100000000000002</v>
      </c>
      <c r="J1892" s="4">
        <v>18.100000000000001</v>
      </c>
      <c r="K1892" s="11">
        <f>Table1[[#This Row],[original_price]]* (Table1[[#This Row],[Markdown percentage updated]])</f>
        <v>10.675380000000001</v>
      </c>
      <c r="L18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92" s="6">
        <v>48.3</v>
      </c>
      <c r="N18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892" s="7">
        <v>45875</v>
      </c>
      <c r="P1892">
        <v>23</v>
      </c>
      <c r="Q1892" s="16" t="str">
        <f>IF(Table1[[#This Row],[stock_quantity]]=0,"NO STOCK",
IF(Table1[[#This Row],[stock_quantity]]&lt;=10,"LOW STOCK",
"IN STOCK"))</f>
        <v>IN STOCK</v>
      </c>
      <c r="R1892" s="1">
        <f t="shared" si="118"/>
        <v>2.8</v>
      </c>
      <c r="S1892">
        <v>2.8</v>
      </c>
      <c r="T1892" t="b">
        <v>0</v>
      </c>
      <c r="U1892" t="str">
        <f t="shared" si="119"/>
        <v>No Return</v>
      </c>
    </row>
    <row r="1893" spans="1:22" hidden="1" x14ac:dyDescent="0.3">
      <c r="A1893" t="s">
        <v>1946</v>
      </c>
      <c r="B1893" t="s">
        <v>15</v>
      </c>
      <c r="C1893" t="s">
        <v>75</v>
      </c>
      <c r="D1893" t="s">
        <v>17</v>
      </c>
      <c r="E1893" t="str">
        <f t="shared" si="116"/>
        <v>L</v>
      </c>
      <c r="F1893" t="s">
        <v>24</v>
      </c>
      <c r="G1893" t="s">
        <v>66</v>
      </c>
      <c r="H1893" s="8">
        <v>224.91</v>
      </c>
      <c r="I1893" s="3">
        <f t="shared" si="117"/>
        <v>0.18899999999999997</v>
      </c>
      <c r="J1893" s="4">
        <v>18.899999999999999</v>
      </c>
      <c r="K1893" s="11">
        <f>Table1[[#This Row],[original_price]]* (Table1[[#This Row],[Markdown percentage updated]])</f>
        <v>42.507989999999992</v>
      </c>
      <c r="L18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93" s="6">
        <v>182.4</v>
      </c>
      <c r="N18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93" s="7">
        <v>45554</v>
      </c>
      <c r="P1893">
        <v>50</v>
      </c>
      <c r="Q1893" s="16" t="str">
        <f>IF(Table1[[#This Row],[stock_quantity]]=0,"NO STOCK",
IF(Table1[[#This Row],[stock_quantity]]&lt;=10,"LOW STOCK",
"IN STOCK"))</f>
        <v>IN STOCK</v>
      </c>
      <c r="R1893" s="1">
        <f t="shared" si="118"/>
        <v>0</v>
      </c>
      <c r="T1893" t="b">
        <v>0</v>
      </c>
      <c r="U1893" t="str">
        <f t="shared" si="119"/>
        <v>No Return</v>
      </c>
    </row>
    <row r="1894" spans="1:22" hidden="1" x14ac:dyDescent="0.3">
      <c r="A1894" t="s">
        <v>1947</v>
      </c>
      <c r="B1894" t="s">
        <v>15</v>
      </c>
      <c r="C1894" t="s">
        <v>32</v>
      </c>
      <c r="D1894" t="s">
        <v>17</v>
      </c>
      <c r="E1894" t="str">
        <f t="shared" si="116"/>
        <v>OS</v>
      </c>
      <c r="F1894" t="s">
        <v>18</v>
      </c>
      <c r="G1894" t="s">
        <v>70</v>
      </c>
      <c r="H1894" s="8">
        <v>155.75</v>
      </c>
      <c r="I1894" s="3">
        <f t="shared" si="117"/>
        <v>0</v>
      </c>
      <c r="J1894" s="4">
        <v>0</v>
      </c>
      <c r="K1894" s="11">
        <f>Table1[[#This Row],[original_price]]* (Table1[[#This Row],[Markdown percentage updated]])</f>
        <v>0</v>
      </c>
      <c r="L18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94" s="6">
        <v>155.75</v>
      </c>
      <c r="N18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94" s="7">
        <v>45741</v>
      </c>
      <c r="P1894">
        <v>0</v>
      </c>
      <c r="Q1894" s="13" t="str">
        <f>IF(Table1[[#This Row],[stock_quantity]]=0,"NO STOCK",
IF(Table1[[#This Row],[stock_quantity]]&lt;=10,"LOW STOCK",
"IN STOCK"))</f>
        <v>NO STOCK</v>
      </c>
      <c r="R1894" s="1">
        <f t="shared" si="118"/>
        <v>2.4</v>
      </c>
      <c r="S1894">
        <v>2.4</v>
      </c>
      <c r="T1894" t="b">
        <v>0</v>
      </c>
      <c r="U1894" t="str">
        <f t="shared" si="119"/>
        <v>No Return</v>
      </c>
    </row>
    <row r="1895" spans="1:22" hidden="1" x14ac:dyDescent="0.3">
      <c r="A1895" t="s">
        <v>1948</v>
      </c>
      <c r="B1895" t="s">
        <v>30</v>
      </c>
      <c r="C1895" t="s">
        <v>48</v>
      </c>
      <c r="D1895" t="s">
        <v>23</v>
      </c>
      <c r="E1895" t="str">
        <f t="shared" si="116"/>
        <v>S</v>
      </c>
      <c r="F1895" t="s">
        <v>18</v>
      </c>
      <c r="G1895" t="s">
        <v>44</v>
      </c>
      <c r="H1895" s="8">
        <v>194.4</v>
      </c>
      <c r="I1895" s="3">
        <f t="shared" si="117"/>
        <v>0.16200000000000001</v>
      </c>
      <c r="J1895" s="4">
        <v>16.2</v>
      </c>
      <c r="K1895" s="11">
        <f>Table1[[#This Row],[original_price]]* (Table1[[#This Row],[Markdown percentage updated]])</f>
        <v>31.492800000000003</v>
      </c>
      <c r="L18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95" s="6">
        <v>162.91</v>
      </c>
      <c r="N18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895" s="7">
        <v>45875</v>
      </c>
      <c r="P1895">
        <v>36</v>
      </c>
      <c r="Q1895" s="16" t="str">
        <f>IF(Table1[[#This Row],[stock_quantity]]=0,"NO STOCK",
IF(Table1[[#This Row],[stock_quantity]]&lt;=10,"LOW STOCK",
"IN STOCK"))</f>
        <v>IN STOCK</v>
      </c>
      <c r="R1895" s="1">
        <f t="shared" si="118"/>
        <v>1.5</v>
      </c>
      <c r="S1895">
        <v>1.5</v>
      </c>
      <c r="T1895" t="b">
        <v>0</v>
      </c>
      <c r="U1895" t="str">
        <f t="shared" si="119"/>
        <v>No Return</v>
      </c>
    </row>
    <row r="1896" spans="1:22" hidden="1" x14ac:dyDescent="0.3">
      <c r="A1896" t="s">
        <v>1949</v>
      </c>
      <c r="B1896" t="s">
        <v>30</v>
      </c>
      <c r="C1896" t="s">
        <v>32</v>
      </c>
      <c r="D1896" t="s">
        <v>34</v>
      </c>
      <c r="E1896" t="str">
        <f t="shared" si="116"/>
        <v>S</v>
      </c>
      <c r="F1896" t="s">
        <v>24</v>
      </c>
      <c r="G1896" t="s">
        <v>19</v>
      </c>
      <c r="H1896" s="8">
        <v>169.77</v>
      </c>
      <c r="I1896" s="3">
        <f t="shared" si="117"/>
        <v>0</v>
      </c>
      <c r="J1896" s="4">
        <v>0</v>
      </c>
      <c r="K1896" s="11">
        <f>Table1[[#This Row],[original_price]]* (Table1[[#This Row],[Markdown percentage updated]])</f>
        <v>0</v>
      </c>
      <c r="L18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96" s="6">
        <v>169.77</v>
      </c>
      <c r="N18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96" s="7">
        <v>45875</v>
      </c>
      <c r="P1896">
        <v>39</v>
      </c>
      <c r="Q1896" s="16" t="str">
        <f>IF(Table1[[#This Row],[stock_quantity]]=0,"NO STOCK",
IF(Table1[[#This Row],[stock_quantity]]&lt;=10,"LOW STOCK",
"IN STOCK"))</f>
        <v>IN STOCK</v>
      </c>
      <c r="R1896" s="1">
        <f t="shared" si="118"/>
        <v>4.4000000000000004</v>
      </c>
      <c r="S1896">
        <v>4.4000000000000004</v>
      </c>
      <c r="T1896" t="b">
        <v>0</v>
      </c>
      <c r="U1896" t="str">
        <f t="shared" si="119"/>
        <v>No Return</v>
      </c>
    </row>
    <row r="1897" spans="1:22" hidden="1" x14ac:dyDescent="0.3">
      <c r="A1897" t="s">
        <v>1950</v>
      </c>
      <c r="B1897" t="s">
        <v>27</v>
      </c>
      <c r="C1897" t="s">
        <v>22</v>
      </c>
      <c r="D1897" t="s">
        <v>23</v>
      </c>
      <c r="E1897" t="str">
        <f t="shared" si="116"/>
        <v>S</v>
      </c>
      <c r="G1897" t="s">
        <v>44</v>
      </c>
      <c r="H1897" s="8">
        <v>41.52</v>
      </c>
      <c r="I1897" s="3">
        <f t="shared" si="117"/>
        <v>0.27300000000000002</v>
      </c>
      <c r="J1897" s="4">
        <v>27.3</v>
      </c>
      <c r="K1897" s="11">
        <f>Table1[[#This Row],[original_price]]* (Table1[[#This Row],[Markdown percentage updated]])</f>
        <v>11.334960000000002</v>
      </c>
      <c r="L18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897" s="6">
        <v>30.19</v>
      </c>
      <c r="N18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897" s="7">
        <v>45875</v>
      </c>
      <c r="P1897">
        <v>48</v>
      </c>
      <c r="Q1897" s="16" t="str">
        <f>IF(Table1[[#This Row],[stock_quantity]]=0,"NO STOCK",
IF(Table1[[#This Row],[stock_quantity]]&lt;=10,"LOW STOCK",
"IN STOCK"))</f>
        <v>IN STOCK</v>
      </c>
      <c r="R1897" s="1">
        <f t="shared" si="118"/>
        <v>3.4</v>
      </c>
      <c r="S1897">
        <v>3.4</v>
      </c>
      <c r="T1897" t="b">
        <v>0</v>
      </c>
      <c r="U1897" t="str">
        <f t="shared" si="119"/>
        <v>No Return</v>
      </c>
    </row>
    <row r="1898" spans="1:22" hidden="1" x14ac:dyDescent="0.3">
      <c r="A1898" t="s">
        <v>1951</v>
      </c>
      <c r="B1898" t="s">
        <v>38</v>
      </c>
      <c r="C1898" t="s">
        <v>22</v>
      </c>
      <c r="D1898" t="s">
        <v>23</v>
      </c>
      <c r="E1898" t="str">
        <f t="shared" si="116"/>
        <v>XXL</v>
      </c>
      <c r="F1898" t="s">
        <v>39</v>
      </c>
      <c r="G1898" t="s">
        <v>46</v>
      </c>
      <c r="H1898" s="8">
        <v>29.5</v>
      </c>
      <c r="I1898" s="3">
        <f t="shared" si="117"/>
        <v>0</v>
      </c>
      <c r="J1898" s="4">
        <v>0</v>
      </c>
      <c r="K1898" s="11">
        <f>Table1[[#This Row],[original_price]]* (Table1[[#This Row],[Markdown percentage updated]])</f>
        <v>0</v>
      </c>
      <c r="L18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898" s="6">
        <v>29.5</v>
      </c>
      <c r="N18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898" s="7">
        <v>45875</v>
      </c>
      <c r="P1898">
        <v>36</v>
      </c>
      <c r="Q1898" s="16" t="str">
        <f>IF(Table1[[#This Row],[stock_quantity]]=0,"NO STOCK",
IF(Table1[[#This Row],[stock_quantity]]&lt;=10,"LOW STOCK",
"IN STOCK"))</f>
        <v>IN STOCK</v>
      </c>
      <c r="R1898" s="1">
        <f t="shared" si="118"/>
        <v>2.6</v>
      </c>
      <c r="S1898">
        <v>2.6</v>
      </c>
      <c r="T1898" t="b">
        <v>0</v>
      </c>
      <c r="U1898" t="str">
        <f t="shared" si="119"/>
        <v>No Return</v>
      </c>
    </row>
    <row r="1899" spans="1:22" hidden="1" x14ac:dyDescent="0.3">
      <c r="A1899" t="s">
        <v>1952</v>
      </c>
      <c r="B1899" t="s">
        <v>15</v>
      </c>
      <c r="C1899" t="s">
        <v>32</v>
      </c>
      <c r="D1899" t="s">
        <v>17</v>
      </c>
      <c r="E1899" t="str">
        <f t="shared" si="116"/>
        <v>S</v>
      </c>
      <c r="F1899" t="s">
        <v>39</v>
      </c>
      <c r="G1899" t="s">
        <v>40</v>
      </c>
      <c r="H1899" s="8">
        <v>224.47</v>
      </c>
      <c r="I1899" s="3">
        <f t="shared" si="117"/>
        <v>2.7000000000000003E-2</v>
      </c>
      <c r="J1899" s="4">
        <v>2.7</v>
      </c>
      <c r="K1899" s="11">
        <f>Table1[[#This Row],[original_price]]* (Table1[[#This Row],[Markdown percentage updated]])</f>
        <v>6.060690000000001</v>
      </c>
      <c r="L18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899" s="6">
        <v>218.41</v>
      </c>
      <c r="N18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899" s="7">
        <v>45684</v>
      </c>
      <c r="P1899">
        <v>15</v>
      </c>
      <c r="Q1899" s="16" t="str">
        <f>IF(Table1[[#This Row],[stock_quantity]]=0,"NO STOCK",
IF(Table1[[#This Row],[stock_quantity]]&lt;=10,"LOW STOCK",
"IN STOCK"))</f>
        <v>IN STOCK</v>
      </c>
      <c r="R1899" s="1">
        <f t="shared" si="118"/>
        <v>3.5</v>
      </c>
      <c r="S1899">
        <v>3.5</v>
      </c>
      <c r="T1899" t="b">
        <v>0</v>
      </c>
      <c r="U1899" t="str">
        <f t="shared" si="119"/>
        <v>No Return</v>
      </c>
    </row>
    <row r="1900" spans="1:22" hidden="1" x14ac:dyDescent="0.3">
      <c r="A1900" t="s">
        <v>1953</v>
      </c>
      <c r="B1900" t="s">
        <v>38</v>
      </c>
      <c r="C1900" t="s">
        <v>75</v>
      </c>
      <c r="D1900" t="s">
        <v>62</v>
      </c>
      <c r="E1900" t="str">
        <f t="shared" si="116"/>
        <v>XL</v>
      </c>
      <c r="F1900" t="s">
        <v>39</v>
      </c>
      <c r="G1900" t="s">
        <v>40</v>
      </c>
      <c r="H1900" s="8">
        <v>101.45</v>
      </c>
      <c r="I1900" s="3">
        <f t="shared" si="117"/>
        <v>7.8E-2</v>
      </c>
      <c r="J1900" s="4">
        <v>7.8</v>
      </c>
      <c r="K1900" s="11">
        <f>Table1[[#This Row],[original_price]]* (Table1[[#This Row],[Markdown percentage updated]])</f>
        <v>7.9131</v>
      </c>
      <c r="L19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00" s="6">
        <v>93.54</v>
      </c>
      <c r="N19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900" s="7">
        <v>45875</v>
      </c>
      <c r="P1900">
        <v>4</v>
      </c>
      <c r="Q1900" s="17" t="str">
        <f>IF(Table1[[#This Row],[stock_quantity]]=0,"NO STOCK",
IF(Table1[[#This Row],[stock_quantity]]&lt;=10,"LOW STOCK",
"IN STOCK"))</f>
        <v>LOW STOCK</v>
      </c>
      <c r="R1900" s="1">
        <f t="shared" si="118"/>
        <v>1.1000000000000001</v>
      </c>
      <c r="S1900">
        <v>1.1000000000000001</v>
      </c>
      <c r="T1900" t="b">
        <v>0</v>
      </c>
      <c r="U1900" t="str">
        <f t="shared" si="119"/>
        <v>No Return</v>
      </c>
    </row>
    <row r="1901" spans="1:22" hidden="1" x14ac:dyDescent="0.3">
      <c r="A1901" t="s">
        <v>1954</v>
      </c>
      <c r="B1901" t="s">
        <v>30</v>
      </c>
      <c r="C1901" t="s">
        <v>32</v>
      </c>
      <c r="D1901" t="s">
        <v>17</v>
      </c>
      <c r="E1901" t="str">
        <f t="shared" si="116"/>
        <v>L</v>
      </c>
      <c r="F1901" t="s">
        <v>49</v>
      </c>
      <c r="G1901" t="s">
        <v>19</v>
      </c>
      <c r="H1901" s="8">
        <v>84.65</v>
      </c>
      <c r="I1901" s="3">
        <f t="shared" si="117"/>
        <v>0</v>
      </c>
      <c r="J1901" s="4">
        <v>0</v>
      </c>
      <c r="K1901" s="11">
        <f>Table1[[#This Row],[original_price]]* (Table1[[#This Row],[Markdown percentage updated]])</f>
        <v>0</v>
      </c>
      <c r="L19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01" s="6">
        <v>84.65</v>
      </c>
      <c r="N19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01" s="7">
        <v>45864</v>
      </c>
      <c r="P1901">
        <v>49</v>
      </c>
      <c r="Q1901" s="16" t="str">
        <f>IF(Table1[[#This Row],[stock_quantity]]=0,"NO STOCK",
IF(Table1[[#This Row],[stock_quantity]]&lt;=10,"LOW STOCK",
"IN STOCK"))</f>
        <v>IN STOCK</v>
      </c>
      <c r="R1901" s="1">
        <f t="shared" si="118"/>
        <v>3.6</v>
      </c>
      <c r="S1901">
        <v>3.6</v>
      </c>
      <c r="T1901" t="b">
        <v>0</v>
      </c>
      <c r="U1901" t="str">
        <f t="shared" si="119"/>
        <v>No Return</v>
      </c>
    </row>
    <row r="1902" spans="1:22" hidden="1" x14ac:dyDescent="0.3">
      <c r="A1902" t="s">
        <v>1955</v>
      </c>
      <c r="B1902" t="s">
        <v>15</v>
      </c>
      <c r="C1902" t="s">
        <v>53</v>
      </c>
      <c r="D1902" t="s">
        <v>62</v>
      </c>
      <c r="E1902" t="str">
        <f t="shared" si="116"/>
        <v>XL</v>
      </c>
      <c r="F1902" t="s">
        <v>39</v>
      </c>
      <c r="G1902" t="s">
        <v>56</v>
      </c>
      <c r="H1902" s="8">
        <v>155.85</v>
      </c>
      <c r="I1902" s="3">
        <f t="shared" si="117"/>
        <v>0</v>
      </c>
      <c r="J1902" s="4">
        <v>0</v>
      </c>
      <c r="K1902" s="11">
        <f>Table1[[#This Row],[original_price]]* (Table1[[#This Row],[Markdown percentage updated]])</f>
        <v>0</v>
      </c>
      <c r="L19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02" s="6">
        <v>155.85</v>
      </c>
      <c r="N19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02" s="7">
        <v>45875</v>
      </c>
      <c r="P1902">
        <v>38</v>
      </c>
      <c r="Q1902" s="16" t="str">
        <f>IF(Table1[[#This Row],[stock_quantity]]=0,"NO STOCK",
IF(Table1[[#This Row],[stock_quantity]]&lt;=10,"LOW STOCK",
"IN STOCK"))</f>
        <v>IN STOCK</v>
      </c>
      <c r="R1902" s="1">
        <f t="shared" si="118"/>
        <v>0</v>
      </c>
      <c r="T1902" t="b">
        <v>0</v>
      </c>
      <c r="U1902" t="str">
        <f t="shared" si="119"/>
        <v>No Return</v>
      </c>
    </row>
    <row r="1903" spans="1:22" hidden="1" x14ac:dyDescent="0.3">
      <c r="A1903" t="s">
        <v>1956</v>
      </c>
      <c r="B1903" t="s">
        <v>21</v>
      </c>
      <c r="C1903" t="s">
        <v>16</v>
      </c>
      <c r="D1903" t="s">
        <v>23</v>
      </c>
      <c r="E1903" t="str">
        <f t="shared" si="116"/>
        <v>XL</v>
      </c>
      <c r="F1903" t="s">
        <v>18</v>
      </c>
      <c r="G1903" t="s">
        <v>44</v>
      </c>
      <c r="H1903" s="8">
        <v>89.62</v>
      </c>
      <c r="I1903" s="3">
        <f t="shared" si="117"/>
        <v>0</v>
      </c>
      <c r="J1903" s="4">
        <v>0</v>
      </c>
      <c r="K1903" s="11">
        <f>Table1[[#This Row],[original_price]]* (Table1[[#This Row],[Markdown percentage updated]])</f>
        <v>0</v>
      </c>
      <c r="L19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03" s="6">
        <v>89.62</v>
      </c>
      <c r="N19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03" s="7">
        <v>45875</v>
      </c>
      <c r="P1903">
        <v>0</v>
      </c>
      <c r="Q1903" s="13" t="str">
        <f>IF(Table1[[#This Row],[stock_quantity]]=0,"NO STOCK",
IF(Table1[[#This Row],[stock_quantity]]&lt;=10,"LOW STOCK",
"IN STOCK"))</f>
        <v>NO STOCK</v>
      </c>
      <c r="R1903" s="1">
        <f t="shared" si="118"/>
        <v>4.5999999999999996</v>
      </c>
      <c r="S1903">
        <v>4.5999999999999996</v>
      </c>
      <c r="T1903" t="b">
        <v>1</v>
      </c>
      <c r="U1903" s="13" t="str">
        <f t="shared" si="119"/>
        <v>Color Mismatch</v>
      </c>
      <c r="V1903" t="s">
        <v>36</v>
      </c>
    </row>
    <row r="1904" spans="1:22" hidden="1" x14ac:dyDescent="0.3">
      <c r="A1904" t="s">
        <v>1957</v>
      </c>
      <c r="B1904" t="s">
        <v>21</v>
      </c>
      <c r="C1904" t="s">
        <v>61</v>
      </c>
      <c r="D1904" t="s">
        <v>62</v>
      </c>
      <c r="E1904" t="str">
        <f t="shared" si="116"/>
        <v>OS</v>
      </c>
      <c r="F1904" t="s">
        <v>24</v>
      </c>
      <c r="G1904" t="s">
        <v>46</v>
      </c>
      <c r="H1904" s="8">
        <v>62.79</v>
      </c>
      <c r="I1904" s="3">
        <f t="shared" si="117"/>
        <v>0.377</v>
      </c>
      <c r="J1904" s="4">
        <v>37.700000000000003</v>
      </c>
      <c r="K1904" s="11">
        <f>Table1[[#This Row],[original_price]]* (Table1[[#This Row],[Markdown percentage updated]])</f>
        <v>23.67183</v>
      </c>
      <c r="L19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04" s="6">
        <v>39.119999999999997</v>
      </c>
      <c r="N19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04" s="7">
        <v>45875</v>
      </c>
      <c r="P1904">
        <v>5</v>
      </c>
      <c r="Q1904" s="17" t="str">
        <f>IF(Table1[[#This Row],[stock_quantity]]=0,"NO STOCK",
IF(Table1[[#This Row],[stock_quantity]]&lt;=10,"LOW STOCK",
"IN STOCK"))</f>
        <v>LOW STOCK</v>
      </c>
      <c r="R1904" s="1">
        <f t="shared" si="118"/>
        <v>2.6</v>
      </c>
      <c r="S1904">
        <v>2.6</v>
      </c>
      <c r="T1904" t="b">
        <v>0</v>
      </c>
      <c r="U1904" t="str">
        <f t="shared" si="119"/>
        <v>No Return</v>
      </c>
    </row>
    <row r="1905" spans="1:22" hidden="1" x14ac:dyDescent="0.3">
      <c r="A1905" t="s">
        <v>1958</v>
      </c>
      <c r="B1905" t="s">
        <v>38</v>
      </c>
      <c r="C1905" t="s">
        <v>61</v>
      </c>
      <c r="D1905" t="s">
        <v>62</v>
      </c>
      <c r="E1905" t="str">
        <f t="shared" si="116"/>
        <v>XXL</v>
      </c>
      <c r="F1905" t="s">
        <v>18</v>
      </c>
      <c r="G1905" t="s">
        <v>56</v>
      </c>
      <c r="H1905" s="8">
        <v>84.72</v>
      </c>
      <c r="I1905" s="3">
        <f t="shared" si="117"/>
        <v>0.24199999999999999</v>
      </c>
      <c r="J1905" s="4">
        <v>24.2</v>
      </c>
      <c r="K1905" s="11">
        <f>Table1[[#This Row],[original_price]]* (Table1[[#This Row],[Markdown percentage updated]])</f>
        <v>20.50224</v>
      </c>
      <c r="L19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905" s="6">
        <v>64.22</v>
      </c>
      <c r="N19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05" s="7">
        <v>45875</v>
      </c>
      <c r="P1905">
        <v>44</v>
      </c>
      <c r="Q1905" s="16" t="str">
        <f>IF(Table1[[#This Row],[stock_quantity]]=0,"NO STOCK",
IF(Table1[[#This Row],[stock_quantity]]&lt;=10,"LOW STOCK",
"IN STOCK"))</f>
        <v>IN STOCK</v>
      </c>
      <c r="R1905" s="1">
        <f t="shared" si="118"/>
        <v>0</v>
      </c>
      <c r="T1905" t="b">
        <v>1</v>
      </c>
      <c r="U1905" s="13" t="str">
        <f t="shared" si="119"/>
        <v>Color Mismatch</v>
      </c>
      <c r="V1905" t="s">
        <v>36</v>
      </c>
    </row>
    <row r="1906" spans="1:22" hidden="1" x14ac:dyDescent="0.3">
      <c r="A1906" t="s">
        <v>1959</v>
      </c>
      <c r="B1906" t="s">
        <v>21</v>
      </c>
      <c r="C1906" t="s">
        <v>43</v>
      </c>
      <c r="D1906" t="s">
        <v>34</v>
      </c>
      <c r="E1906" t="str">
        <f t="shared" si="116"/>
        <v>XS</v>
      </c>
      <c r="F1906" t="s">
        <v>18</v>
      </c>
      <c r="G1906" t="s">
        <v>25</v>
      </c>
      <c r="H1906" s="8">
        <v>50.9</v>
      </c>
      <c r="I1906" s="3">
        <f t="shared" si="117"/>
        <v>0</v>
      </c>
      <c r="J1906" s="4">
        <v>0</v>
      </c>
      <c r="K1906" s="11">
        <f>Table1[[#This Row],[original_price]]* (Table1[[#This Row],[Markdown percentage updated]])</f>
        <v>0</v>
      </c>
      <c r="L19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06" s="6">
        <v>50.9</v>
      </c>
      <c r="N19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06" s="7">
        <v>45875</v>
      </c>
      <c r="P1906">
        <v>1</v>
      </c>
      <c r="Q1906" s="17" t="str">
        <f>IF(Table1[[#This Row],[stock_quantity]]=0,"NO STOCK",
IF(Table1[[#This Row],[stock_quantity]]&lt;=10,"LOW STOCK",
"IN STOCK"))</f>
        <v>LOW STOCK</v>
      </c>
      <c r="R1906" s="1">
        <f t="shared" si="118"/>
        <v>1.8</v>
      </c>
      <c r="S1906">
        <v>1.8</v>
      </c>
      <c r="T1906" t="b">
        <v>0</v>
      </c>
      <c r="U1906" t="str">
        <f t="shared" si="119"/>
        <v>No Return</v>
      </c>
    </row>
    <row r="1907" spans="1:22" hidden="1" x14ac:dyDescent="0.3">
      <c r="A1907" t="s">
        <v>1960</v>
      </c>
      <c r="B1907" t="s">
        <v>27</v>
      </c>
      <c r="C1907" t="s">
        <v>16</v>
      </c>
      <c r="D1907" t="s">
        <v>23</v>
      </c>
      <c r="E1907" t="str">
        <f t="shared" si="116"/>
        <v>XS</v>
      </c>
      <c r="G1907" t="s">
        <v>25</v>
      </c>
      <c r="H1907" s="8">
        <v>31.23</v>
      </c>
      <c r="I1907" s="3">
        <f t="shared" si="117"/>
        <v>0</v>
      </c>
      <c r="J1907" s="4">
        <v>0</v>
      </c>
      <c r="K1907" s="11">
        <f>Table1[[#This Row],[original_price]]* (Table1[[#This Row],[Markdown percentage updated]])</f>
        <v>0</v>
      </c>
      <c r="L19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07" s="6">
        <v>31.23</v>
      </c>
      <c r="N19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07" s="7">
        <v>45875</v>
      </c>
      <c r="P1907">
        <v>25</v>
      </c>
      <c r="Q1907" s="16" t="str">
        <f>IF(Table1[[#This Row],[stock_quantity]]=0,"NO STOCK",
IF(Table1[[#This Row],[stock_quantity]]&lt;=10,"LOW STOCK",
"IN STOCK"))</f>
        <v>IN STOCK</v>
      </c>
      <c r="R1907" s="1">
        <f t="shared" si="118"/>
        <v>2.8</v>
      </c>
      <c r="S1907">
        <v>2.8</v>
      </c>
      <c r="T1907" t="b">
        <v>0</v>
      </c>
      <c r="U1907" t="str">
        <f t="shared" si="119"/>
        <v>No Return</v>
      </c>
    </row>
    <row r="1908" spans="1:22" hidden="1" x14ac:dyDescent="0.3">
      <c r="A1908" t="s">
        <v>1961</v>
      </c>
      <c r="B1908" t="s">
        <v>21</v>
      </c>
      <c r="C1908" t="s">
        <v>16</v>
      </c>
      <c r="D1908" t="s">
        <v>17</v>
      </c>
      <c r="E1908" t="str">
        <f t="shared" si="116"/>
        <v>OS</v>
      </c>
      <c r="F1908" t="s">
        <v>49</v>
      </c>
      <c r="G1908" t="s">
        <v>19</v>
      </c>
      <c r="H1908" s="8">
        <v>105.1</v>
      </c>
      <c r="I1908" s="3">
        <f t="shared" si="117"/>
        <v>0</v>
      </c>
      <c r="J1908" s="4">
        <v>0</v>
      </c>
      <c r="K1908" s="11">
        <f>Table1[[#This Row],[original_price]]* (Table1[[#This Row],[Markdown percentage updated]])</f>
        <v>0</v>
      </c>
      <c r="L19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08" s="6">
        <v>105.1</v>
      </c>
      <c r="N19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08" s="7">
        <v>45532</v>
      </c>
      <c r="P1908">
        <v>39</v>
      </c>
      <c r="Q1908" s="16" t="str">
        <f>IF(Table1[[#This Row],[stock_quantity]]=0,"NO STOCK",
IF(Table1[[#This Row],[stock_quantity]]&lt;=10,"LOW STOCK",
"IN STOCK"))</f>
        <v>IN STOCK</v>
      </c>
      <c r="R1908" s="1">
        <f t="shared" si="118"/>
        <v>4.4000000000000004</v>
      </c>
      <c r="S1908">
        <v>4.4000000000000004</v>
      </c>
      <c r="T1908" t="b">
        <v>0</v>
      </c>
      <c r="U1908" t="str">
        <f t="shared" si="119"/>
        <v>No Return</v>
      </c>
    </row>
    <row r="1909" spans="1:22" hidden="1" x14ac:dyDescent="0.3">
      <c r="A1909" t="s">
        <v>1962</v>
      </c>
      <c r="B1909" t="s">
        <v>42</v>
      </c>
      <c r="C1909" t="s">
        <v>75</v>
      </c>
      <c r="D1909" t="s">
        <v>62</v>
      </c>
      <c r="E1909" t="str">
        <f t="shared" si="116"/>
        <v>S</v>
      </c>
      <c r="F1909" t="s">
        <v>55</v>
      </c>
      <c r="G1909" t="s">
        <v>70</v>
      </c>
      <c r="H1909" s="8">
        <v>160.38</v>
      </c>
      <c r="I1909" s="3">
        <f t="shared" si="117"/>
        <v>0</v>
      </c>
      <c r="J1909" s="4">
        <v>0</v>
      </c>
      <c r="K1909" s="11">
        <f>Table1[[#This Row],[original_price]]* (Table1[[#This Row],[Markdown percentage updated]])</f>
        <v>0</v>
      </c>
      <c r="L19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09" s="6">
        <v>160.38</v>
      </c>
      <c r="N19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09" s="7">
        <v>45875</v>
      </c>
      <c r="P1909">
        <v>27</v>
      </c>
      <c r="Q1909" s="16" t="str">
        <f>IF(Table1[[#This Row],[stock_quantity]]=0,"NO STOCK",
IF(Table1[[#This Row],[stock_quantity]]&lt;=10,"LOW STOCK",
"IN STOCK"))</f>
        <v>IN STOCK</v>
      </c>
      <c r="R1909" s="1">
        <f t="shared" si="118"/>
        <v>2.7</v>
      </c>
      <c r="S1909">
        <v>2.7</v>
      </c>
      <c r="T1909" t="b">
        <v>1</v>
      </c>
      <c r="U1909" s="13" t="str">
        <f t="shared" si="119"/>
        <v>Wrong Item</v>
      </c>
      <c r="V1909" t="s">
        <v>125</v>
      </c>
    </row>
    <row r="1910" spans="1:22" hidden="1" x14ac:dyDescent="0.3">
      <c r="A1910" t="s">
        <v>1963</v>
      </c>
      <c r="B1910" t="s">
        <v>38</v>
      </c>
      <c r="C1910" t="s">
        <v>22</v>
      </c>
      <c r="D1910" t="s">
        <v>17</v>
      </c>
      <c r="E1910" t="str">
        <f t="shared" si="116"/>
        <v>OS</v>
      </c>
      <c r="F1910" t="s">
        <v>55</v>
      </c>
      <c r="G1910" t="s">
        <v>25</v>
      </c>
      <c r="H1910" s="8">
        <v>96.68</v>
      </c>
      <c r="I1910" s="3">
        <f t="shared" si="117"/>
        <v>0.26</v>
      </c>
      <c r="J1910" s="4">
        <v>26</v>
      </c>
      <c r="K1910" s="11">
        <f>Table1[[#This Row],[original_price]]* (Table1[[#This Row],[Markdown percentage updated]])</f>
        <v>25.136800000000001</v>
      </c>
      <c r="L19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910" s="6">
        <v>71.540000000000006</v>
      </c>
      <c r="N19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10" s="7">
        <v>45556</v>
      </c>
      <c r="P1910">
        <v>16</v>
      </c>
      <c r="Q1910" s="16" t="str">
        <f>IF(Table1[[#This Row],[stock_quantity]]=0,"NO STOCK",
IF(Table1[[#This Row],[stock_quantity]]&lt;=10,"LOW STOCK",
"IN STOCK"))</f>
        <v>IN STOCK</v>
      </c>
      <c r="R1910" s="1">
        <f t="shared" si="118"/>
        <v>0</v>
      </c>
      <c r="T1910" t="b">
        <v>0</v>
      </c>
      <c r="U1910" t="str">
        <f t="shared" si="119"/>
        <v>No Return</v>
      </c>
    </row>
    <row r="1911" spans="1:22" hidden="1" x14ac:dyDescent="0.3">
      <c r="A1911" t="s">
        <v>1964</v>
      </c>
      <c r="B1911" t="s">
        <v>27</v>
      </c>
      <c r="C1911" t="s">
        <v>75</v>
      </c>
      <c r="D1911" t="s">
        <v>62</v>
      </c>
      <c r="E1911" t="str">
        <f t="shared" si="116"/>
        <v>XS</v>
      </c>
      <c r="G1911" t="s">
        <v>56</v>
      </c>
      <c r="H1911" s="8">
        <v>16.64</v>
      </c>
      <c r="I1911" s="3">
        <f t="shared" si="117"/>
        <v>0</v>
      </c>
      <c r="J1911" s="4">
        <v>0</v>
      </c>
      <c r="K1911" s="11">
        <f>Table1[[#This Row],[original_price]]* (Table1[[#This Row],[Markdown percentage updated]])</f>
        <v>0</v>
      </c>
      <c r="L19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11" s="6">
        <v>16.64</v>
      </c>
      <c r="N19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11" s="7">
        <v>45875</v>
      </c>
      <c r="P1911">
        <v>8</v>
      </c>
      <c r="Q1911" s="17" t="str">
        <f>IF(Table1[[#This Row],[stock_quantity]]=0,"NO STOCK",
IF(Table1[[#This Row],[stock_quantity]]&lt;=10,"LOW STOCK",
"IN STOCK"))</f>
        <v>LOW STOCK</v>
      </c>
      <c r="R1911" s="1">
        <f t="shared" si="118"/>
        <v>4.8</v>
      </c>
      <c r="S1911">
        <v>4.8</v>
      </c>
      <c r="T1911" t="b">
        <v>0</v>
      </c>
      <c r="U1911" t="str">
        <f t="shared" si="119"/>
        <v>No Return</v>
      </c>
    </row>
    <row r="1912" spans="1:22" hidden="1" x14ac:dyDescent="0.3">
      <c r="A1912" t="s">
        <v>1965</v>
      </c>
      <c r="B1912" t="s">
        <v>15</v>
      </c>
      <c r="C1912" t="s">
        <v>53</v>
      </c>
      <c r="D1912" t="s">
        <v>34</v>
      </c>
      <c r="E1912" t="str">
        <f t="shared" si="116"/>
        <v>S</v>
      </c>
      <c r="F1912" t="s">
        <v>39</v>
      </c>
      <c r="G1912" t="s">
        <v>56</v>
      </c>
      <c r="H1912" s="8">
        <v>160.05000000000001</v>
      </c>
      <c r="I1912" s="3">
        <f t="shared" si="117"/>
        <v>0.53700000000000003</v>
      </c>
      <c r="J1912" s="4">
        <v>53.7</v>
      </c>
      <c r="K1912" s="11">
        <f>Table1[[#This Row],[original_price]]* (Table1[[#This Row],[Markdown percentage updated]])</f>
        <v>85.946850000000012</v>
      </c>
      <c r="L19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12" s="6">
        <v>74.099999999999994</v>
      </c>
      <c r="N19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12" s="7">
        <v>45875</v>
      </c>
      <c r="P1912">
        <v>2</v>
      </c>
      <c r="Q1912" s="17" t="str">
        <f>IF(Table1[[#This Row],[stock_quantity]]=0,"NO STOCK",
IF(Table1[[#This Row],[stock_quantity]]&lt;=10,"LOW STOCK",
"IN STOCK"))</f>
        <v>LOW STOCK</v>
      </c>
      <c r="R1912" s="1">
        <f t="shared" si="118"/>
        <v>3.2</v>
      </c>
      <c r="S1912">
        <v>3.2</v>
      </c>
      <c r="T1912" t="b">
        <v>1</v>
      </c>
      <c r="U1912" s="13" t="str">
        <f t="shared" si="119"/>
        <v>Quality Issue</v>
      </c>
      <c r="V1912" t="s">
        <v>83</v>
      </c>
    </row>
    <row r="1913" spans="1:22" hidden="1" x14ac:dyDescent="0.3">
      <c r="A1913" t="s">
        <v>1966</v>
      </c>
      <c r="B1913" t="s">
        <v>27</v>
      </c>
      <c r="C1913" t="s">
        <v>43</v>
      </c>
      <c r="D1913" t="s">
        <v>34</v>
      </c>
      <c r="E1913" t="str">
        <f t="shared" si="116"/>
        <v>XS</v>
      </c>
      <c r="G1913" t="s">
        <v>40</v>
      </c>
      <c r="H1913" s="8">
        <v>23.56</v>
      </c>
      <c r="I1913" s="3">
        <f t="shared" si="117"/>
        <v>0</v>
      </c>
      <c r="J1913" s="4">
        <v>0</v>
      </c>
      <c r="K1913" s="11">
        <f>Table1[[#This Row],[original_price]]* (Table1[[#This Row],[Markdown percentage updated]])</f>
        <v>0</v>
      </c>
      <c r="L19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13" s="6">
        <v>23.56</v>
      </c>
      <c r="N19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13" s="7">
        <v>45875</v>
      </c>
      <c r="P1913">
        <v>16</v>
      </c>
      <c r="Q1913" s="16" t="str">
        <f>IF(Table1[[#This Row],[stock_quantity]]=0,"NO STOCK",
IF(Table1[[#This Row],[stock_quantity]]&lt;=10,"LOW STOCK",
"IN STOCK"))</f>
        <v>IN STOCK</v>
      </c>
      <c r="R1913" s="1">
        <f t="shared" si="118"/>
        <v>4.4000000000000004</v>
      </c>
      <c r="S1913">
        <v>4.4000000000000004</v>
      </c>
      <c r="T1913" t="b">
        <v>0</v>
      </c>
      <c r="U1913" t="str">
        <f t="shared" si="119"/>
        <v>No Return</v>
      </c>
    </row>
    <row r="1914" spans="1:22" hidden="1" x14ac:dyDescent="0.3">
      <c r="A1914" t="s">
        <v>1967</v>
      </c>
      <c r="B1914" t="s">
        <v>30</v>
      </c>
      <c r="C1914" t="s">
        <v>16</v>
      </c>
      <c r="D1914" t="s">
        <v>34</v>
      </c>
      <c r="E1914" t="str">
        <f t="shared" si="116"/>
        <v>M</v>
      </c>
      <c r="F1914" t="s">
        <v>55</v>
      </c>
      <c r="G1914" t="s">
        <v>28</v>
      </c>
      <c r="H1914" s="8">
        <v>68.37</v>
      </c>
      <c r="I1914" s="3">
        <f t="shared" si="117"/>
        <v>0.24199999999999999</v>
      </c>
      <c r="J1914" s="4">
        <v>24.2</v>
      </c>
      <c r="K1914" s="11">
        <f>Table1[[#This Row],[original_price]]* (Table1[[#This Row],[Markdown percentage updated]])</f>
        <v>16.545539999999999</v>
      </c>
      <c r="L19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914" s="6">
        <v>51.82</v>
      </c>
      <c r="N19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914" s="7">
        <v>45875</v>
      </c>
      <c r="P1914">
        <v>8</v>
      </c>
      <c r="Q1914" s="17" t="str">
        <f>IF(Table1[[#This Row],[stock_quantity]]=0,"NO STOCK",
IF(Table1[[#This Row],[stock_quantity]]&lt;=10,"LOW STOCK",
"IN STOCK"))</f>
        <v>LOW STOCK</v>
      </c>
      <c r="R1914" s="1">
        <f t="shared" si="118"/>
        <v>3.7</v>
      </c>
      <c r="S1914">
        <v>3.7</v>
      </c>
      <c r="T1914" t="b">
        <v>0</v>
      </c>
      <c r="U1914" t="str">
        <f t="shared" si="119"/>
        <v>No Return</v>
      </c>
    </row>
    <row r="1915" spans="1:22" hidden="1" x14ac:dyDescent="0.3">
      <c r="A1915" t="s">
        <v>1968</v>
      </c>
      <c r="B1915" t="s">
        <v>15</v>
      </c>
      <c r="C1915" t="s">
        <v>43</v>
      </c>
      <c r="D1915" t="s">
        <v>34</v>
      </c>
      <c r="E1915" t="str">
        <f t="shared" si="116"/>
        <v>XXL</v>
      </c>
      <c r="F1915" t="s">
        <v>39</v>
      </c>
      <c r="G1915" t="s">
        <v>46</v>
      </c>
      <c r="H1915" s="8">
        <v>184.24</v>
      </c>
      <c r="I1915" s="3">
        <f t="shared" si="117"/>
        <v>0</v>
      </c>
      <c r="J1915" s="4">
        <v>0</v>
      </c>
      <c r="K1915" s="11">
        <f>Table1[[#This Row],[original_price]]* (Table1[[#This Row],[Markdown percentage updated]])</f>
        <v>0</v>
      </c>
      <c r="L19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15" s="6">
        <v>184.24</v>
      </c>
      <c r="N19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15" s="7">
        <v>45875</v>
      </c>
      <c r="P1915">
        <v>49</v>
      </c>
      <c r="Q1915" s="16" t="str">
        <f>IF(Table1[[#This Row],[stock_quantity]]=0,"NO STOCK",
IF(Table1[[#This Row],[stock_quantity]]&lt;=10,"LOW STOCK",
"IN STOCK"))</f>
        <v>IN STOCK</v>
      </c>
      <c r="R1915" s="1">
        <f t="shared" si="118"/>
        <v>4</v>
      </c>
      <c r="S1915">
        <v>4</v>
      </c>
      <c r="T1915" t="b">
        <v>0</v>
      </c>
      <c r="U1915" t="str">
        <f t="shared" si="119"/>
        <v>No Return</v>
      </c>
    </row>
    <row r="1916" spans="1:22" hidden="1" x14ac:dyDescent="0.3">
      <c r="A1916" t="s">
        <v>1969</v>
      </c>
      <c r="B1916" t="s">
        <v>30</v>
      </c>
      <c r="C1916" t="s">
        <v>32</v>
      </c>
      <c r="D1916" t="s">
        <v>17</v>
      </c>
      <c r="E1916" t="str">
        <f t="shared" si="116"/>
        <v>OS</v>
      </c>
      <c r="F1916" t="s">
        <v>55</v>
      </c>
      <c r="G1916" t="s">
        <v>46</v>
      </c>
      <c r="H1916" s="8">
        <v>94.83</v>
      </c>
      <c r="I1916" s="3">
        <f t="shared" si="117"/>
        <v>0</v>
      </c>
      <c r="J1916" s="4">
        <v>0</v>
      </c>
      <c r="K1916" s="11">
        <f>Table1[[#This Row],[original_price]]* (Table1[[#This Row],[Markdown percentage updated]])</f>
        <v>0</v>
      </c>
      <c r="L19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16" s="6">
        <v>94.83</v>
      </c>
      <c r="N19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16" s="7">
        <v>45543</v>
      </c>
      <c r="P1916">
        <v>23</v>
      </c>
      <c r="Q1916" s="16" t="str">
        <f>IF(Table1[[#This Row],[stock_quantity]]=0,"NO STOCK",
IF(Table1[[#This Row],[stock_quantity]]&lt;=10,"LOW STOCK",
"IN STOCK"))</f>
        <v>IN STOCK</v>
      </c>
      <c r="R1916" s="1">
        <f t="shared" si="118"/>
        <v>2.9</v>
      </c>
      <c r="S1916">
        <v>2.9</v>
      </c>
      <c r="T1916" t="b">
        <v>0</v>
      </c>
      <c r="U1916" t="str">
        <f t="shared" si="119"/>
        <v>No Return</v>
      </c>
    </row>
    <row r="1917" spans="1:22" hidden="1" x14ac:dyDescent="0.3">
      <c r="A1917" t="s">
        <v>1970</v>
      </c>
      <c r="B1917" t="s">
        <v>21</v>
      </c>
      <c r="C1917" t="s">
        <v>53</v>
      </c>
      <c r="D1917" t="s">
        <v>62</v>
      </c>
      <c r="E1917" t="str">
        <f t="shared" si="116"/>
        <v>OS</v>
      </c>
      <c r="F1917" t="s">
        <v>58</v>
      </c>
      <c r="G1917" t="s">
        <v>25</v>
      </c>
      <c r="H1917" s="8">
        <v>115.58</v>
      </c>
      <c r="I1917" s="3">
        <f t="shared" si="117"/>
        <v>0</v>
      </c>
      <c r="J1917" s="4">
        <v>0</v>
      </c>
      <c r="K1917" s="11">
        <f>Table1[[#This Row],[original_price]]* (Table1[[#This Row],[Markdown percentage updated]])</f>
        <v>0</v>
      </c>
      <c r="L19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17" s="6">
        <v>115.58</v>
      </c>
      <c r="N19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17" s="7">
        <v>45875</v>
      </c>
      <c r="P1917">
        <v>37</v>
      </c>
      <c r="Q1917" s="16" t="str">
        <f>IF(Table1[[#This Row],[stock_quantity]]=0,"NO STOCK",
IF(Table1[[#This Row],[stock_quantity]]&lt;=10,"LOW STOCK",
"IN STOCK"))</f>
        <v>IN STOCK</v>
      </c>
      <c r="R1917" s="1">
        <f t="shared" si="118"/>
        <v>2.2000000000000002</v>
      </c>
      <c r="S1917">
        <v>2.2000000000000002</v>
      </c>
      <c r="T1917" t="b">
        <v>0</v>
      </c>
      <c r="U1917" t="str">
        <f t="shared" si="119"/>
        <v>No Return</v>
      </c>
    </row>
    <row r="1918" spans="1:22" hidden="1" x14ac:dyDescent="0.3">
      <c r="A1918" t="s">
        <v>1971</v>
      </c>
      <c r="B1918" t="s">
        <v>15</v>
      </c>
      <c r="C1918" t="s">
        <v>16</v>
      </c>
      <c r="D1918" t="s">
        <v>23</v>
      </c>
      <c r="E1918" t="str">
        <f t="shared" si="116"/>
        <v>M</v>
      </c>
      <c r="F1918" t="s">
        <v>49</v>
      </c>
      <c r="G1918" t="s">
        <v>46</v>
      </c>
      <c r="H1918" s="8">
        <v>116.29</v>
      </c>
      <c r="I1918" s="3">
        <f t="shared" si="117"/>
        <v>0.58700000000000008</v>
      </c>
      <c r="J1918" s="4">
        <v>58.7</v>
      </c>
      <c r="K1918" s="11">
        <f>Table1[[#This Row],[original_price]]* (Table1[[#This Row],[Markdown percentage updated]])</f>
        <v>68.262230000000017</v>
      </c>
      <c r="L19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18" s="6">
        <v>48.03</v>
      </c>
      <c r="N19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18" s="7">
        <v>45875</v>
      </c>
      <c r="P1918">
        <v>34</v>
      </c>
      <c r="Q1918" s="16" t="str">
        <f>IF(Table1[[#This Row],[stock_quantity]]=0,"NO STOCK",
IF(Table1[[#This Row],[stock_quantity]]&lt;=10,"LOW STOCK",
"IN STOCK"))</f>
        <v>IN STOCK</v>
      </c>
      <c r="R1918" s="1">
        <f t="shared" si="118"/>
        <v>3.3</v>
      </c>
      <c r="S1918">
        <v>3.3</v>
      </c>
      <c r="T1918" t="b">
        <v>0</v>
      </c>
      <c r="U1918" t="str">
        <f t="shared" si="119"/>
        <v>No Return</v>
      </c>
    </row>
    <row r="1919" spans="1:22" hidden="1" x14ac:dyDescent="0.3">
      <c r="A1919" t="s">
        <v>1972</v>
      </c>
      <c r="B1919" t="s">
        <v>27</v>
      </c>
      <c r="C1919" t="s">
        <v>32</v>
      </c>
      <c r="D1919" t="s">
        <v>62</v>
      </c>
      <c r="E1919" t="str">
        <f t="shared" si="116"/>
        <v>OS</v>
      </c>
      <c r="G1919" t="s">
        <v>46</v>
      </c>
      <c r="H1919" s="8">
        <v>24.55</v>
      </c>
      <c r="I1919" s="3">
        <f t="shared" si="117"/>
        <v>0</v>
      </c>
      <c r="J1919" s="4">
        <v>0</v>
      </c>
      <c r="K1919" s="11">
        <f>Table1[[#This Row],[original_price]]* (Table1[[#This Row],[Markdown percentage updated]])</f>
        <v>0</v>
      </c>
      <c r="L19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19" s="6">
        <v>24.55</v>
      </c>
      <c r="N19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19" s="7">
        <v>45875</v>
      </c>
      <c r="P1919">
        <v>43</v>
      </c>
      <c r="Q1919" s="16" t="str">
        <f>IF(Table1[[#This Row],[stock_quantity]]=0,"NO STOCK",
IF(Table1[[#This Row],[stock_quantity]]&lt;=10,"LOW STOCK",
"IN STOCK"))</f>
        <v>IN STOCK</v>
      </c>
      <c r="R1919" s="1">
        <f t="shared" si="118"/>
        <v>2.2999999999999998</v>
      </c>
      <c r="S1919">
        <v>2.2999999999999998</v>
      </c>
      <c r="T1919" t="b">
        <v>0</v>
      </c>
      <c r="U1919" t="str">
        <f t="shared" si="119"/>
        <v>No Return</v>
      </c>
    </row>
    <row r="1920" spans="1:22" hidden="1" x14ac:dyDescent="0.3">
      <c r="A1920" t="s">
        <v>1973</v>
      </c>
      <c r="B1920" t="s">
        <v>42</v>
      </c>
      <c r="C1920" t="s">
        <v>16</v>
      </c>
      <c r="D1920" t="s">
        <v>17</v>
      </c>
      <c r="E1920" t="str">
        <f t="shared" si="116"/>
        <v>XS</v>
      </c>
      <c r="G1920" t="s">
        <v>64</v>
      </c>
      <c r="H1920" s="8">
        <v>81.56</v>
      </c>
      <c r="I1920" s="3">
        <f t="shared" si="117"/>
        <v>0</v>
      </c>
      <c r="J1920" s="4">
        <v>0</v>
      </c>
      <c r="K1920" s="11">
        <f>Table1[[#This Row],[original_price]]* (Table1[[#This Row],[Markdown percentage updated]])</f>
        <v>0</v>
      </c>
      <c r="L19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20" s="6">
        <v>81.56</v>
      </c>
      <c r="N19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20" s="7">
        <v>45666</v>
      </c>
      <c r="P1920">
        <v>28</v>
      </c>
      <c r="Q1920" s="16" t="str">
        <f>IF(Table1[[#This Row],[stock_quantity]]=0,"NO STOCK",
IF(Table1[[#This Row],[stock_quantity]]&lt;=10,"LOW STOCK",
"IN STOCK"))</f>
        <v>IN STOCK</v>
      </c>
      <c r="R1920" s="1">
        <f t="shared" si="118"/>
        <v>3</v>
      </c>
      <c r="S1920">
        <v>3</v>
      </c>
      <c r="T1920" t="b">
        <v>0</v>
      </c>
      <c r="U1920" t="str">
        <f t="shared" si="119"/>
        <v>No Return</v>
      </c>
    </row>
    <row r="1921" spans="1:22" hidden="1" x14ac:dyDescent="0.3">
      <c r="A1921" t="s">
        <v>1974</v>
      </c>
      <c r="B1921" t="s">
        <v>15</v>
      </c>
      <c r="C1921" t="s">
        <v>32</v>
      </c>
      <c r="D1921" t="s">
        <v>17</v>
      </c>
      <c r="E1921" t="str">
        <f t="shared" si="116"/>
        <v>S</v>
      </c>
      <c r="F1921" t="s">
        <v>58</v>
      </c>
      <c r="G1921" t="s">
        <v>35</v>
      </c>
      <c r="H1921" s="8">
        <v>234.63</v>
      </c>
      <c r="I1921" s="3">
        <f t="shared" si="117"/>
        <v>0</v>
      </c>
      <c r="J1921" s="4">
        <v>0</v>
      </c>
      <c r="K1921" s="11">
        <f>Table1[[#This Row],[original_price]]* (Table1[[#This Row],[Markdown percentage updated]])</f>
        <v>0</v>
      </c>
      <c r="L19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21" s="6">
        <v>234.63</v>
      </c>
      <c r="N19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21" s="7">
        <v>45695</v>
      </c>
      <c r="P1921">
        <v>30</v>
      </c>
      <c r="Q1921" s="16" t="str">
        <f>IF(Table1[[#This Row],[stock_quantity]]=0,"NO STOCK",
IF(Table1[[#This Row],[stock_quantity]]&lt;=10,"LOW STOCK",
"IN STOCK"))</f>
        <v>IN STOCK</v>
      </c>
      <c r="R1921" s="1">
        <f t="shared" si="118"/>
        <v>4.3</v>
      </c>
      <c r="S1921">
        <v>4.3</v>
      </c>
      <c r="T1921" t="b">
        <v>0</v>
      </c>
      <c r="U1921" t="str">
        <f t="shared" si="119"/>
        <v>No Return</v>
      </c>
    </row>
    <row r="1922" spans="1:22" hidden="1" x14ac:dyDescent="0.3">
      <c r="A1922" t="s">
        <v>1975</v>
      </c>
      <c r="B1922" t="s">
        <v>27</v>
      </c>
      <c r="C1922" t="s">
        <v>16</v>
      </c>
      <c r="D1922" t="s">
        <v>34</v>
      </c>
      <c r="E1922" t="str">
        <f t="shared" ref="E1922:E1985" si="120">IF(ISBLANK(F1925),"OS",F1925)</f>
        <v>XS</v>
      </c>
      <c r="G1922" t="s">
        <v>35</v>
      </c>
      <c r="H1922" s="8">
        <v>27.6</v>
      </c>
      <c r="I1922" s="3">
        <f t="shared" ref="I1922:I1985" si="121">J1922/100</f>
        <v>0</v>
      </c>
      <c r="J1922" s="4">
        <v>0</v>
      </c>
      <c r="K1922" s="11">
        <f>Table1[[#This Row],[original_price]]* (Table1[[#This Row],[Markdown percentage updated]])</f>
        <v>0</v>
      </c>
      <c r="L19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22" s="6">
        <v>27.6</v>
      </c>
      <c r="N19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22" s="7">
        <v>45875</v>
      </c>
      <c r="P1922">
        <v>33</v>
      </c>
      <c r="Q1922" s="16" t="str">
        <f>IF(Table1[[#This Row],[stock_quantity]]=0,"NO STOCK",
IF(Table1[[#This Row],[stock_quantity]]&lt;=10,"LOW STOCK",
"IN STOCK"))</f>
        <v>IN STOCK</v>
      </c>
      <c r="R1922" s="1">
        <f t="shared" si="118"/>
        <v>2.8</v>
      </c>
      <c r="S1922">
        <v>2.8</v>
      </c>
      <c r="T1922" t="b">
        <v>0</v>
      </c>
      <c r="U1922" t="str">
        <f t="shared" si="119"/>
        <v>No Return</v>
      </c>
    </row>
    <row r="1923" spans="1:22" hidden="1" x14ac:dyDescent="0.3">
      <c r="A1923" t="s">
        <v>1976</v>
      </c>
      <c r="B1923" t="s">
        <v>21</v>
      </c>
      <c r="C1923" t="s">
        <v>53</v>
      </c>
      <c r="D1923" t="s">
        <v>34</v>
      </c>
      <c r="E1923" t="str">
        <f t="shared" si="120"/>
        <v>L</v>
      </c>
      <c r="F1923" t="s">
        <v>55</v>
      </c>
      <c r="G1923" t="s">
        <v>40</v>
      </c>
      <c r="H1923" s="8">
        <v>114.76</v>
      </c>
      <c r="I1923" s="3">
        <f t="shared" si="121"/>
        <v>0.24299999999999999</v>
      </c>
      <c r="J1923" s="4">
        <v>24.3</v>
      </c>
      <c r="K1923" s="11">
        <f>Table1[[#This Row],[original_price]]* (Table1[[#This Row],[Markdown percentage updated]])</f>
        <v>27.886680000000002</v>
      </c>
      <c r="L19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923" s="6">
        <v>86.87</v>
      </c>
      <c r="N19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23" s="7">
        <v>45875</v>
      </c>
      <c r="P1923">
        <v>10</v>
      </c>
      <c r="Q1923" s="17" t="str">
        <f>IF(Table1[[#This Row],[stock_quantity]]=0,"NO STOCK",
IF(Table1[[#This Row],[stock_quantity]]&lt;=10,"LOW STOCK",
"IN STOCK"))</f>
        <v>LOW STOCK</v>
      </c>
      <c r="R1923" s="1">
        <f t="shared" ref="R1923:R1986" si="122">IF(ISBLANK(S1923), 0, S1923)</f>
        <v>3.4</v>
      </c>
      <c r="S1923">
        <v>3.4</v>
      </c>
      <c r="T1923" t="b">
        <v>0</v>
      </c>
      <c r="U1923" t="str">
        <f t="shared" ref="U1923:U1986" si="123">IF(V1923="","No Return",V1923)</f>
        <v>No Return</v>
      </c>
    </row>
    <row r="1924" spans="1:22" hidden="1" x14ac:dyDescent="0.3">
      <c r="A1924" t="s">
        <v>1977</v>
      </c>
      <c r="B1924" t="s">
        <v>30</v>
      </c>
      <c r="C1924" t="s">
        <v>16</v>
      </c>
      <c r="D1924" t="s">
        <v>17</v>
      </c>
      <c r="E1924" t="str">
        <f t="shared" si="120"/>
        <v>OS</v>
      </c>
      <c r="F1924" t="s">
        <v>39</v>
      </c>
      <c r="G1924" t="s">
        <v>46</v>
      </c>
      <c r="H1924" s="8">
        <v>133.52000000000001</v>
      </c>
      <c r="I1924" s="3">
        <f t="shared" si="121"/>
        <v>0</v>
      </c>
      <c r="J1924" s="4">
        <v>0</v>
      </c>
      <c r="K1924" s="11">
        <f>Table1[[#This Row],[original_price]]* (Table1[[#This Row],[Markdown percentage updated]])</f>
        <v>0</v>
      </c>
      <c r="L19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24" s="6">
        <v>133.52000000000001</v>
      </c>
      <c r="N19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24" s="7">
        <v>45569</v>
      </c>
      <c r="P1924">
        <v>32</v>
      </c>
      <c r="Q1924" s="16" t="str">
        <f>IF(Table1[[#This Row],[stock_quantity]]=0,"NO STOCK",
IF(Table1[[#This Row],[stock_quantity]]&lt;=10,"LOW STOCK",
"IN STOCK"))</f>
        <v>IN STOCK</v>
      </c>
      <c r="R1924" s="1">
        <f t="shared" si="122"/>
        <v>0</v>
      </c>
      <c r="T1924" t="b">
        <v>0</v>
      </c>
      <c r="U1924" t="str">
        <f t="shared" si="123"/>
        <v>No Return</v>
      </c>
    </row>
    <row r="1925" spans="1:22" hidden="1" x14ac:dyDescent="0.3">
      <c r="A1925" t="s">
        <v>1978</v>
      </c>
      <c r="B1925" t="s">
        <v>21</v>
      </c>
      <c r="C1925" t="s">
        <v>32</v>
      </c>
      <c r="D1925" t="s">
        <v>23</v>
      </c>
      <c r="E1925" t="str">
        <f t="shared" si="120"/>
        <v>M</v>
      </c>
      <c r="F1925" t="s">
        <v>55</v>
      </c>
      <c r="G1925" t="s">
        <v>44</v>
      </c>
      <c r="H1925" s="8">
        <v>64.34</v>
      </c>
      <c r="I1925" s="3">
        <f t="shared" si="121"/>
        <v>0.59299999999999997</v>
      </c>
      <c r="J1925" s="4">
        <v>59.3</v>
      </c>
      <c r="K1925" s="11">
        <f>Table1[[#This Row],[original_price]]* (Table1[[#This Row],[Markdown percentage updated]])</f>
        <v>38.153620000000004</v>
      </c>
      <c r="L19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25" s="6">
        <v>26.19</v>
      </c>
      <c r="N19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25" s="7">
        <v>45875</v>
      </c>
      <c r="P1925">
        <v>34</v>
      </c>
      <c r="Q1925" s="16" t="str">
        <f>IF(Table1[[#This Row],[stock_quantity]]=0,"NO STOCK",
IF(Table1[[#This Row],[stock_quantity]]&lt;=10,"LOW STOCK",
"IN STOCK"))</f>
        <v>IN STOCK</v>
      </c>
      <c r="R1925" s="1">
        <f t="shared" si="122"/>
        <v>1.2</v>
      </c>
      <c r="S1925">
        <v>1.2</v>
      </c>
      <c r="T1925" t="b">
        <v>0</v>
      </c>
      <c r="U1925" t="str">
        <f t="shared" si="123"/>
        <v>No Return</v>
      </c>
    </row>
    <row r="1926" spans="1:22" hidden="1" x14ac:dyDescent="0.3">
      <c r="A1926" t="s">
        <v>1979</v>
      </c>
      <c r="B1926" t="s">
        <v>38</v>
      </c>
      <c r="C1926" t="s">
        <v>75</v>
      </c>
      <c r="D1926" t="s">
        <v>34</v>
      </c>
      <c r="E1926" t="str">
        <f t="shared" si="120"/>
        <v>XL</v>
      </c>
      <c r="F1926" t="s">
        <v>24</v>
      </c>
      <c r="G1926" t="s">
        <v>66</v>
      </c>
      <c r="H1926" s="8">
        <v>117.81</v>
      </c>
      <c r="I1926" s="3">
        <f t="shared" si="121"/>
        <v>0</v>
      </c>
      <c r="J1926" s="4">
        <v>0</v>
      </c>
      <c r="K1926" s="11">
        <f>Table1[[#This Row],[original_price]]* (Table1[[#This Row],[Markdown percentage updated]])</f>
        <v>0</v>
      </c>
      <c r="L19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26" s="6">
        <v>117.81</v>
      </c>
      <c r="N19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26" s="7">
        <v>45875</v>
      </c>
      <c r="P1926">
        <v>22</v>
      </c>
      <c r="Q1926" s="16" t="str">
        <f>IF(Table1[[#This Row],[stock_quantity]]=0,"NO STOCK",
IF(Table1[[#This Row],[stock_quantity]]&lt;=10,"LOW STOCK",
"IN STOCK"))</f>
        <v>IN STOCK</v>
      </c>
      <c r="R1926" s="1">
        <f t="shared" si="122"/>
        <v>4.9000000000000004</v>
      </c>
      <c r="S1926">
        <v>4.9000000000000004</v>
      </c>
      <c r="T1926" t="b">
        <v>0</v>
      </c>
      <c r="U1926" t="str">
        <f t="shared" si="123"/>
        <v>No Return</v>
      </c>
    </row>
    <row r="1927" spans="1:22" hidden="1" x14ac:dyDescent="0.3">
      <c r="A1927" t="s">
        <v>1980</v>
      </c>
      <c r="B1927" t="s">
        <v>27</v>
      </c>
      <c r="C1927" t="s">
        <v>53</v>
      </c>
      <c r="D1927" t="s">
        <v>17</v>
      </c>
      <c r="E1927" t="str">
        <f t="shared" si="120"/>
        <v>XXL</v>
      </c>
      <c r="G1927" t="s">
        <v>44</v>
      </c>
      <c r="H1927" s="8">
        <v>29.19</v>
      </c>
      <c r="I1927" s="3">
        <f t="shared" si="121"/>
        <v>0</v>
      </c>
      <c r="J1927" s="4">
        <v>0</v>
      </c>
      <c r="K1927" s="11">
        <f>Table1[[#This Row],[original_price]]* (Table1[[#This Row],[Markdown percentage updated]])</f>
        <v>0</v>
      </c>
      <c r="L19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27" s="6">
        <v>29.19</v>
      </c>
      <c r="N19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27" s="7">
        <v>45731</v>
      </c>
      <c r="P1927">
        <v>20</v>
      </c>
      <c r="Q1927" s="16" t="str">
        <f>IF(Table1[[#This Row],[stock_quantity]]=0,"NO STOCK",
IF(Table1[[#This Row],[stock_quantity]]&lt;=10,"LOW STOCK",
"IN STOCK"))</f>
        <v>IN STOCK</v>
      </c>
      <c r="R1927" s="1">
        <f t="shared" si="122"/>
        <v>1.9</v>
      </c>
      <c r="S1927">
        <v>1.9</v>
      </c>
      <c r="T1927" t="b">
        <v>0</v>
      </c>
      <c r="U1927" t="str">
        <f t="shared" si="123"/>
        <v>No Return</v>
      </c>
    </row>
    <row r="1928" spans="1:22" hidden="1" x14ac:dyDescent="0.3">
      <c r="A1928" t="s">
        <v>1981</v>
      </c>
      <c r="B1928" t="s">
        <v>21</v>
      </c>
      <c r="C1928" t="s">
        <v>22</v>
      </c>
      <c r="D1928" t="s">
        <v>34</v>
      </c>
      <c r="E1928" t="str">
        <f t="shared" si="120"/>
        <v>XS</v>
      </c>
      <c r="F1928" t="s">
        <v>58</v>
      </c>
      <c r="G1928" t="s">
        <v>66</v>
      </c>
      <c r="H1928" s="8">
        <v>34.72</v>
      </c>
      <c r="I1928" s="3">
        <f t="shared" si="121"/>
        <v>0</v>
      </c>
      <c r="J1928" s="4">
        <v>0</v>
      </c>
      <c r="K1928" s="11">
        <f>Table1[[#This Row],[original_price]]* (Table1[[#This Row],[Markdown percentage updated]])</f>
        <v>0</v>
      </c>
      <c r="L19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28" s="6">
        <v>34.72</v>
      </c>
      <c r="N19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28" s="7">
        <v>45875</v>
      </c>
      <c r="P1928">
        <v>7</v>
      </c>
      <c r="Q1928" s="17" t="str">
        <f>IF(Table1[[#This Row],[stock_quantity]]=0,"NO STOCK",
IF(Table1[[#This Row],[stock_quantity]]&lt;=10,"LOW STOCK",
"IN STOCK"))</f>
        <v>LOW STOCK</v>
      </c>
      <c r="R1928" s="1">
        <f t="shared" si="122"/>
        <v>0</v>
      </c>
      <c r="T1928" t="b">
        <v>0</v>
      </c>
      <c r="U1928" t="str">
        <f t="shared" si="123"/>
        <v>No Return</v>
      </c>
    </row>
    <row r="1929" spans="1:22" hidden="1" x14ac:dyDescent="0.3">
      <c r="A1929" t="s">
        <v>1982</v>
      </c>
      <c r="B1929" t="s">
        <v>42</v>
      </c>
      <c r="C1929" t="s">
        <v>61</v>
      </c>
      <c r="D1929" t="s">
        <v>34</v>
      </c>
      <c r="E1929" t="str">
        <f t="shared" si="120"/>
        <v>XS</v>
      </c>
      <c r="F1929" t="s">
        <v>18</v>
      </c>
      <c r="G1929" t="s">
        <v>40</v>
      </c>
      <c r="H1929" s="8">
        <v>107.49</v>
      </c>
      <c r="I1929" s="3">
        <f t="shared" si="121"/>
        <v>0</v>
      </c>
      <c r="J1929" s="4">
        <v>0</v>
      </c>
      <c r="K1929" s="11">
        <f>Table1[[#This Row],[original_price]]* (Table1[[#This Row],[Markdown percentage updated]])</f>
        <v>0</v>
      </c>
      <c r="L19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29" s="6">
        <v>107.49</v>
      </c>
      <c r="N19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29" s="7">
        <v>45875</v>
      </c>
      <c r="P1929">
        <v>49</v>
      </c>
      <c r="Q1929" s="16" t="str">
        <f>IF(Table1[[#This Row],[stock_quantity]]=0,"NO STOCK",
IF(Table1[[#This Row],[stock_quantity]]&lt;=10,"LOW STOCK",
"IN STOCK"))</f>
        <v>IN STOCK</v>
      </c>
      <c r="R1929" s="1">
        <f t="shared" si="122"/>
        <v>3.3</v>
      </c>
      <c r="S1929">
        <v>3.3</v>
      </c>
      <c r="T1929" t="b">
        <v>0</v>
      </c>
      <c r="U1929" t="str">
        <f t="shared" si="123"/>
        <v>No Return</v>
      </c>
    </row>
    <row r="1930" spans="1:22" hidden="1" x14ac:dyDescent="0.3">
      <c r="A1930" t="s">
        <v>1983</v>
      </c>
      <c r="B1930" t="s">
        <v>38</v>
      </c>
      <c r="C1930" t="s">
        <v>22</v>
      </c>
      <c r="D1930" t="s">
        <v>23</v>
      </c>
      <c r="E1930" t="str">
        <f t="shared" si="120"/>
        <v>XL</v>
      </c>
      <c r="F1930" t="s">
        <v>49</v>
      </c>
      <c r="G1930" t="s">
        <v>44</v>
      </c>
      <c r="H1930" s="8">
        <v>38.700000000000003</v>
      </c>
      <c r="I1930" s="3">
        <f t="shared" si="121"/>
        <v>0</v>
      </c>
      <c r="J1930" s="4">
        <v>0</v>
      </c>
      <c r="K1930" s="11">
        <f>Table1[[#This Row],[original_price]]* (Table1[[#This Row],[Markdown percentage updated]])</f>
        <v>0</v>
      </c>
      <c r="L19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30" s="6">
        <v>38.700000000000003</v>
      </c>
      <c r="N19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30" s="7">
        <v>45875</v>
      </c>
      <c r="P1930">
        <v>11</v>
      </c>
      <c r="Q1930" s="16" t="str">
        <f>IF(Table1[[#This Row],[stock_quantity]]=0,"NO STOCK",
IF(Table1[[#This Row],[stock_quantity]]&lt;=10,"LOW STOCK",
"IN STOCK"))</f>
        <v>IN STOCK</v>
      </c>
      <c r="R1930" s="1">
        <f t="shared" si="122"/>
        <v>4</v>
      </c>
      <c r="S1930">
        <v>4</v>
      </c>
      <c r="T1930" t="b">
        <v>0</v>
      </c>
      <c r="U1930" t="str">
        <f t="shared" si="123"/>
        <v>No Return</v>
      </c>
    </row>
    <row r="1931" spans="1:22" hidden="1" x14ac:dyDescent="0.3">
      <c r="A1931" t="s">
        <v>1984</v>
      </c>
      <c r="B1931" t="s">
        <v>15</v>
      </c>
      <c r="C1931" t="s">
        <v>53</v>
      </c>
      <c r="D1931" t="s">
        <v>17</v>
      </c>
      <c r="E1931" t="str">
        <f t="shared" si="120"/>
        <v>XXL</v>
      </c>
      <c r="F1931" t="s">
        <v>55</v>
      </c>
      <c r="G1931" t="s">
        <v>70</v>
      </c>
      <c r="H1931" s="8">
        <v>152.63999999999999</v>
      </c>
      <c r="I1931" s="3">
        <f t="shared" si="121"/>
        <v>0</v>
      </c>
      <c r="J1931" s="4">
        <v>0</v>
      </c>
      <c r="K1931" s="11">
        <f>Table1[[#This Row],[original_price]]* (Table1[[#This Row],[Markdown percentage updated]])</f>
        <v>0</v>
      </c>
      <c r="L19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31" s="6">
        <v>152.63999999999999</v>
      </c>
      <c r="N19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31" s="7">
        <v>45752</v>
      </c>
      <c r="P1931">
        <v>19</v>
      </c>
      <c r="Q1931" s="16" t="str">
        <f>IF(Table1[[#This Row],[stock_quantity]]=0,"NO STOCK",
IF(Table1[[#This Row],[stock_quantity]]&lt;=10,"LOW STOCK",
"IN STOCK"))</f>
        <v>IN STOCK</v>
      </c>
      <c r="R1931" s="1">
        <f t="shared" si="122"/>
        <v>4.0999999999999996</v>
      </c>
      <c r="S1931">
        <v>4.0999999999999996</v>
      </c>
      <c r="T1931" t="b">
        <v>0</v>
      </c>
      <c r="U1931" t="str">
        <f t="shared" si="123"/>
        <v>No Return</v>
      </c>
    </row>
    <row r="1932" spans="1:22" hidden="1" x14ac:dyDescent="0.3">
      <c r="A1932" t="s">
        <v>1985</v>
      </c>
      <c r="B1932" t="s">
        <v>15</v>
      </c>
      <c r="C1932" t="s">
        <v>43</v>
      </c>
      <c r="D1932" t="s">
        <v>34</v>
      </c>
      <c r="E1932" t="str">
        <f t="shared" si="120"/>
        <v>XXL</v>
      </c>
      <c r="F1932" t="s">
        <v>55</v>
      </c>
      <c r="G1932" t="s">
        <v>66</v>
      </c>
      <c r="H1932" s="8">
        <v>181.66</v>
      </c>
      <c r="I1932" s="3">
        <f t="shared" si="121"/>
        <v>0.56399999999999995</v>
      </c>
      <c r="J1932" s="4">
        <v>56.4</v>
      </c>
      <c r="K1932" s="11">
        <f>Table1[[#This Row],[original_price]]* (Table1[[#This Row],[Markdown percentage updated]])</f>
        <v>102.45623999999999</v>
      </c>
      <c r="L19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32" s="6">
        <v>79.2</v>
      </c>
      <c r="N19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32" s="7">
        <v>45875</v>
      </c>
      <c r="P1932">
        <v>43</v>
      </c>
      <c r="Q1932" s="16" t="str">
        <f>IF(Table1[[#This Row],[stock_quantity]]=0,"NO STOCK",
IF(Table1[[#This Row],[stock_quantity]]&lt;=10,"LOW STOCK",
"IN STOCK"))</f>
        <v>IN STOCK</v>
      </c>
      <c r="R1932" s="1">
        <f t="shared" si="122"/>
        <v>1.2</v>
      </c>
      <c r="S1932">
        <v>1.2</v>
      </c>
      <c r="T1932" t="b">
        <v>0</v>
      </c>
      <c r="U1932" t="str">
        <f t="shared" si="123"/>
        <v>No Return</v>
      </c>
    </row>
    <row r="1933" spans="1:22" hidden="1" x14ac:dyDescent="0.3">
      <c r="A1933" t="s">
        <v>1986</v>
      </c>
      <c r="B1933" t="s">
        <v>21</v>
      </c>
      <c r="C1933" t="s">
        <v>22</v>
      </c>
      <c r="D1933" t="s">
        <v>17</v>
      </c>
      <c r="E1933" t="str">
        <f t="shared" si="120"/>
        <v>L</v>
      </c>
      <c r="F1933" t="s">
        <v>18</v>
      </c>
      <c r="G1933" t="s">
        <v>46</v>
      </c>
      <c r="H1933" s="8">
        <v>114.8</v>
      </c>
      <c r="I1933" s="3">
        <f t="shared" si="121"/>
        <v>0.17399999999999999</v>
      </c>
      <c r="J1933" s="4">
        <v>17.399999999999999</v>
      </c>
      <c r="K1933" s="11">
        <f>Table1[[#This Row],[original_price]]* (Table1[[#This Row],[Markdown percentage updated]])</f>
        <v>19.975199999999997</v>
      </c>
      <c r="L19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33" s="6">
        <v>94.82</v>
      </c>
      <c r="N19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933" s="7">
        <v>45794</v>
      </c>
      <c r="P1933">
        <v>4</v>
      </c>
      <c r="Q1933" s="17" t="str">
        <f>IF(Table1[[#This Row],[stock_quantity]]=0,"NO STOCK",
IF(Table1[[#This Row],[stock_quantity]]&lt;=10,"LOW STOCK",
"IN STOCK"))</f>
        <v>LOW STOCK</v>
      </c>
      <c r="R1933" s="1">
        <f t="shared" si="122"/>
        <v>1.8</v>
      </c>
      <c r="S1933">
        <v>1.8</v>
      </c>
      <c r="T1933" t="b">
        <v>0</v>
      </c>
      <c r="U1933" t="str">
        <f t="shared" si="123"/>
        <v>No Return</v>
      </c>
    </row>
    <row r="1934" spans="1:22" hidden="1" x14ac:dyDescent="0.3">
      <c r="A1934" t="s">
        <v>1987</v>
      </c>
      <c r="B1934" t="s">
        <v>30</v>
      </c>
      <c r="C1934" t="s">
        <v>22</v>
      </c>
      <c r="D1934" t="s">
        <v>23</v>
      </c>
      <c r="E1934" t="str">
        <f t="shared" si="120"/>
        <v>S</v>
      </c>
      <c r="F1934" t="s">
        <v>49</v>
      </c>
      <c r="G1934" t="s">
        <v>46</v>
      </c>
      <c r="H1934" s="8">
        <v>102.95</v>
      </c>
      <c r="I1934" s="3">
        <f t="shared" si="121"/>
        <v>0</v>
      </c>
      <c r="J1934" s="4">
        <v>0</v>
      </c>
      <c r="K1934" s="11">
        <f>Table1[[#This Row],[original_price]]* (Table1[[#This Row],[Markdown percentage updated]])</f>
        <v>0</v>
      </c>
      <c r="L19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34" s="6">
        <v>102.95</v>
      </c>
      <c r="N19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34" s="7">
        <v>45875</v>
      </c>
      <c r="P1934">
        <v>38</v>
      </c>
      <c r="Q1934" s="16" t="str">
        <f>IF(Table1[[#This Row],[stock_quantity]]=0,"NO STOCK",
IF(Table1[[#This Row],[stock_quantity]]&lt;=10,"LOW STOCK",
"IN STOCK"))</f>
        <v>IN STOCK</v>
      </c>
      <c r="R1934" s="1">
        <f t="shared" si="122"/>
        <v>3.8</v>
      </c>
      <c r="S1934">
        <v>3.8</v>
      </c>
      <c r="T1934" t="b">
        <v>0</v>
      </c>
      <c r="U1934" t="str">
        <f t="shared" si="123"/>
        <v>No Return</v>
      </c>
    </row>
    <row r="1935" spans="1:22" hidden="1" x14ac:dyDescent="0.3">
      <c r="A1935" t="s">
        <v>1988</v>
      </c>
      <c r="B1935" t="s">
        <v>21</v>
      </c>
      <c r="C1935" t="s">
        <v>75</v>
      </c>
      <c r="D1935" t="s">
        <v>23</v>
      </c>
      <c r="E1935" t="str">
        <f t="shared" si="120"/>
        <v>XS</v>
      </c>
      <c r="F1935" t="s">
        <v>49</v>
      </c>
      <c r="G1935" t="s">
        <v>46</v>
      </c>
      <c r="H1935" s="8">
        <v>86.82</v>
      </c>
      <c r="I1935" s="3">
        <f t="shared" si="121"/>
        <v>0</v>
      </c>
      <c r="J1935" s="4">
        <v>0</v>
      </c>
      <c r="K1935" s="11">
        <f>Table1[[#This Row],[original_price]]* (Table1[[#This Row],[Markdown percentage updated]])</f>
        <v>0</v>
      </c>
      <c r="L19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35" s="6">
        <v>86.82</v>
      </c>
      <c r="N19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35" s="7">
        <v>45875</v>
      </c>
      <c r="P1935">
        <v>0</v>
      </c>
      <c r="Q1935" s="13" t="str">
        <f>IF(Table1[[#This Row],[stock_quantity]]=0,"NO STOCK",
IF(Table1[[#This Row],[stock_quantity]]&lt;=10,"LOW STOCK",
"IN STOCK"))</f>
        <v>NO STOCK</v>
      </c>
      <c r="R1935" s="1">
        <f t="shared" si="122"/>
        <v>4.8</v>
      </c>
      <c r="S1935">
        <v>4.8</v>
      </c>
      <c r="T1935" t="b">
        <v>0</v>
      </c>
      <c r="U1935" t="str">
        <f t="shared" si="123"/>
        <v>No Return</v>
      </c>
    </row>
    <row r="1936" spans="1:22" hidden="1" x14ac:dyDescent="0.3">
      <c r="A1936" t="s">
        <v>1989</v>
      </c>
      <c r="B1936" t="s">
        <v>15</v>
      </c>
      <c r="C1936" t="s">
        <v>48</v>
      </c>
      <c r="D1936" t="s">
        <v>62</v>
      </c>
      <c r="E1936" t="str">
        <f t="shared" si="120"/>
        <v>XXL</v>
      </c>
      <c r="F1936" t="s">
        <v>24</v>
      </c>
      <c r="G1936" t="s">
        <v>19</v>
      </c>
      <c r="H1936" s="8">
        <v>83.68</v>
      </c>
      <c r="I1936" s="3">
        <f t="shared" si="121"/>
        <v>0.28100000000000003</v>
      </c>
      <c r="J1936" s="4">
        <v>28.1</v>
      </c>
      <c r="K1936" s="11">
        <f>Table1[[#This Row],[original_price]]* (Table1[[#This Row],[Markdown percentage updated]])</f>
        <v>23.514080000000003</v>
      </c>
      <c r="L19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936" s="6">
        <v>60.17</v>
      </c>
      <c r="N19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36" s="7">
        <v>45875</v>
      </c>
      <c r="P1936">
        <v>46</v>
      </c>
      <c r="Q1936" s="16" t="str">
        <f>IF(Table1[[#This Row],[stock_quantity]]=0,"NO STOCK",
IF(Table1[[#This Row],[stock_quantity]]&lt;=10,"LOW STOCK",
"IN STOCK"))</f>
        <v>IN STOCK</v>
      </c>
      <c r="R1936" s="1">
        <f t="shared" si="122"/>
        <v>0</v>
      </c>
      <c r="T1936" t="b">
        <v>1</v>
      </c>
      <c r="U1936" s="13" t="str">
        <f t="shared" si="123"/>
        <v>Quality Issue</v>
      </c>
      <c r="V1936" t="s">
        <v>83</v>
      </c>
    </row>
    <row r="1937" spans="1:22" hidden="1" x14ac:dyDescent="0.3">
      <c r="A1937" t="s">
        <v>1990</v>
      </c>
      <c r="B1937" t="s">
        <v>15</v>
      </c>
      <c r="C1937" t="s">
        <v>32</v>
      </c>
      <c r="D1937" t="s">
        <v>34</v>
      </c>
      <c r="E1937" t="str">
        <f t="shared" si="120"/>
        <v>OS</v>
      </c>
      <c r="F1937" t="s">
        <v>39</v>
      </c>
      <c r="G1937" t="s">
        <v>25</v>
      </c>
      <c r="H1937" s="8">
        <v>167.31</v>
      </c>
      <c r="I1937" s="3">
        <f t="shared" si="121"/>
        <v>0.50700000000000001</v>
      </c>
      <c r="J1937" s="4">
        <v>50.7</v>
      </c>
      <c r="K1937" s="11">
        <f>Table1[[#This Row],[original_price]]* (Table1[[#This Row],[Markdown percentage updated]])</f>
        <v>84.826170000000005</v>
      </c>
      <c r="L19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37" s="6">
        <v>82.48</v>
      </c>
      <c r="N19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37" s="7">
        <v>45875</v>
      </c>
      <c r="P1937">
        <v>9</v>
      </c>
      <c r="Q1937" s="17" t="str">
        <f>IF(Table1[[#This Row],[stock_quantity]]=0,"NO STOCK",
IF(Table1[[#This Row],[stock_quantity]]&lt;=10,"LOW STOCK",
"IN STOCK"))</f>
        <v>LOW STOCK</v>
      </c>
      <c r="R1937" s="1">
        <f t="shared" si="122"/>
        <v>3.2</v>
      </c>
      <c r="S1937">
        <v>3.2</v>
      </c>
      <c r="T1937" t="b">
        <v>0</v>
      </c>
      <c r="U1937" t="str">
        <f t="shared" si="123"/>
        <v>No Return</v>
      </c>
    </row>
    <row r="1938" spans="1:22" hidden="1" x14ac:dyDescent="0.3">
      <c r="A1938" t="s">
        <v>1991</v>
      </c>
      <c r="B1938" t="s">
        <v>38</v>
      </c>
      <c r="C1938" t="s">
        <v>48</v>
      </c>
      <c r="D1938" t="s">
        <v>34</v>
      </c>
      <c r="E1938" t="str">
        <f t="shared" si="120"/>
        <v>M</v>
      </c>
      <c r="F1938" t="s">
        <v>55</v>
      </c>
      <c r="G1938" t="s">
        <v>40</v>
      </c>
      <c r="H1938" s="8">
        <v>114.64</v>
      </c>
      <c r="I1938" s="3">
        <f t="shared" si="121"/>
        <v>5.0999999999999997E-2</v>
      </c>
      <c r="J1938" s="4">
        <v>5.0999999999999996</v>
      </c>
      <c r="K1938" s="11">
        <f>Table1[[#This Row],[original_price]]* (Table1[[#This Row],[Markdown percentage updated]])</f>
        <v>5.8466399999999998</v>
      </c>
      <c r="L19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38" s="6">
        <v>108.79</v>
      </c>
      <c r="N19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938" s="7">
        <v>45875</v>
      </c>
      <c r="P1938">
        <v>21</v>
      </c>
      <c r="Q1938" s="16" t="str">
        <f>IF(Table1[[#This Row],[stock_quantity]]=0,"NO STOCK",
IF(Table1[[#This Row],[stock_quantity]]&lt;=10,"LOW STOCK",
"IN STOCK"))</f>
        <v>IN STOCK</v>
      </c>
      <c r="R1938" s="1">
        <f t="shared" si="122"/>
        <v>2</v>
      </c>
      <c r="S1938">
        <v>2</v>
      </c>
      <c r="T1938" t="b">
        <v>0</v>
      </c>
      <c r="U1938" t="str">
        <f t="shared" si="123"/>
        <v>No Return</v>
      </c>
    </row>
    <row r="1939" spans="1:22" hidden="1" x14ac:dyDescent="0.3">
      <c r="A1939" t="s">
        <v>1992</v>
      </c>
      <c r="B1939" t="s">
        <v>15</v>
      </c>
      <c r="C1939" t="s">
        <v>48</v>
      </c>
      <c r="D1939" t="s">
        <v>17</v>
      </c>
      <c r="E1939" t="str">
        <f t="shared" si="120"/>
        <v>XS</v>
      </c>
      <c r="F1939" t="s">
        <v>49</v>
      </c>
      <c r="G1939" t="s">
        <v>35</v>
      </c>
      <c r="H1939" s="8">
        <v>109.53</v>
      </c>
      <c r="I1939" s="3">
        <f t="shared" si="121"/>
        <v>0.29299999999999998</v>
      </c>
      <c r="J1939" s="4">
        <v>29.3</v>
      </c>
      <c r="K1939" s="11">
        <f>Table1[[#This Row],[original_price]]* (Table1[[#This Row],[Markdown percentage updated]])</f>
        <v>32.092289999999998</v>
      </c>
      <c r="L19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939" s="6">
        <v>77.44</v>
      </c>
      <c r="N19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39" s="7">
        <v>45598</v>
      </c>
      <c r="P1939">
        <v>35</v>
      </c>
      <c r="Q1939" s="16" t="str">
        <f>IF(Table1[[#This Row],[stock_quantity]]=0,"NO STOCK",
IF(Table1[[#This Row],[stock_quantity]]&lt;=10,"LOW STOCK",
"IN STOCK"))</f>
        <v>IN STOCK</v>
      </c>
      <c r="R1939" s="1">
        <f t="shared" si="122"/>
        <v>1.3</v>
      </c>
      <c r="S1939">
        <v>1.3</v>
      </c>
      <c r="T1939" t="b">
        <v>0</v>
      </c>
      <c r="U1939" t="str">
        <f t="shared" si="123"/>
        <v>No Return</v>
      </c>
    </row>
    <row r="1940" spans="1:22" hidden="1" x14ac:dyDescent="0.3">
      <c r="A1940" t="s">
        <v>1993</v>
      </c>
      <c r="B1940" t="s">
        <v>27</v>
      </c>
      <c r="C1940" t="s">
        <v>53</v>
      </c>
      <c r="D1940" t="s">
        <v>62</v>
      </c>
      <c r="E1940" t="str">
        <f t="shared" si="120"/>
        <v>XS</v>
      </c>
      <c r="G1940" t="s">
        <v>56</v>
      </c>
      <c r="H1940" s="8">
        <v>51.02</v>
      </c>
      <c r="I1940" s="3">
        <f t="shared" si="121"/>
        <v>0.57899999999999996</v>
      </c>
      <c r="J1940" s="4">
        <v>57.9</v>
      </c>
      <c r="K1940" s="11">
        <f>Table1[[#This Row],[original_price]]* (Table1[[#This Row],[Markdown percentage updated]])</f>
        <v>29.540579999999999</v>
      </c>
      <c r="L19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40" s="6">
        <v>21.48</v>
      </c>
      <c r="N19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40" s="7">
        <v>45875</v>
      </c>
      <c r="P1940">
        <v>36</v>
      </c>
      <c r="Q1940" s="16" t="str">
        <f>IF(Table1[[#This Row],[stock_quantity]]=0,"NO STOCK",
IF(Table1[[#This Row],[stock_quantity]]&lt;=10,"LOW STOCK",
"IN STOCK"))</f>
        <v>IN STOCK</v>
      </c>
      <c r="R1940" s="1">
        <f t="shared" si="122"/>
        <v>0</v>
      </c>
      <c r="T1940" t="b">
        <v>0</v>
      </c>
      <c r="U1940" t="str">
        <f t="shared" si="123"/>
        <v>No Return</v>
      </c>
    </row>
    <row r="1941" spans="1:22" hidden="1" x14ac:dyDescent="0.3">
      <c r="A1941" t="s">
        <v>1994</v>
      </c>
      <c r="B1941" t="s">
        <v>30</v>
      </c>
      <c r="C1941" t="s">
        <v>48</v>
      </c>
      <c r="D1941" t="s">
        <v>34</v>
      </c>
      <c r="E1941" t="str">
        <f t="shared" si="120"/>
        <v>S</v>
      </c>
      <c r="F1941" t="s">
        <v>58</v>
      </c>
      <c r="G1941" t="s">
        <v>46</v>
      </c>
      <c r="H1941" s="8">
        <v>77.45</v>
      </c>
      <c r="I1941" s="3">
        <f t="shared" si="121"/>
        <v>0.52800000000000002</v>
      </c>
      <c r="J1941" s="4">
        <v>52.8</v>
      </c>
      <c r="K1941" s="11">
        <f>Table1[[#This Row],[original_price]]* (Table1[[#This Row],[Markdown percentage updated]])</f>
        <v>40.893600000000006</v>
      </c>
      <c r="L19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41" s="6">
        <v>36.56</v>
      </c>
      <c r="N19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41" s="7">
        <v>45875</v>
      </c>
      <c r="P1941">
        <v>6</v>
      </c>
      <c r="Q1941" s="17" t="str">
        <f>IF(Table1[[#This Row],[stock_quantity]]=0,"NO STOCK",
IF(Table1[[#This Row],[stock_quantity]]&lt;=10,"LOW STOCK",
"IN STOCK"))</f>
        <v>LOW STOCK</v>
      </c>
      <c r="R1941" s="1">
        <f t="shared" si="122"/>
        <v>2.7</v>
      </c>
      <c r="S1941">
        <v>2.7</v>
      </c>
      <c r="T1941" t="b">
        <v>0</v>
      </c>
      <c r="U1941" t="str">
        <f t="shared" si="123"/>
        <v>No Return</v>
      </c>
    </row>
    <row r="1942" spans="1:22" hidden="1" x14ac:dyDescent="0.3">
      <c r="A1942" t="s">
        <v>1995</v>
      </c>
      <c r="B1942" t="s">
        <v>30</v>
      </c>
      <c r="C1942" t="s">
        <v>53</v>
      </c>
      <c r="D1942" t="s">
        <v>34</v>
      </c>
      <c r="E1942" t="str">
        <f t="shared" si="120"/>
        <v>L</v>
      </c>
      <c r="F1942" t="s">
        <v>55</v>
      </c>
      <c r="G1942" t="s">
        <v>35</v>
      </c>
      <c r="H1942" s="8">
        <v>142.87</v>
      </c>
      <c r="I1942" s="3">
        <f t="shared" si="121"/>
        <v>0.45399999999999996</v>
      </c>
      <c r="J1942" s="4">
        <v>45.4</v>
      </c>
      <c r="K1942" s="11">
        <f>Table1[[#This Row],[original_price]]* (Table1[[#This Row],[Markdown percentage updated]])</f>
        <v>64.862979999999993</v>
      </c>
      <c r="L19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42" s="6">
        <v>78.010000000000005</v>
      </c>
      <c r="N19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42" s="7">
        <v>45875</v>
      </c>
      <c r="P1942">
        <v>20</v>
      </c>
      <c r="Q1942" s="16" t="str">
        <f>IF(Table1[[#This Row],[stock_quantity]]=0,"NO STOCK",
IF(Table1[[#This Row],[stock_quantity]]&lt;=10,"LOW STOCK",
"IN STOCK"))</f>
        <v>IN STOCK</v>
      </c>
      <c r="R1942" s="1">
        <f t="shared" si="122"/>
        <v>1.7</v>
      </c>
      <c r="S1942">
        <v>1.7</v>
      </c>
      <c r="T1942" t="b">
        <v>0</v>
      </c>
      <c r="U1942" t="str">
        <f t="shared" si="123"/>
        <v>No Return</v>
      </c>
    </row>
    <row r="1943" spans="1:22" hidden="1" x14ac:dyDescent="0.3">
      <c r="A1943" t="s">
        <v>1996</v>
      </c>
      <c r="B1943" t="s">
        <v>15</v>
      </c>
      <c r="C1943" t="s">
        <v>32</v>
      </c>
      <c r="D1943" t="s">
        <v>23</v>
      </c>
      <c r="E1943" t="str">
        <f t="shared" si="120"/>
        <v>XL</v>
      </c>
      <c r="F1943" t="s">
        <v>55</v>
      </c>
      <c r="G1943" t="s">
        <v>35</v>
      </c>
      <c r="H1943" s="8">
        <v>138.87</v>
      </c>
      <c r="I1943" s="3">
        <f t="shared" si="121"/>
        <v>0</v>
      </c>
      <c r="J1943" s="4">
        <v>0</v>
      </c>
      <c r="K1943" s="11">
        <f>Table1[[#This Row],[original_price]]* (Table1[[#This Row],[Markdown percentage updated]])</f>
        <v>0</v>
      </c>
      <c r="L19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43" s="6">
        <v>138.87</v>
      </c>
      <c r="N19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43" s="7">
        <v>45875</v>
      </c>
      <c r="P1943">
        <v>37</v>
      </c>
      <c r="Q1943" s="16" t="str">
        <f>IF(Table1[[#This Row],[stock_quantity]]=0,"NO STOCK",
IF(Table1[[#This Row],[stock_quantity]]&lt;=10,"LOW STOCK",
"IN STOCK"))</f>
        <v>IN STOCK</v>
      </c>
      <c r="R1943" s="1">
        <f t="shared" si="122"/>
        <v>3.2</v>
      </c>
      <c r="S1943">
        <v>3.2</v>
      </c>
      <c r="T1943" t="b">
        <v>0</v>
      </c>
      <c r="U1943" t="str">
        <f t="shared" si="123"/>
        <v>No Return</v>
      </c>
    </row>
    <row r="1944" spans="1:22" x14ac:dyDescent="0.3">
      <c r="A1944" t="s">
        <v>1997</v>
      </c>
      <c r="B1944" t="s">
        <v>30</v>
      </c>
      <c r="C1944" t="s">
        <v>53</v>
      </c>
      <c r="D1944" t="s">
        <v>17</v>
      </c>
      <c r="E1944" t="str">
        <f t="shared" si="120"/>
        <v>S</v>
      </c>
      <c r="F1944" t="s">
        <v>39</v>
      </c>
      <c r="G1944" t="s">
        <v>19</v>
      </c>
      <c r="H1944" s="8">
        <v>132.82</v>
      </c>
      <c r="I1944" s="3">
        <f t="shared" si="121"/>
        <v>0</v>
      </c>
      <c r="J1944" s="4">
        <v>0</v>
      </c>
      <c r="K1944" s="11">
        <f>Table1[[#This Row],[original_price]]* (Table1[[#This Row],[Markdown percentage updated]])</f>
        <v>0</v>
      </c>
      <c r="L19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44" s="6">
        <v>132.82</v>
      </c>
      <c r="N19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44" s="7">
        <v>45733</v>
      </c>
      <c r="P1944">
        <v>40</v>
      </c>
      <c r="Q1944" s="16" t="str">
        <f>IF(Table1[[#This Row],[stock_quantity]]=0,"NO STOCK",
IF(Table1[[#This Row],[stock_quantity]]&lt;=10,"LOW STOCK",
"IN STOCK"))</f>
        <v>IN STOCK</v>
      </c>
      <c r="R1944" s="1">
        <f t="shared" si="122"/>
        <v>0</v>
      </c>
      <c r="T1944" t="b">
        <v>1</v>
      </c>
      <c r="U1944" s="13" t="str">
        <f t="shared" si="123"/>
        <v>Changed Mind</v>
      </c>
      <c r="V1944" t="s">
        <v>115</v>
      </c>
    </row>
    <row r="1945" spans="1:22" hidden="1" x14ac:dyDescent="0.3">
      <c r="A1945" t="s">
        <v>1998</v>
      </c>
      <c r="B1945" t="s">
        <v>30</v>
      </c>
      <c r="C1945" t="s">
        <v>48</v>
      </c>
      <c r="D1945" t="s">
        <v>62</v>
      </c>
      <c r="E1945" t="str">
        <f t="shared" si="120"/>
        <v>XL</v>
      </c>
      <c r="F1945" t="s">
        <v>24</v>
      </c>
      <c r="G1945" t="s">
        <v>64</v>
      </c>
      <c r="H1945" s="8">
        <v>110.54</v>
      </c>
      <c r="I1945" s="3">
        <f t="shared" si="121"/>
        <v>0</v>
      </c>
      <c r="J1945" s="4">
        <v>0</v>
      </c>
      <c r="K1945" s="11">
        <f>Table1[[#This Row],[original_price]]* (Table1[[#This Row],[Markdown percentage updated]])</f>
        <v>0</v>
      </c>
      <c r="L19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45" s="6">
        <v>110.54</v>
      </c>
      <c r="N19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45" s="7">
        <v>45875</v>
      </c>
      <c r="P1945">
        <v>24</v>
      </c>
      <c r="Q1945" s="16" t="str">
        <f>IF(Table1[[#This Row],[stock_quantity]]=0,"NO STOCK",
IF(Table1[[#This Row],[stock_quantity]]&lt;=10,"LOW STOCK",
"IN STOCK"))</f>
        <v>IN STOCK</v>
      </c>
      <c r="R1945" s="1">
        <f t="shared" si="122"/>
        <v>0</v>
      </c>
      <c r="T1945" t="b">
        <v>1</v>
      </c>
      <c r="U1945" s="13" t="str">
        <f t="shared" si="123"/>
        <v>Size Issue</v>
      </c>
      <c r="V1945" t="s">
        <v>73</v>
      </c>
    </row>
    <row r="1946" spans="1:22" hidden="1" x14ac:dyDescent="0.3">
      <c r="A1946" t="s">
        <v>1999</v>
      </c>
      <c r="B1946" t="s">
        <v>38</v>
      </c>
      <c r="C1946" t="s">
        <v>16</v>
      </c>
      <c r="D1946" t="s">
        <v>62</v>
      </c>
      <c r="E1946" t="str">
        <f t="shared" si="120"/>
        <v>S</v>
      </c>
      <c r="F1946" t="s">
        <v>18</v>
      </c>
      <c r="G1946" t="s">
        <v>56</v>
      </c>
      <c r="H1946" s="8">
        <v>29.07</v>
      </c>
      <c r="I1946" s="3">
        <f t="shared" si="121"/>
        <v>0</v>
      </c>
      <c r="J1946" s="4">
        <v>0</v>
      </c>
      <c r="K1946" s="11">
        <f>Table1[[#This Row],[original_price]]* (Table1[[#This Row],[Markdown percentage updated]])</f>
        <v>0</v>
      </c>
      <c r="L19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46" s="6">
        <v>29.07</v>
      </c>
      <c r="N19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46" s="7">
        <v>45875</v>
      </c>
      <c r="P1946">
        <v>41</v>
      </c>
      <c r="Q1946" s="16" t="str">
        <f>IF(Table1[[#This Row],[stock_quantity]]=0,"NO STOCK",
IF(Table1[[#This Row],[stock_quantity]]&lt;=10,"LOW STOCK",
"IN STOCK"))</f>
        <v>IN STOCK</v>
      </c>
      <c r="R1946" s="1">
        <f t="shared" si="122"/>
        <v>2.8</v>
      </c>
      <c r="S1946">
        <v>2.8</v>
      </c>
      <c r="T1946" t="b">
        <v>0</v>
      </c>
      <c r="U1946" t="str">
        <f t="shared" si="123"/>
        <v>No Return</v>
      </c>
    </row>
    <row r="1947" spans="1:22" hidden="1" x14ac:dyDescent="0.3">
      <c r="A1947" t="s">
        <v>2000</v>
      </c>
      <c r="B1947" t="s">
        <v>15</v>
      </c>
      <c r="C1947" t="s">
        <v>61</v>
      </c>
      <c r="D1947" t="s">
        <v>62</v>
      </c>
      <c r="E1947" t="str">
        <f t="shared" si="120"/>
        <v>OS</v>
      </c>
      <c r="F1947" t="s">
        <v>39</v>
      </c>
      <c r="G1947" t="s">
        <v>64</v>
      </c>
      <c r="H1947" s="8">
        <v>141.91999999999999</v>
      </c>
      <c r="I1947" s="3">
        <f t="shared" si="121"/>
        <v>0</v>
      </c>
      <c r="J1947" s="4">
        <v>0</v>
      </c>
      <c r="K1947" s="11">
        <f>Table1[[#This Row],[original_price]]* (Table1[[#This Row],[Markdown percentage updated]])</f>
        <v>0</v>
      </c>
      <c r="L19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47" s="6">
        <v>141.91999999999999</v>
      </c>
      <c r="N19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47" s="7">
        <v>45875</v>
      </c>
      <c r="P1947">
        <v>37</v>
      </c>
      <c r="Q1947" s="16" t="str">
        <f>IF(Table1[[#This Row],[stock_quantity]]=0,"NO STOCK",
IF(Table1[[#This Row],[stock_quantity]]&lt;=10,"LOW STOCK",
"IN STOCK"))</f>
        <v>IN STOCK</v>
      </c>
      <c r="R1947" s="1">
        <f t="shared" si="122"/>
        <v>1.7</v>
      </c>
      <c r="S1947">
        <v>1.7</v>
      </c>
      <c r="T1947" t="b">
        <v>0</v>
      </c>
      <c r="U1947" t="str">
        <f t="shared" si="123"/>
        <v>No Return</v>
      </c>
    </row>
    <row r="1948" spans="1:22" hidden="1" x14ac:dyDescent="0.3">
      <c r="A1948" t="s">
        <v>2001</v>
      </c>
      <c r="B1948" t="s">
        <v>30</v>
      </c>
      <c r="C1948" t="s">
        <v>32</v>
      </c>
      <c r="D1948" t="s">
        <v>62</v>
      </c>
      <c r="E1948" t="str">
        <f t="shared" si="120"/>
        <v>XL</v>
      </c>
      <c r="F1948" t="s">
        <v>18</v>
      </c>
      <c r="G1948" t="s">
        <v>19</v>
      </c>
      <c r="H1948" s="8">
        <v>67.84</v>
      </c>
      <c r="I1948" s="3">
        <f t="shared" si="121"/>
        <v>0</v>
      </c>
      <c r="J1948" s="4">
        <v>0</v>
      </c>
      <c r="K1948" s="11">
        <f>Table1[[#This Row],[original_price]]* (Table1[[#This Row],[Markdown percentage updated]])</f>
        <v>0</v>
      </c>
      <c r="L19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48" s="6">
        <v>67.84</v>
      </c>
      <c r="N19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48" s="7">
        <v>45875</v>
      </c>
      <c r="P1948">
        <v>24</v>
      </c>
      <c r="Q1948" s="16" t="str">
        <f>IF(Table1[[#This Row],[stock_quantity]]=0,"NO STOCK",
IF(Table1[[#This Row],[stock_quantity]]&lt;=10,"LOW STOCK",
"IN STOCK"))</f>
        <v>IN STOCK</v>
      </c>
      <c r="R1948" s="1">
        <f t="shared" si="122"/>
        <v>1.2</v>
      </c>
      <c r="S1948">
        <v>1.2</v>
      </c>
      <c r="T1948" t="b">
        <v>0</v>
      </c>
      <c r="U1948" t="str">
        <f t="shared" si="123"/>
        <v>No Return</v>
      </c>
    </row>
    <row r="1949" spans="1:22" hidden="1" x14ac:dyDescent="0.3">
      <c r="A1949" t="s">
        <v>2002</v>
      </c>
      <c r="B1949" t="s">
        <v>30</v>
      </c>
      <c r="C1949" t="s">
        <v>43</v>
      </c>
      <c r="D1949" t="s">
        <v>23</v>
      </c>
      <c r="E1949" t="str">
        <f t="shared" si="120"/>
        <v>XXL</v>
      </c>
      <c r="F1949" t="s">
        <v>39</v>
      </c>
      <c r="G1949" t="s">
        <v>70</v>
      </c>
      <c r="H1949" s="8">
        <v>143.27000000000001</v>
      </c>
      <c r="I1949" s="3">
        <f t="shared" si="121"/>
        <v>0</v>
      </c>
      <c r="J1949" s="4">
        <v>0</v>
      </c>
      <c r="K1949" s="11">
        <f>Table1[[#This Row],[original_price]]* (Table1[[#This Row],[Markdown percentage updated]])</f>
        <v>0</v>
      </c>
      <c r="L19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49" s="6">
        <v>143.27000000000001</v>
      </c>
      <c r="N19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49" s="7">
        <v>45875</v>
      </c>
      <c r="P1949">
        <v>0</v>
      </c>
      <c r="Q1949" s="13" t="str">
        <f>IF(Table1[[#This Row],[stock_quantity]]=0,"NO STOCK",
IF(Table1[[#This Row],[stock_quantity]]&lt;=10,"LOW STOCK",
"IN STOCK"))</f>
        <v>NO STOCK</v>
      </c>
      <c r="R1949" s="1">
        <f t="shared" si="122"/>
        <v>0</v>
      </c>
      <c r="T1949" t="b">
        <v>0</v>
      </c>
      <c r="U1949" t="str">
        <f t="shared" si="123"/>
        <v>No Return</v>
      </c>
    </row>
    <row r="1950" spans="1:22" hidden="1" x14ac:dyDescent="0.3">
      <c r="A1950" t="s">
        <v>2003</v>
      </c>
      <c r="B1950" t="s">
        <v>27</v>
      </c>
      <c r="C1950" t="s">
        <v>32</v>
      </c>
      <c r="D1950" t="s">
        <v>23</v>
      </c>
      <c r="E1950" t="str">
        <f t="shared" si="120"/>
        <v>XS</v>
      </c>
      <c r="G1950" t="s">
        <v>70</v>
      </c>
      <c r="H1950" s="8">
        <v>20.97</v>
      </c>
      <c r="I1950" s="3">
        <f t="shared" si="121"/>
        <v>0</v>
      </c>
      <c r="J1950" s="4">
        <v>0</v>
      </c>
      <c r="K1950" s="11">
        <f>Table1[[#This Row],[original_price]]* (Table1[[#This Row],[Markdown percentage updated]])</f>
        <v>0</v>
      </c>
      <c r="L19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50" s="6">
        <v>20.97</v>
      </c>
      <c r="N19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50" s="7">
        <v>45875</v>
      </c>
      <c r="P1950">
        <v>44</v>
      </c>
      <c r="Q1950" s="16" t="str">
        <f>IF(Table1[[#This Row],[stock_quantity]]=0,"NO STOCK",
IF(Table1[[#This Row],[stock_quantity]]&lt;=10,"LOW STOCK",
"IN STOCK"))</f>
        <v>IN STOCK</v>
      </c>
      <c r="R1950" s="1">
        <f t="shared" si="122"/>
        <v>4.5999999999999996</v>
      </c>
      <c r="S1950">
        <v>4.5999999999999996</v>
      </c>
      <c r="T1950" t="b">
        <v>0</v>
      </c>
      <c r="U1950" t="str">
        <f t="shared" si="123"/>
        <v>No Return</v>
      </c>
    </row>
    <row r="1951" spans="1:22" hidden="1" x14ac:dyDescent="0.3">
      <c r="A1951" t="s">
        <v>2004</v>
      </c>
      <c r="B1951" t="s">
        <v>42</v>
      </c>
      <c r="C1951" t="s">
        <v>16</v>
      </c>
      <c r="D1951" t="s">
        <v>62</v>
      </c>
      <c r="E1951" t="str">
        <f t="shared" si="120"/>
        <v>L</v>
      </c>
      <c r="F1951" t="s">
        <v>18</v>
      </c>
      <c r="G1951" t="s">
        <v>66</v>
      </c>
      <c r="H1951" s="8">
        <v>105.5</v>
      </c>
      <c r="I1951" s="3">
        <f t="shared" si="121"/>
        <v>0.59799999999999998</v>
      </c>
      <c r="J1951" s="4">
        <v>59.8</v>
      </c>
      <c r="K1951" s="11">
        <f>Table1[[#This Row],[original_price]]* (Table1[[#This Row],[Markdown percentage updated]])</f>
        <v>63.088999999999999</v>
      </c>
      <c r="L19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51" s="6">
        <v>42.41</v>
      </c>
      <c r="N19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51" s="7">
        <v>45875</v>
      </c>
      <c r="P1951">
        <v>34</v>
      </c>
      <c r="Q1951" s="16" t="str">
        <f>IF(Table1[[#This Row],[stock_quantity]]=0,"NO STOCK",
IF(Table1[[#This Row],[stock_quantity]]&lt;=10,"LOW STOCK",
"IN STOCK"))</f>
        <v>IN STOCK</v>
      </c>
      <c r="R1951" s="1">
        <f t="shared" si="122"/>
        <v>0</v>
      </c>
      <c r="T1951" t="b">
        <v>0</v>
      </c>
      <c r="U1951" t="str">
        <f t="shared" si="123"/>
        <v>No Return</v>
      </c>
    </row>
    <row r="1952" spans="1:22" hidden="1" x14ac:dyDescent="0.3">
      <c r="A1952" t="s">
        <v>2005</v>
      </c>
      <c r="B1952" t="s">
        <v>30</v>
      </c>
      <c r="C1952" t="s">
        <v>32</v>
      </c>
      <c r="D1952" t="s">
        <v>17</v>
      </c>
      <c r="E1952" t="str">
        <f t="shared" si="120"/>
        <v>XL</v>
      </c>
      <c r="F1952" t="s">
        <v>49</v>
      </c>
      <c r="G1952" t="s">
        <v>46</v>
      </c>
      <c r="H1952" s="8">
        <v>184.7</v>
      </c>
      <c r="I1952" s="3">
        <f t="shared" si="121"/>
        <v>0</v>
      </c>
      <c r="J1952" s="4">
        <v>0</v>
      </c>
      <c r="K1952" s="11">
        <f>Table1[[#This Row],[original_price]]* (Table1[[#This Row],[Markdown percentage updated]])</f>
        <v>0</v>
      </c>
      <c r="L19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52" s="6">
        <v>184.7</v>
      </c>
      <c r="N19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52" s="7">
        <v>45554</v>
      </c>
      <c r="P1952">
        <v>39</v>
      </c>
      <c r="Q1952" s="16" t="str">
        <f>IF(Table1[[#This Row],[stock_quantity]]=0,"NO STOCK",
IF(Table1[[#This Row],[stock_quantity]]&lt;=10,"LOW STOCK",
"IN STOCK"))</f>
        <v>IN STOCK</v>
      </c>
      <c r="R1952" s="1">
        <f t="shared" si="122"/>
        <v>2.1</v>
      </c>
      <c r="S1952">
        <v>2.1</v>
      </c>
      <c r="T1952" t="b">
        <v>1</v>
      </c>
      <c r="U1952" s="13" t="str">
        <f t="shared" si="123"/>
        <v>Size Issue</v>
      </c>
      <c r="V1952" t="s">
        <v>73</v>
      </c>
    </row>
    <row r="1953" spans="1:22" hidden="1" x14ac:dyDescent="0.3">
      <c r="A1953" t="s">
        <v>2006</v>
      </c>
      <c r="B1953" t="s">
        <v>30</v>
      </c>
      <c r="C1953" t="s">
        <v>48</v>
      </c>
      <c r="D1953" t="s">
        <v>17</v>
      </c>
      <c r="E1953" t="str">
        <f t="shared" si="120"/>
        <v>OS</v>
      </c>
      <c r="F1953" t="s">
        <v>55</v>
      </c>
      <c r="G1953" t="s">
        <v>44</v>
      </c>
      <c r="H1953" s="8">
        <v>81.47</v>
      </c>
      <c r="I1953" s="3">
        <f t="shared" si="121"/>
        <v>0.32</v>
      </c>
      <c r="J1953" s="4">
        <v>32</v>
      </c>
      <c r="K1953" s="11">
        <f>Table1[[#This Row],[original_price]]* (Table1[[#This Row],[Markdown percentage updated]])</f>
        <v>26.070399999999999</v>
      </c>
      <c r="L19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53" s="6">
        <v>55.4</v>
      </c>
      <c r="N19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53" s="7">
        <v>45536</v>
      </c>
      <c r="P1953">
        <v>2</v>
      </c>
      <c r="Q1953" s="17" t="str">
        <f>IF(Table1[[#This Row],[stock_quantity]]=0,"NO STOCK",
IF(Table1[[#This Row],[stock_quantity]]&lt;=10,"LOW STOCK",
"IN STOCK"))</f>
        <v>LOW STOCK</v>
      </c>
      <c r="R1953" s="1">
        <f t="shared" si="122"/>
        <v>1.1000000000000001</v>
      </c>
      <c r="S1953">
        <v>1.1000000000000001</v>
      </c>
      <c r="T1953" t="b">
        <v>0</v>
      </c>
      <c r="U1953" t="str">
        <f t="shared" si="123"/>
        <v>No Return</v>
      </c>
    </row>
    <row r="1954" spans="1:22" hidden="1" x14ac:dyDescent="0.3">
      <c r="A1954" t="s">
        <v>2007</v>
      </c>
      <c r="B1954" t="s">
        <v>15</v>
      </c>
      <c r="C1954" t="s">
        <v>32</v>
      </c>
      <c r="D1954" t="s">
        <v>23</v>
      </c>
      <c r="E1954" t="str">
        <f t="shared" si="120"/>
        <v>XL</v>
      </c>
      <c r="F1954" t="s">
        <v>24</v>
      </c>
      <c r="G1954" t="s">
        <v>44</v>
      </c>
      <c r="H1954" s="8">
        <v>107.67</v>
      </c>
      <c r="I1954" s="3">
        <f t="shared" si="121"/>
        <v>0.20300000000000001</v>
      </c>
      <c r="J1954" s="4">
        <v>20.3</v>
      </c>
      <c r="K1954" s="11">
        <f>Table1[[#This Row],[original_price]]* (Table1[[#This Row],[Markdown percentage updated]])</f>
        <v>21.857010000000002</v>
      </c>
      <c r="L19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1954" s="6">
        <v>85.81</v>
      </c>
      <c r="N19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54" s="7">
        <v>45875</v>
      </c>
      <c r="P1954">
        <v>16</v>
      </c>
      <c r="Q1954" s="16" t="str">
        <f>IF(Table1[[#This Row],[stock_quantity]]=0,"NO STOCK",
IF(Table1[[#This Row],[stock_quantity]]&lt;=10,"LOW STOCK",
"IN STOCK"))</f>
        <v>IN STOCK</v>
      </c>
      <c r="R1954" s="1">
        <f t="shared" si="122"/>
        <v>4.3</v>
      </c>
      <c r="S1954">
        <v>4.3</v>
      </c>
      <c r="T1954" t="b">
        <v>0</v>
      </c>
      <c r="U1954" t="str">
        <f t="shared" si="123"/>
        <v>No Return</v>
      </c>
    </row>
    <row r="1955" spans="1:22" hidden="1" x14ac:dyDescent="0.3">
      <c r="A1955" t="s">
        <v>2008</v>
      </c>
      <c r="B1955" t="s">
        <v>21</v>
      </c>
      <c r="C1955" t="s">
        <v>32</v>
      </c>
      <c r="D1955" t="s">
        <v>62</v>
      </c>
      <c r="E1955" t="str">
        <f t="shared" si="120"/>
        <v>XS</v>
      </c>
      <c r="F1955" t="s">
        <v>18</v>
      </c>
      <c r="G1955" t="s">
        <v>66</v>
      </c>
      <c r="H1955" s="8">
        <v>88.64</v>
      </c>
      <c r="I1955" s="3">
        <f t="shared" si="121"/>
        <v>0</v>
      </c>
      <c r="J1955" s="4">
        <v>0</v>
      </c>
      <c r="K1955" s="11">
        <f>Table1[[#This Row],[original_price]]* (Table1[[#This Row],[Markdown percentage updated]])</f>
        <v>0</v>
      </c>
      <c r="L19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55" s="6">
        <v>88.64</v>
      </c>
      <c r="N19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55" s="7">
        <v>45875</v>
      </c>
      <c r="P1955">
        <v>33</v>
      </c>
      <c r="Q1955" s="16" t="str">
        <f>IF(Table1[[#This Row],[stock_quantity]]=0,"NO STOCK",
IF(Table1[[#This Row],[stock_quantity]]&lt;=10,"LOW STOCK",
"IN STOCK"))</f>
        <v>IN STOCK</v>
      </c>
      <c r="R1955" s="1">
        <f t="shared" si="122"/>
        <v>0</v>
      </c>
      <c r="T1955" t="b">
        <v>0</v>
      </c>
      <c r="U1955" t="str">
        <f t="shared" si="123"/>
        <v>No Return</v>
      </c>
    </row>
    <row r="1956" spans="1:22" hidden="1" x14ac:dyDescent="0.3">
      <c r="A1956" t="s">
        <v>2009</v>
      </c>
      <c r="B1956" t="s">
        <v>27</v>
      </c>
      <c r="C1956" t="s">
        <v>16</v>
      </c>
      <c r="D1956" t="s">
        <v>23</v>
      </c>
      <c r="E1956" t="str">
        <f t="shared" si="120"/>
        <v>S</v>
      </c>
      <c r="G1956" t="s">
        <v>19</v>
      </c>
      <c r="H1956" s="8">
        <v>17.5</v>
      </c>
      <c r="I1956" s="3">
        <f t="shared" si="121"/>
        <v>0.14400000000000002</v>
      </c>
      <c r="J1956" s="4">
        <v>14.4</v>
      </c>
      <c r="K1956" s="11">
        <f>Table1[[#This Row],[original_price]]* (Table1[[#This Row],[Markdown percentage updated]])</f>
        <v>2.5200000000000005</v>
      </c>
      <c r="L19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56" s="6">
        <v>14.98</v>
      </c>
      <c r="N19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956" s="7">
        <v>45875</v>
      </c>
      <c r="P1956">
        <v>16</v>
      </c>
      <c r="Q1956" s="16" t="str">
        <f>IF(Table1[[#This Row],[stock_quantity]]=0,"NO STOCK",
IF(Table1[[#This Row],[stock_quantity]]&lt;=10,"LOW STOCK",
"IN STOCK"))</f>
        <v>IN STOCK</v>
      </c>
      <c r="R1956" s="1">
        <f t="shared" si="122"/>
        <v>3.1</v>
      </c>
      <c r="S1956">
        <v>3.1</v>
      </c>
      <c r="T1956" t="b">
        <v>0</v>
      </c>
      <c r="U1956" t="str">
        <f t="shared" si="123"/>
        <v>No Return</v>
      </c>
    </row>
    <row r="1957" spans="1:22" hidden="1" x14ac:dyDescent="0.3">
      <c r="A1957" t="s">
        <v>2010</v>
      </c>
      <c r="B1957" t="s">
        <v>15</v>
      </c>
      <c r="C1957" t="s">
        <v>48</v>
      </c>
      <c r="D1957" t="s">
        <v>23</v>
      </c>
      <c r="E1957" t="str">
        <f t="shared" si="120"/>
        <v>L</v>
      </c>
      <c r="F1957" t="s">
        <v>18</v>
      </c>
      <c r="G1957" t="s">
        <v>40</v>
      </c>
      <c r="H1957" s="8">
        <v>205.37</v>
      </c>
      <c r="I1957" s="3">
        <f t="shared" si="121"/>
        <v>0</v>
      </c>
      <c r="J1957" s="4">
        <v>0</v>
      </c>
      <c r="K1957" s="11">
        <f>Table1[[#This Row],[original_price]]* (Table1[[#This Row],[Markdown percentage updated]])</f>
        <v>0</v>
      </c>
      <c r="L19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57" s="6">
        <v>205.37</v>
      </c>
      <c r="N19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57" s="7">
        <v>45875</v>
      </c>
      <c r="P1957">
        <v>25</v>
      </c>
      <c r="Q1957" s="16" t="str">
        <f>IF(Table1[[#This Row],[stock_quantity]]=0,"NO STOCK",
IF(Table1[[#This Row],[stock_quantity]]&lt;=10,"LOW STOCK",
"IN STOCK"))</f>
        <v>IN STOCK</v>
      </c>
      <c r="R1957" s="1">
        <f t="shared" si="122"/>
        <v>2</v>
      </c>
      <c r="S1957">
        <v>2</v>
      </c>
      <c r="T1957" t="b">
        <v>1</v>
      </c>
      <c r="U1957" s="13" t="str">
        <f t="shared" si="123"/>
        <v>Damaged</v>
      </c>
      <c r="V1957" t="s">
        <v>78</v>
      </c>
    </row>
    <row r="1958" spans="1:22" hidden="1" x14ac:dyDescent="0.3">
      <c r="A1958" t="s">
        <v>2011</v>
      </c>
      <c r="B1958" t="s">
        <v>42</v>
      </c>
      <c r="C1958" t="s">
        <v>43</v>
      </c>
      <c r="D1958" t="s">
        <v>23</v>
      </c>
      <c r="E1958" t="str">
        <f t="shared" si="120"/>
        <v>XXL</v>
      </c>
      <c r="F1958" t="s">
        <v>55</v>
      </c>
      <c r="G1958" t="s">
        <v>56</v>
      </c>
      <c r="H1958" s="8">
        <v>111.66</v>
      </c>
      <c r="I1958" s="3">
        <f t="shared" si="121"/>
        <v>0</v>
      </c>
      <c r="J1958" s="4">
        <v>0</v>
      </c>
      <c r="K1958" s="11">
        <f>Table1[[#This Row],[original_price]]* (Table1[[#This Row],[Markdown percentage updated]])</f>
        <v>0</v>
      </c>
      <c r="L19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58" s="6">
        <v>111.66</v>
      </c>
      <c r="N19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58" s="7">
        <v>45875</v>
      </c>
      <c r="P1958">
        <v>26</v>
      </c>
      <c r="Q1958" s="16" t="str">
        <f>IF(Table1[[#This Row],[stock_quantity]]=0,"NO STOCK",
IF(Table1[[#This Row],[stock_quantity]]&lt;=10,"LOW STOCK",
"IN STOCK"))</f>
        <v>IN STOCK</v>
      </c>
      <c r="R1958" s="1">
        <f t="shared" si="122"/>
        <v>1.4</v>
      </c>
      <c r="S1958">
        <v>1.4</v>
      </c>
      <c r="T1958" t="b">
        <v>0</v>
      </c>
      <c r="U1958" t="str">
        <f t="shared" si="123"/>
        <v>No Return</v>
      </c>
    </row>
    <row r="1959" spans="1:22" hidden="1" x14ac:dyDescent="0.3">
      <c r="A1959" t="s">
        <v>2012</v>
      </c>
      <c r="B1959" t="s">
        <v>30</v>
      </c>
      <c r="C1959" t="s">
        <v>43</v>
      </c>
      <c r="D1959" t="s">
        <v>62</v>
      </c>
      <c r="E1959" t="str">
        <f t="shared" si="120"/>
        <v>M</v>
      </c>
      <c r="F1959" t="s">
        <v>39</v>
      </c>
      <c r="G1959" t="s">
        <v>25</v>
      </c>
      <c r="H1959" s="8">
        <v>184.87</v>
      </c>
      <c r="I1959" s="3">
        <f t="shared" si="121"/>
        <v>0.56399999999999995</v>
      </c>
      <c r="J1959" s="4">
        <v>56.4</v>
      </c>
      <c r="K1959" s="11">
        <f>Table1[[#This Row],[original_price]]* (Table1[[#This Row],[Markdown percentage updated]])</f>
        <v>104.26667999999999</v>
      </c>
      <c r="L19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59" s="6">
        <v>80.599999999999994</v>
      </c>
      <c r="N19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59" s="7">
        <v>45875</v>
      </c>
      <c r="P1959">
        <v>10</v>
      </c>
      <c r="Q1959" s="17" t="str">
        <f>IF(Table1[[#This Row],[stock_quantity]]=0,"NO STOCK",
IF(Table1[[#This Row],[stock_quantity]]&lt;=10,"LOW STOCK",
"IN STOCK"))</f>
        <v>LOW STOCK</v>
      </c>
      <c r="R1959" s="1">
        <f t="shared" si="122"/>
        <v>3.7</v>
      </c>
      <c r="S1959">
        <v>3.7</v>
      </c>
      <c r="T1959" t="b">
        <v>0</v>
      </c>
      <c r="U1959" t="str">
        <f t="shared" si="123"/>
        <v>No Return</v>
      </c>
    </row>
    <row r="1960" spans="1:22" hidden="1" x14ac:dyDescent="0.3">
      <c r="A1960" t="s">
        <v>2013</v>
      </c>
      <c r="B1960" t="s">
        <v>38</v>
      </c>
      <c r="C1960" t="s">
        <v>16</v>
      </c>
      <c r="D1960" t="s">
        <v>17</v>
      </c>
      <c r="E1960" t="str">
        <f t="shared" si="120"/>
        <v>M</v>
      </c>
      <c r="F1960" t="s">
        <v>24</v>
      </c>
      <c r="G1960" t="s">
        <v>46</v>
      </c>
      <c r="H1960" s="8">
        <v>84.58</v>
      </c>
      <c r="I1960" s="3">
        <f t="shared" si="121"/>
        <v>0</v>
      </c>
      <c r="J1960" s="4">
        <v>0</v>
      </c>
      <c r="K1960" s="11">
        <f>Table1[[#This Row],[original_price]]* (Table1[[#This Row],[Markdown percentage updated]])</f>
        <v>0</v>
      </c>
      <c r="L19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60" s="6">
        <v>84.58</v>
      </c>
      <c r="N19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60" s="7">
        <v>45674</v>
      </c>
      <c r="P1960">
        <v>33</v>
      </c>
      <c r="Q1960" s="16" t="str">
        <f>IF(Table1[[#This Row],[stock_quantity]]=0,"NO STOCK",
IF(Table1[[#This Row],[stock_quantity]]&lt;=10,"LOW STOCK",
"IN STOCK"))</f>
        <v>IN STOCK</v>
      </c>
      <c r="R1960" s="1">
        <f t="shared" si="122"/>
        <v>4.5</v>
      </c>
      <c r="S1960">
        <v>4.5</v>
      </c>
      <c r="T1960" t="b">
        <v>0</v>
      </c>
      <c r="U1960" t="str">
        <f t="shared" si="123"/>
        <v>No Return</v>
      </c>
    </row>
    <row r="1961" spans="1:22" hidden="1" x14ac:dyDescent="0.3">
      <c r="A1961" t="s">
        <v>2014</v>
      </c>
      <c r="B1961" t="s">
        <v>38</v>
      </c>
      <c r="C1961" t="s">
        <v>75</v>
      </c>
      <c r="D1961" t="s">
        <v>62</v>
      </c>
      <c r="E1961" t="str">
        <f t="shared" si="120"/>
        <v>XXL</v>
      </c>
      <c r="F1961" t="s">
        <v>49</v>
      </c>
      <c r="G1961" t="s">
        <v>35</v>
      </c>
      <c r="H1961" s="8">
        <v>66.739999999999995</v>
      </c>
      <c r="I1961" s="3">
        <f t="shared" si="121"/>
        <v>0</v>
      </c>
      <c r="J1961" s="4">
        <v>0</v>
      </c>
      <c r="K1961" s="11">
        <f>Table1[[#This Row],[original_price]]* (Table1[[#This Row],[Markdown percentage updated]])</f>
        <v>0</v>
      </c>
      <c r="L19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61" s="6">
        <v>66.739999999999995</v>
      </c>
      <c r="N19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61" s="7">
        <v>45875</v>
      </c>
      <c r="P1961">
        <v>26</v>
      </c>
      <c r="Q1961" s="16" t="str">
        <f>IF(Table1[[#This Row],[stock_quantity]]=0,"NO STOCK",
IF(Table1[[#This Row],[stock_quantity]]&lt;=10,"LOW STOCK",
"IN STOCK"))</f>
        <v>IN STOCK</v>
      </c>
      <c r="R1961" s="1">
        <f t="shared" si="122"/>
        <v>4.5999999999999996</v>
      </c>
      <c r="S1961">
        <v>4.5999999999999996</v>
      </c>
      <c r="T1961" t="b">
        <v>0</v>
      </c>
      <c r="U1961" t="str">
        <f t="shared" si="123"/>
        <v>No Return</v>
      </c>
    </row>
    <row r="1962" spans="1:22" hidden="1" x14ac:dyDescent="0.3">
      <c r="A1962" t="s">
        <v>2015</v>
      </c>
      <c r="B1962" t="s">
        <v>30</v>
      </c>
      <c r="C1962" t="s">
        <v>48</v>
      </c>
      <c r="D1962" t="s">
        <v>62</v>
      </c>
      <c r="E1962" t="str">
        <f t="shared" si="120"/>
        <v>L</v>
      </c>
      <c r="F1962" t="s">
        <v>58</v>
      </c>
      <c r="G1962" t="s">
        <v>46</v>
      </c>
      <c r="H1962" s="8">
        <v>104.19</v>
      </c>
      <c r="I1962" s="3">
        <f t="shared" si="121"/>
        <v>0</v>
      </c>
      <c r="J1962" s="4">
        <v>0</v>
      </c>
      <c r="K1962" s="11">
        <f>Table1[[#This Row],[original_price]]* (Table1[[#This Row],[Markdown percentage updated]])</f>
        <v>0</v>
      </c>
      <c r="L19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62" s="6">
        <v>104.19</v>
      </c>
      <c r="N19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62" s="7">
        <v>45875</v>
      </c>
      <c r="P1962">
        <v>4</v>
      </c>
      <c r="Q1962" s="17" t="str">
        <f>IF(Table1[[#This Row],[stock_quantity]]=0,"NO STOCK",
IF(Table1[[#This Row],[stock_quantity]]&lt;=10,"LOW STOCK",
"IN STOCK"))</f>
        <v>LOW STOCK</v>
      </c>
      <c r="R1962" s="1">
        <f t="shared" si="122"/>
        <v>4.7</v>
      </c>
      <c r="S1962">
        <v>4.7</v>
      </c>
      <c r="T1962" t="b">
        <v>0</v>
      </c>
      <c r="U1962" t="str">
        <f t="shared" si="123"/>
        <v>No Return</v>
      </c>
    </row>
    <row r="1963" spans="1:22" hidden="1" x14ac:dyDescent="0.3">
      <c r="A1963" t="s">
        <v>2016</v>
      </c>
      <c r="B1963" t="s">
        <v>15</v>
      </c>
      <c r="C1963" t="s">
        <v>22</v>
      </c>
      <c r="D1963" t="s">
        <v>62</v>
      </c>
      <c r="E1963" t="str">
        <f t="shared" si="120"/>
        <v>OS</v>
      </c>
      <c r="F1963" t="s">
        <v>58</v>
      </c>
      <c r="G1963" t="s">
        <v>46</v>
      </c>
      <c r="H1963" s="8">
        <v>216.73</v>
      </c>
      <c r="I1963" s="3">
        <f t="shared" si="121"/>
        <v>0</v>
      </c>
      <c r="J1963" s="4">
        <v>0</v>
      </c>
      <c r="K1963" s="11">
        <f>Table1[[#This Row],[original_price]]* (Table1[[#This Row],[Markdown percentage updated]])</f>
        <v>0</v>
      </c>
      <c r="L19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63" s="6">
        <v>216.73</v>
      </c>
      <c r="N19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63" s="7">
        <v>45875</v>
      </c>
      <c r="P1963">
        <v>5</v>
      </c>
      <c r="Q1963" s="17" t="str">
        <f>IF(Table1[[#This Row],[stock_quantity]]=0,"NO STOCK",
IF(Table1[[#This Row],[stock_quantity]]&lt;=10,"LOW STOCK",
"IN STOCK"))</f>
        <v>LOW STOCK</v>
      </c>
      <c r="R1963" s="1">
        <f t="shared" si="122"/>
        <v>2.7</v>
      </c>
      <c r="S1963">
        <v>2.7</v>
      </c>
      <c r="T1963" t="b">
        <v>1</v>
      </c>
      <c r="U1963" s="13" t="str">
        <f t="shared" si="123"/>
        <v>Wrong Item</v>
      </c>
      <c r="V1963" t="s">
        <v>125</v>
      </c>
    </row>
    <row r="1964" spans="1:22" hidden="1" x14ac:dyDescent="0.3">
      <c r="A1964" t="s">
        <v>2017</v>
      </c>
      <c r="B1964" t="s">
        <v>42</v>
      </c>
      <c r="C1964" t="s">
        <v>43</v>
      </c>
      <c r="D1964" t="s">
        <v>62</v>
      </c>
      <c r="E1964" t="str">
        <f t="shared" si="120"/>
        <v>XS</v>
      </c>
      <c r="F1964" t="s">
        <v>49</v>
      </c>
      <c r="G1964" t="s">
        <v>56</v>
      </c>
      <c r="H1964" s="8">
        <v>87.82</v>
      </c>
      <c r="I1964" s="3">
        <f t="shared" si="121"/>
        <v>0</v>
      </c>
      <c r="J1964" s="4">
        <v>0</v>
      </c>
      <c r="K1964" s="11">
        <f>Table1[[#This Row],[original_price]]* (Table1[[#This Row],[Markdown percentage updated]])</f>
        <v>0</v>
      </c>
      <c r="L19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64" s="6">
        <v>87.82</v>
      </c>
      <c r="N19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64" s="7">
        <v>45875</v>
      </c>
      <c r="P1964">
        <v>24</v>
      </c>
      <c r="Q1964" s="16" t="str">
        <f>IF(Table1[[#This Row],[stock_quantity]]=0,"NO STOCK",
IF(Table1[[#This Row],[stock_quantity]]&lt;=10,"LOW STOCK",
"IN STOCK"))</f>
        <v>IN STOCK</v>
      </c>
      <c r="R1964" s="1">
        <f t="shared" si="122"/>
        <v>4.2</v>
      </c>
      <c r="S1964">
        <v>4.2</v>
      </c>
      <c r="T1964" t="b">
        <v>0</v>
      </c>
      <c r="U1964" t="str">
        <f t="shared" si="123"/>
        <v>No Return</v>
      </c>
    </row>
    <row r="1965" spans="1:22" hidden="1" x14ac:dyDescent="0.3">
      <c r="A1965" t="s">
        <v>2018</v>
      </c>
      <c r="B1965" t="s">
        <v>30</v>
      </c>
      <c r="C1965" t="s">
        <v>16</v>
      </c>
      <c r="D1965" t="s">
        <v>62</v>
      </c>
      <c r="E1965" t="str">
        <f t="shared" si="120"/>
        <v>OS</v>
      </c>
      <c r="F1965" t="s">
        <v>24</v>
      </c>
      <c r="G1965" t="s">
        <v>46</v>
      </c>
      <c r="H1965" s="8">
        <v>81.59</v>
      </c>
      <c r="I1965" s="3">
        <f t="shared" si="121"/>
        <v>0</v>
      </c>
      <c r="J1965" s="4">
        <v>0</v>
      </c>
      <c r="K1965" s="11">
        <f>Table1[[#This Row],[original_price]]* (Table1[[#This Row],[Markdown percentage updated]])</f>
        <v>0</v>
      </c>
      <c r="L19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65" s="6">
        <v>81.59</v>
      </c>
      <c r="N19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65" s="7">
        <v>45875</v>
      </c>
      <c r="P1965">
        <v>5</v>
      </c>
      <c r="Q1965" s="17" t="str">
        <f>IF(Table1[[#This Row],[stock_quantity]]=0,"NO STOCK",
IF(Table1[[#This Row],[stock_quantity]]&lt;=10,"LOW STOCK",
"IN STOCK"))</f>
        <v>LOW STOCK</v>
      </c>
      <c r="R1965" s="1">
        <f t="shared" si="122"/>
        <v>2.5</v>
      </c>
      <c r="S1965">
        <v>2.5</v>
      </c>
      <c r="T1965" t="b">
        <v>0</v>
      </c>
      <c r="U1965" t="str">
        <f t="shared" si="123"/>
        <v>No Return</v>
      </c>
    </row>
    <row r="1966" spans="1:22" hidden="1" x14ac:dyDescent="0.3">
      <c r="A1966" t="s">
        <v>2019</v>
      </c>
      <c r="B1966" t="s">
        <v>15</v>
      </c>
      <c r="C1966" t="s">
        <v>61</v>
      </c>
      <c r="D1966" t="s">
        <v>62</v>
      </c>
      <c r="E1966" t="str">
        <f t="shared" si="120"/>
        <v>S</v>
      </c>
      <c r="G1966" t="s">
        <v>44</v>
      </c>
      <c r="H1966" s="8">
        <v>93.14</v>
      </c>
      <c r="I1966" s="3">
        <f t="shared" si="121"/>
        <v>0.32799999999999996</v>
      </c>
      <c r="J1966" s="4">
        <v>32.799999999999997</v>
      </c>
      <c r="K1966" s="11">
        <f>Table1[[#This Row],[original_price]]* (Table1[[#This Row],[Markdown percentage updated]])</f>
        <v>30.549919999999997</v>
      </c>
      <c r="L19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66" s="6">
        <v>62.59</v>
      </c>
      <c r="N19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66" s="7">
        <v>45875</v>
      </c>
      <c r="P1966">
        <v>45</v>
      </c>
      <c r="Q1966" s="16" t="str">
        <f>IF(Table1[[#This Row],[stock_quantity]]=0,"NO STOCK",
IF(Table1[[#This Row],[stock_quantity]]&lt;=10,"LOW STOCK",
"IN STOCK"))</f>
        <v>IN STOCK</v>
      </c>
      <c r="R1966" s="1">
        <f t="shared" si="122"/>
        <v>4.5</v>
      </c>
      <c r="S1966">
        <v>4.5</v>
      </c>
      <c r="T1966" t="b">
        <v>0</v>
      </c>
      <c r="U1966" t="str">
        <f t="shared" si="123"/>
        <v>No Return</v>
      </c>
    </row>
    <row r="1967" spans="1:22" hidden="1" x14ac:dyDescent="0.3">
      <c r="A1967" t="s">
        <v>2020</v>
      </c>
      <c r="B1967" t="s">
        <v>38</v>
      </c>
      <c r="C1967" t="s">
        <v>61</v>
      </c>
      <c r="D1967" t="s">
        <v>17</v>
      </c>
      <c r="E1967" t="str">
        <f t="shared" si="120"/>
        <v>XL</v>
      </c>
      <c r="F1967" t="s">
        <v>55</v>
      </c>
      <c r="G1967" t="s">
        <v>40</v>
      </c>
      <c r="H1967" s="8">
        <v>96.73</v>
      </c>
      <c r="I1967" s="3">
        <f t="shared" si="121"/>
        <v>0</v>
      </c>
      <c r="J1967" s="4">
        <v>0</v>
      </c>
      <c r="K1967" s="11">
        <f>Table1[[#This Row],[original_price]]* (Table1[[#This Row],[Markdown percentage updated]])</f>
        <v>0</v>
      </c>
      <c r="L19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67" s="6">
        <v>96.73</v>
      </c>
      <c r="N19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67" s="7">
        <v>45605</v>
      </c>
      <c r="P1967">
        <v>18</v>
      </c>
      <c r="Q1967" s="16" t="str">
        <f>IF(Table1[[#This Row],[stock_quantity]]=0,"NO STOCK",
IF(Table1[[#This Row],[stock_quantity]]&lt;=10,"LOW STOCK",
"IN STOCK"))</f>
        <v>IN STOCK</v>
      </c>
      <c r="R1967" s="1">
        <f t="shared" si="122"/>
        <v>4.8</v>
      </c>
      <c r="S1967">
        <v>4.8</v>
      </c>
      <c r="T1967" t="b">
        <v>0</v>
      </c>
      <c r="U1967" t="str">
        <f t="shared" si="123"/>
        <v>No Return</v>
      </c>
    </row>
    <row r="1968" spans="1:22" hidden="1" x14ac:dyDescent="0.3">
      <c r="A1968" t="s">
        <v>2021</v>
      </c>
      <c r="B1968" t="s">
        <v>27</v>
      </c>
      <c r="C1968" t="s">
        <v>75</v>
      </c>
      <c r="D1968" t="s">
        <v>23</v>
      </c>
      <c r="E1968" t="str">
        <f t="shared" si="120"/>
        <v>L</v>
      </c>
      <c r="G1968" t="s">
        <v>44</v>
      </c>
      <c r="H1968" s="8">
        <v>19.34</v>
      </c>
      <c r="I1968" s="3">
        <f t="shared" si="121"/>
        <v>0</v>
      </c>
      <c r="J1968" s="4">
        <v>0</v>
      </c>
      <c r="K1968" s="11">
        <f>Table1[[#This Row],[original_price]]* (Table1[[#This Row],[Markdown percentage updated]])</f>
        <v>0</v>
      </c>
      <c r="L19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68" s="6">
        <v>19.34</v>
      </c>
      <c r="N19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68" s="7">
        <v>45875</v>
      </c>
      <c r="P1968">
        <v>19</v>
      </c>
      <c r="Q1968" s="16" t="str">
        <f>IF(Table1[[#This Row],[stock_quantity]]=0,"NO STOCK",
IF(Table1[[#This Row],[stock_quantity]]&lt;=10,"LOW STOCK",
"IN STOCK"))</f>
        <v>IN STOCK</v>
      </c>
      <c r="R1968" s="1">
        <f t="shared" si="122"/>
        <v>0</v>
      </c>
      <c r="T1968" t="b">
        <v>0</v>
      </c>
      <c r="U1968" t="str">
        <f t="shared" si="123"/>
        <v>No Return</v>
      </c>
    </row>
    <row r="1969" spans="1:22" hidden="1" x14ac:dyDescent="0.3">
      <c r="A1969" t="s">
        <v>2022</v>
      </c>
      <c r="B1969" t="s">
        <v>30</v>
      </c>
      <c r="C1969" t="s">
        <v>16</v>
      </c>
      <c r="D1969" t="s">
        <v>17</v>
      </c>
      <c r="E1969" t="str">
        <f t="shared" si="120"/>
        <v>S</v>
      </c>
      <c r="F1969" t="s">
        <v>39</v>
      </c>
      <c r="G1969" t="s">
        <v>19</v>
      </c>
      <c r="H1969" s="8">
        <v>113.88</v>
      </c>
      <c r="I1969" s="3">
        <f t="shared" si="121"/>
        <v>0.311</v>
      </c>
      <c r="J1969" s="4">
        <v>31.1</v>
      </c>
      <c r="K1969" s="11">
        <f>Table1[[#This Row],[original_price]]* (Table1[[#This Row],[Markdown percentage updated]])</f>
        <v>35.416679999999999</v>
      </c>
      <c r="L19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69" s="6">
        <v>78.459999999999994</v>
      </c>
      <c r="N19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69" s="7">
        <v>45818</v>
      </c>
      <c r="P1969">
        <v>22</v>
      </c>
      <c r="Q1969" s="16" t="str">
        <f>IF(Table1[[#This Row],[stock_quantity]]=0,"NO STOCK",
IF(Table1[[#This Row],[stock_quantity]]&lt;=10,"LOW STOCK",
"IN STOCK"))</f>
        <v>IN STOCK</v>
      </c>
      <c r="R1969" s="1">
        <f t="shared" si="122"/>
        <v>3.1</v>
      </c>
      <c r="S1969">
        <v>3.1</v>
      </c>
      <c r="T1969" t="b">
        <v>0</v>
      </c>
      <c r="U1969" t="str">
        <f t="shared" si="123"/>
        <v>No Return</v>
      </c>
    </row>
    <row r="1970" spans="1:22" hidden="1" x14ac:dyDescent="0.3">
      <c r="A1970" t="s">
        <v>2023</v>
      </c>
      <c r="B1970" t="s">
        <v>42</v>
      </c>
      <c r="C1970" t="s">
        <v>16</v>
      </c>
      <c r="D1970" t="s">
        <v>17</v>
      </c>
      <c r="E1970" t="str">
        <f t="shared" si="120"/>
        <v>L</v>
      </c>
      <c r="F1970" t="s">
        <v>18</v>
      </c>
      <c r="G1970" t="s">
        <v>64</v>
      </c>
      <c r="H1970" s="8">
        <v>90.32</v>
      </c>
      <c r="I1970" s="3">
        <f t="shared" si="121"/>
        <v>0</v>
      </c>
      <c r="J1970" s="4">
        <v>0</v>
      </c>
      <c r="K1970" s="11">
        <f>Table1[[#This Row],[original_price]]* (Table1[[#This Row],[Markdown percentage updated]])</f>
        <v>0</v>
      </c>
      <c r="L19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70" s="6">
        <v>90.32</v>
      </c>
      <c r="N19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70" s="7">
        <v>45742</v>
      </c>
      <c r="P1970">
        <v>41</v>
      </c>
      <c r="Q1970" s="16" t="str">
        <f>IF(Table1[[#This Row],[stock_quantity]]=0,"NO STOCK",
IF(Table1[[#This Row],[stock_quantity]]&lt;=10,"LOW STOCK",
"IN STOCK"))</f>
        <v>IN STOCK</v>
      </c>
      <c r="R1970" s="1">
        <f t="shared" si="122"/>
        <v>2.8</v>
      </c>
      <c r="S1970">
        <v>2.8</v>
      </c>
      <c r="T1970" t="b">
        <v>0</v>
      </c>
      <c r="U1970" t="str">
        <f t="shared" si="123"/>
        <v>No Return</v>
      </c>
    </row>
    <row r="1971" spans="1:22" hidden="1" x14ac:dyDescent="0.3">
      <c r="A1971" t="s">
        <v>2024</v>
      </c>
      <c r="B1971" t="s">
        <v>21</v>
      </c>
      <c r="C1971" t="s">
        <v>32</v>
      </c>
      <c r="D1971" t="s">
        <v>62</v>
      </c>
      <c r="E1971" t="str">
        <f t="shared" si="120"/>
        <v>OS</v>
      </c>
      <c r="F1971" t="s">
        <v>24</v>
      </c>
      <c r="G1971" t="s">
        <v>40</v>
      </c>
      <c r="H1971" s="8">
        <v>38.119999999999997</v>
      </c>
      <c r="I1971" s="3">
        <f t="shared" si="121"/>
        <v>0</v>
      </c>
      <c r="J1971" s="4">
        <v>0</v>
      </c>
      <c r="K1971" s="11">
        <f>Table1[[#This Row],[original_price]]* (Table1[[#This Row],[Markdown percentage updated]])</f>
        <v>0</v>
      </c>
      <c r="L19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71" s="6">
        <v>38.119999999999997</v>
      </c>
      <c r="N19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71" s="7">
        <v>45875</v>
      </c>
      <c r="P1971">
        <v>44</v>
      </c>
      <c r="Q1971" s="16" t="str">
        <f>IF(Table1[[#This Row],[stock_quantity]]=0,"NO STOCK",
IF(Table1[[#This Row],[stock_quantity]]&lt;=10,"LOW STOCK",
"IN STOCK"))</f>
        <v>IN STOCK</v>
      </c>
      <c r="R1971" s="1">
        <f t="shared" si="122"/>
        <v>0</v>
      </c>
      <c r="T1971" t="b">
        <v>0</v>
      </c>
      <c r="U1971" t="str">
        <f t="shared" si="123"/>
        <v>No Return</v>
      </c>
    </row>
    <row r="1972" spans="1:22" hidden="1" x14ac:dyDescent="0.3">
      <c r="A1972" t="s">
        <v>2025</v>
      </c>
      <c r="B1972" t="s">
        <v>30</v>
      </c>
      <c r="C1972" t="s">
        <v>32</v>
      </c>
      <c r="D1972" t="s">
        <v>62</v>
      </c>
      <c r="E1972" t="str">
        <f t="shared" si="120"/>
        <v>M</v>
      </c>
      <c r="F1972" t="s">
        <v>39</v>
      </c>
      <c r="G1972" t="s">
        <v>44</v>
      </c>
      <c r="H1972" s="8">
        <v>175.31</v>
      </c>
      <c r="I1972" s="3">
        <f t="shared" si="121"/>
        <v>0</v>
      </c>
      <c r="J1972" s="4">
        <v>0</v>
      </c>
      <c r="K1972" s="11">
        <f>Table1[[#This Row],[original_price]]* (Table1[[#This Row],[Markdown percentage updated]])</f>
        <v>0</v>
      </c>
      <c r="L19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72" s="6">
        <v>175.31</v>
      </c>
      <c r="N19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72" s="7">
        <v>45875</v>
      </c>
      <c r="P1972">
        <v>13</v>
      </c>
      <c r="Q1972" s="16" t="str">
        <f>IF(Table1[[#This Row],[stock_quantity]]=0,"NO STOCK",
IF(Table1[[#This Row],[stock_quantity]]&lt;=10,"LOW STOCK",
"IN STOCK"))</f>
        <v>IN STOCK</v>
      </c>
      <c r="R1972" s="1">
        <f t="shared" si="122"/>
        <v>0</v>
      </c>
      <c r="T1972" t="b">
        <v>0</v>
      </c>
      <c r="U1972" t="str">
        <f t="shared" si="123"/>
        <v>No Return</v>
      </c>
    </row>
    <row r="1973" spans="1:22" hidden="1" x14ac:dyDescent="0.3">
      <c r="A1973" t="s">
        <v>2026</v>
      </c>
      <c r="B1973" t="s">
        <v>42</v>
      </c>
      <c r="C1973" t="s">
        <v>16</v>
      </c>
      <c r="D1973" t="s">
        <v>17</v>
      </c>
      <c r="E1973" t="str">
        <f t="shared" si="120"/>
        <v>OS</v>
      </c>
      <c r="F1973" t="s">
        <v>24</v>
      </c>
      <c r="G1973" t="s">
        <v>19</v>
      </c>
      <c r="H1973" s="8">
        <v>171.92</v>
      </c>
      <c r="I1973" s="3">
        <f t="shared" si="121"/>
        <v>0</v>
      </c>
      <c r="J1973" s="4">
        <v>0</v>
      </c>
      <c r="K1973" s="11">
        <f>Table1[[#This Row],[original_price]]* (Table1[[#This Row],[Markdown percentage updated]])</f>
        <v>0</v>
      </c>
      <c r="L19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73" s="6">
        <v>171.92</v>
      </c>
      <c r="N19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73" s="7">
        <v>45816</v>
      </c>
      <c r="P1973">
        <v>12</v>
      </c>
      <c r="Q1973" s="16" t="str">
        <f>IF(Table1[[#This Row],[stock_quantity]]=0,"NO STOCK",
IF(Table1[[#This Row],[stock_quantity]]&lt;=10,"LOW STOCK",
"IN STOCK"))</f>
        <v>IN STOCK</v>
      </c>
      <c r="R1973" s="1">
        <f t="shared" si="122"/>
        <v>1.3</v>
      </c>
      <c r="S1973">
        <v>1.3</v>
      </c>
      <c r="T1973" t="b">
        <v>0</v>
      </c>
      <c r="U1973" t="str">
        <f t="shared" si="123"/>
        <v>No Return</v>
      </c>
    </row>
    <row r="1974" spans="1:22" hidden="1" x14ac:dyDescent="0.3">
      <c r="A1974" t="s">
        <v>2027</v>
      </c>
      <c r="B1974" t="s">
        <v>27</v>
      </c>
      <c r="C1974" t="s">
        <v>61</v>
      </c>
      <c r="D1974" t="s">
        <v>62</v>
      </c>
      <c r="E1974" t="str">
        <f t="shared" si="120"/>
        <v>S</v>
      </c>
      <c r="G1974" t="s">
        <v>44</v>
      </c>
      <c r="H1974" s="8">
        <v>35.6</v>
      </c>
      <c r="I1974" s="3">
        <f t="shared" si="121"/>
        <v>0</v>
      </c>
      <c r="J1974" s="4">
        <v>0</v>
      </c>
      <c r="K1974" s="11">
        <f>Table1[[#This Row],[original_price]]* (Table1[[#This Row],[Markdown percentage updated]])</f>
        <v>0</v>
      </c>
      <c r="L19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74" s="6">
        <v>35.6</v>
      </c>
      <c r="N19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74" s="7">
        <v>45875</v>
      </c>
      <c r="P1974">
        <v>24</v>
      </c>
      <c r="Q1974" s="16" t="str">
        <f>IF(Table1[[#This Row],[stock_quantity]]=0,"NO STOCK",
IF(Table1[[#This Row],[stock_quantity]]&lt;=10,"LOW STOCK",
"IN STOCK"))</f>
        <v>IN STOCK</v>
      </c>
      <c r="R1974" s="1">
        <f t="shared" si="122"/>
        <v>3.1</v>
      </c>
      <c r="S1974">
        <v>3.1</v>
      </c>
      <c r="T1974" t="b">
        <v>0</v>
      </c>
      <c r="U1974" t="str">
        <f t="shared" si="123"/>
        <v>No Return</v>
      </c>
    </row>
    <row r="1975" spans="1:22" hidden="1" x14ac:dyDescent="0.3">
      <c r="A1975" t="s">
        <v>2028</v>
      </c>
      <c r="B1975" t="s">
        <v>38</v>
      </c>
      <c r="C1975" t="s">
        <v>48</v>
      </c>
      <c r="D1975" t="s">
        <v>62</v>
      </c>
      <c r="E1975" t="str">
        <f t="shared" si="120"/>
        <v>M</v>
      </c>
      <c r="F1975" t="s">
        <v>58</v>
      </c>
      <c r="G1975" t="s">
        <v>64</v>
      </c>
      <c r="H1975" s="8">
        <v>81.7</v>
      </c>
      <c r="I1975" s="3">
        <f t="shared" si="121"/>
        <v>0</v>
      </c>
      <c r="J1975" s="4">
        <v>0</v>
      </c>
      <c r="K1975" s="11">
        <f>Table1[[#This Row],[original_price]]* (Table1[[#This Row],[Markdown percentage updated]])</f>
        <v>0</v>
      </c>
      <c r="L19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75" s="6">
        <v>81.7</v>
      </c>
      <c r="N19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75" s="7">
        <v>45875</v>
      </c>
      <c r="P1975">
        <v>33</v>
      </c>
      <c r="Q1975" s="16" t="str">
        <f>IF(Table1[[#This Row],[stock_quantity]]=0,"NO STOCK",
IF(Table1[[#This Row],[stock_quantity]]&lt;=10,"LOW STOCK",
"IN STOCK"))</f>
        <v>IN STOCK</v>
      </c>
      <c r="R1975" s="1">
        <f t="shared" si="122"/>
        <v>0</v>
      </c>
      <c r="T1975" t="b">
        <v>1</v>
      </c>
      <c r="U1975" s="13" t="str">
        <f t="shared" si="123"/>
        <v>Wrong Item</v>
      </c>
      <c r="V1975" t="s">
        <v>125</v>
      </c>
    </row>
    <row r="1976" spans="1:22" hidden="1" x14ac:dyDescent="0.3">
      <c r="A1976" t="s">
        <v>2029</v>
      </c>
      <c r="B1976" t="s">
        <v>38</v>
      </c>
      <c r="C1976" t="s">
        <v>32</v>
      </c>
      <c r="D1976" t="s">
        <v>62</v>
      </c>
      <c r="E1976" t="str">
        <f t="shared" si="120"/>
        <v>XL</v>
      </c>
      <c r="G1976" t="s">
        <v>66</v>
      </c>
      <c r="H1976" s="8">
        <v>29.7</v>
      </c>
      <c r="I1976" s="3">
        <f t="shared" si="121"/>
        <v>0</v>
      </c>
      <c r="J1976" s="4">
        <v>0</v>
      </c>
      <c r="K1976" s="11">
        <f>Table1[[#This Row],[original_price]]* (Table1[[#This Row],[Markdown percentage updated]])</f>
        <v>0</v>
      </c>
      <c r="L19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76" s="6">
        <v>29.7</v>
      </c>
      <c r="N19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76" s="7">
        <v>45875</v>
      </c>
      <c r="P1976">
        <v>16</v>
      </c>
      <c r="Q1976" s="16" t="str">
        <f>IF(Table1[[#This Row],[stock_quantity]]=0,"NO STOCK",
IF(Table1[[#This Row],[stock_quantity]]&lt;=10,"LOW STOCK",
"IN STOCK"))</f>
        <v>IN STOCK</v>
      </c>
      <c r="R1976" s="1">
        <f t="shared" si="122"/>
        <v>2.7</v>
      </c>
      <c r="S1976">
        <v>2.7</v>
      </c>
      <c r="T1976" t="b">
        <v>0</v>
      </c>
      <c r="U1976" t="str">
        <f t="shared" si="123"/>
        <v>No Return</v>
      </c>
    </row>
    <row r="1977" spans="1:22" hidden="1" x14ac:dyDescent="0.3">
      <c r="A1977" t="s">
        <v>2030</v>
      </c>
      <c r="B1977" t="s">
        <v>15</v>
      </c>
      <c r="C1977" t="s">
        <v>43</v>
      </c>
      <c r="D1977" t="s">
        <v>23</v>
      </c>
      <c r="E1977" t="str">
        <f t="shared" si="120"/>
        <v>L</v>
      </c>
      <c r="F1977" t="s">
        <v>39</v>
      </c>
      <c r="G1977" t="s">
        <v>70</v>
      </c>
      <c r="H1977" s="8">
        <v>239.65</v>
      </c>
      <c r="I1977" s="3">
        <f t="shared" si="121"/>
        <v>0</v>
      </c>
      <c r="J1977" s="4">
        <v>0</v>
      </c>
      <c r="K1977" s="11">
        <f>Table1[[#This Row],[original_price]]* (Table1[[#This Row],[Markdown percentage updated]])</f>
        <v>0</v>
      </c>
      <c r="L19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77" s="6">
        <v>239.65</v>
      </c>
      <c r="N19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77" s="7">
        <v>45875</v>
      </c>
      <c r="P1977">
        <v>27</v>
      </c>
      <c r="Q1977" s="16" t="str">
        <f>IF(Table1[[#This Row],[stock_quantity]]=0,"NO STOCK",
IF(Table1[[#This Row],[stock_quantity]]&lt;=10,"LOW STOCK",
"IN STOCK"))</f>
        <v>IN STOCK</v>
      </c>
      <c r="R1977" s="1">
        <f t="shared" si="122"/>
        <v>2.9</v>
      </c>
      <c r="S1977">
        <v>2.9</v>
      </c>
      <c r="T1977" t="b">
        <v>0</v>
      </c>
      <c r="U1977" t="str">
        <f t="shared" si="123"/>
        <v>No Return</v>
      </c>
    </row>
    <row r="1978" spans="1:22" hidden="1" x14ac:dyDescent="0.3">
      <c r="A1978" t="s">
        <v>2031</v>
      </c>
      <c r="B1978" t="s">
        <v>21</v>
      </c>
      <c r="C1978" t="s">
        <v>48</v>
      </c>
      <c r="D1978" t="s">
        <v>34</v>
      </c>
      <c r="E1978" t="str">
        <f t="shared" si="120"/>
        <v>S</v>
      </c>
      <c r="F1978" t="s">
        <v>58</v>
      </c>
      <c r="G1978" t="s">
        <v>19</v>
      </c>
      <c r="H1978" s="8">
        <v>90.41</v>
      </c>
      <c r="I1978" s="3">
        <f t="shared" si="121"/>
        <v>0</v>
      </c>
      <c r="J1978" s="4">
        <v>0</v>
      </c>
      <c r="K1978" s="11">
        <f>Table1[[#This Row],[original_price]]* (Table1[[#This Row],[Markdown percentage updated]])</f>
        <v>0</v>
      </c>
      <c r="L19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78" s="6">
        <v>90.41</v>
      </c>
      <c r="N19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78" s="7">
        <v>45875</v>
      </c>
      <c r="P1978">
        <v>11</v>
      </c>
      <c r="Q1978" s="16" t="str">
        <f>IF(Table1[[#This Row],[stock_quantity]]=0,"NO STOCK",
IF(Table1[[#This Row],[stock_quantity]]&lt;=10,"LOW STOCK",
"IN STOCK"))</f>
        <v>IN STOCK</v>
      </c>
      <c r="R1978" s="1">
        <f t="shared" si="122"/>
        <v>0</v>
      </c>
      <c r="T1978" t="b">
        <v>0</v>
      </c>
      <c r="U1978" t="str">
        <f t="shared" si="123"/>
        <v>No Return</v>
      </c>
    </row>
    <row r="1979" spans="1:22" hidden="1" x14ac:dyDescent="0.3">
      <c r="A1979" t="s">
        <v>2032</v>
      </c>
      <c r="B1979" t="s">
        <v>42</v>
      </c>
      <c r="C1979" t="s">
        <v>53</v>
      </c>
      <c r="D1979" t="s">
        <v>23</v>
      </c>
      <c r="E1979" t="str">
        <f t="shared" si="120"/>
        <v>L</v>
      </c>
      <c r="F1979" t="s">
        <v>18</v>
      </c>
      <c r="G1979" t="s">
        <v>35</v>
      </c>
      <c r="H1979" s="8">
        <v>81.78</v>
      </c>
      <c r="I1979" s="3">
        <f t="shared" si="121"/>
        <v>0.1</v>
      </c>
      <c r="J1979" s="4">
        <v>10</v>
      </c>
      <c r="K1979" s="11">
        <f>Table1[[#This Row],[original_price]]* (Table1[[#This Row],[Markdown percentage updated]])</f>
        <v>8.1780000000000008</v>
      </c>
      <c r="L19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79" s="6">
        <v>73.599999999999994</v>
      </c>
      <c r="N19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979" s="7">
        <v>45875</v>
      </c>
      <c r="P1979">
        <v>24</v>
      </c>
      <c r="Q1979" s="16" t="str">
        <f>IF(Table1[[#This Row],[stock_quantity]]=0,"NO STOCK",
IF(Table1[[#This Row],[stock_quantity]]&lt;=10,"LOW STOCK",
"IN STOCK"))</f>
        <v>IN STOCK</v>
      </c>
      <c r="R1979" s="1">
        <f t="shared" si="122"/>
        <v>1.2</v>
      </c>
      <c r="S1979">
        <v>1.2</v>
      </c>
      <c r="T1979" t="b">
        <v>0</v>
      </c>
      <c r="U1979" t="str">
        <f t="shared" si="123"/>
        <v>No Return</v>
      </c>
    </row>
    <row r="1980" spans="1:22" hidden="1" x14ac:dyDescent="0.3">
      <c r="A1980" t="s">
        <v>2033</v>
      </c>
      <c r="B1980" t="s">
        <v>15</v>
      </c>
      <c r="C1980" t="s">
        <v>75</v>
      </c>
      <c r="D1980" t="s">
        <v>23</v>
      </c>
      <c r="E1980" t="str">
        <f t="shared" si="120"/>
        <v>M</v>
      </c>
      <c r="F1980" t="s">
        <v>24</v>
      </c>
      <c r="G1980" t="s">
        <v>28</v>
      </c>
      <c r="H1980" s="8">
        <v>142.55000000000001</v>
      </c>
      <c r="I1980" s="3">
        <f t="shared" si="121"/>
        <v>0</v>
      </c>
      <c r="J1980" s="4">
        <v>0</v>
      </c>
      <c r="K1980" s="11">
        <f>Table1[[#This Row],[original_price]]* (Table1[[#This Row],[Markdown percentage updated]])</f>
        <v>0</v>
      </c>
      <c r="L19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80" s="6">
        <v>142.55000000000001</v>
      </c>
      <c r="N19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80" s="7">
        <v>45875</v>
      </c>
      <c r="P1980">
        <v>21</v>
      </c>
      <c r="Q1980" s="16" t="str">
        <f>IF(Table1[[#This Row],[stock_quantity]]=0,"NO STOCK",
IF(Table1[[#This Row],[stock_quantity]]&lt;=10,"LOW STOCK",
"IN STOCK"))</f>
        <v>IN STOCK</v>
      </c>
      <c r="R1980" s="1">
        <f t="shared" si="122"/>
        <v>4.5</v>
      </c>
      <c r="S1980">
        <v>4.5</v>
      </c>
      <c r="T1980" t="b">
        <v>0</v>
      </c>
      <c r="U1980" t="str">
        <f t="shared" si="123"/>
        <v>No Return</v>
      </c>
    </row>
    <row r="1981" spans="1:22" hidden="1" x14ac:dyDescent="0.3">
      <c r="A1981" t="s">
        <v>2034</v>
      </c>
      <c r="B1981" t="s">
        <v>42</v>
      </c>
      <c r="C1981" t="s">
        <v>61</v>
      </c>
      <c r="D1981" t="s">
        <v>34</v>
      </c>
      <c r="E1981" t="str">
        <f t="shared" si="120"/>
        <v>S</v>
      </c>
      <c r="F1981" t="s">
        <v>39</v>
      </c>
      <c r="G1981" t="s">
        <v>28</v>
      </c>
      <c r="H1981" s="8">
        <v>53.13</v>
      </c>
      <c r="I1981" s="3">
        <f t="shared" si="121"/>
        <v>0</v>
      </c>
      <c r="J1981" s="4">
        <v>0</v>
      </c>
      <c r="K1981" s="11">
        <f>Table1[[#This Row],[original_price]]* (Table1[[#This Row],[Markdown percentage updated]])</f>
        <v>0</v>
      </c>
      <c r="L19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81" s="6">
        <v>53.13</v>
      </c>
      <c r="N19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81" s="7">
        <v>45875</v>
      </c>
      <c r="P1981">
        <v>5</v>
      </c>
      <c r="Q1981" s="17" t="str">
        <f>IF(Table1[[#This Row],[stock_quantity]]=0,"NO STOCK",
IF(Table1[[#This Row],[stock_quantity]]&lt;=10,"LOW STOCK",
"IN STOCK"))</f>
        <v>LOW STOCK</v>
      </c>
      <c r="R1981" s="1">
        <f t="shared" si="122"/>
        <v>4.5999999999999996</v>
      </c>
      <c r="S1981">
        <v>4.5999999999999996</v>
      </c>
      <c r="T1981" t="b">
        <v>0</v>
      </c>
      <c r="U1981" t="str">
        <f t="shared" si="123"/>
        <v>No Return</v>
      </c>
    </row>
    <row r="1982" spans="1:22" hidden="1" x14ac:dyDescent="0.3">
      <c r="A1982" t="s">
        <v>2035</v>
      </c>
      <c r="B1982" t="s">
        <v>38</v>
      </c>
      <c r="C1982" t="s">
        <v>75</v>
      </c>
      <c r="D1982" t="s">
        <v>62</v>
      </c>
      <c r="E1982" t="str">
        <f t="shared" si="120"/>
        <v>OS</v>
      </c>
      <c r="F1982" t="s">
        <v>24</v>
      </c>
      <c r="G1982" t="s">
        <v>64</v>
      </c>
      <c r="H1982" s="8">
        <v>80.81</v>
      </c>
      <c r="I1982" s="3">
        <f t="shared" si="121"/>
        <v>0</v>
      </c>
      <c r="J1982" s="4">
        <v>0</v>
      </c>
      <c r="K1982" s="11">
        <f>Table1[[#This Row],[original_price]]* (Table1[[#This Row],[Markdown percentage updated]])</f>
        <v>0</v>
      </c>
      <c r="L19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82" s="6">
        <v>80.81</v>
      </c>
      <c r="N19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82" s="7">
        <v>45875</v>
      </c>
      <c r="P1982">
        <v>15</v>
      </c>
      <c r="Q1982" s="16" t="str">
        <f>IF(Table1[[#This Row],[stock_quantity]]=0,"NO STOCK",
IF(Table1[[#This Row],[stock_quantity]]&lt;=10,"LOW STOCK",
"IN STOCK"))</f>
        <v>IN STOCK</v>
      </c>
      <c r="R1982" s="1">
        <f t="shared" si="122"/>
        <v>4.5999999999999996</v>
      </c>
      <c r="S1982">
        <v>4.5999999999999996</v>
      </c>
      <c r="T1982" t="b">
        <v>0</v>
      </c>
      <c r="U1982" t="str">
        <f t="shared" si="123"/>
        <v>No Return</v>
      </c>
    </row>
    <row r="1983" spans="1:22" hidden="1" x14ac:dyDescent="0.3">
      <c r="A1983" t="s">
        <v>2036</v>
      </c>
      <c r="B1983" t="s">
        <v>21</v>
      </c>
      <c r="C1983" t="s">
        <v>22</v>
      </c>
      <c r="D1983" t="s">
        <v>34</v>
      </c>
      <c r="E1983" t="str">
        <f t="shared" si="120"/>
        <v>L</v>
      </c>
      <c r="F1983" t="s">
        <v>58</v>
      </c>
      <c r="G1983" t="s">
        <v>64</v>
      </c>
      <c r="H1983" s="8">
        <v>89.39</v>
      </c>
      <c r="I1983" s="3">
        <f t="shared" si="121"/>
        <v>0</v>
      </c>
      <c r="J1983" s="4">
        <v>0</v>
      </c>
      <c r="K1983" s="11">
        <f>Table1[[#This Row],[original_price]]* (Table1[[#This Row],[Markdown percentage updated]])</f>
        <v>0</v>
      </c>
      <c r="L19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83" s="6">
        <v>89.39</v>
      </c>
      <c r="N19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83" s="7">
        <v>45875</v>
      </c>
      <c r="P1983">
        <v>33</v>
      </c>
      <c r="Q1983" s="16" t="str">
        <f>IF(Table1[[#This Row],[stock_quantity]]=0,"NO STOCK",
IF(Table1[[#This Row],[stock_quantity]]&lt;=10,"LOW STOCK",
"IN STOCK"))</f>
        <v>IN STOCK</v>
      </c>
      <c r="R1983" s="1">
        <f t="shared" si="122"/>
        <v>4.2</v>
      </c>
      <c r="S1983">
        <v>4.2</v>
      </c>
      <c r="T1983" t="b">
        <v>0</v>
      </c>
      <c r="U1983" t="str">
        <f t="shared" si="123"/>
        <v>No Return</v>
      </c>
    </row>
    <row r="1984" spans="1:22" hidden="1" x14ac:dyDescent="0.3">
      <c r="A1984" t="s">
        <v>2037</v>
      </c>
      <c r="B1984" t="s">
        <v>38</v>
      </c>
      <c r="C1984" t="s">
        <v>43</v>
      </c>
      <c r="D1984" t="s">
        <v>62</v>
      </c>
      <c r="E1984" t="str">
        <f t="shared" si="120"/>
        <v>L</v>
      </c>
      <c r="F1984" t="s">
        <v>39</v>
      </c>
      <c r="G1984" t="s">
        <v>44</v>
      </c>
      <c r="H1984" s="8">
        <v>37.9</v>
      </c>
      <c r="I1984" s="3">
        <f t="shared" si="121"/>
        <v>0.379</v>
      </c>
      <c r="J1984" s="4">
        <v>37.9</v>
      </c>
      <c r="K1984" s="11">
        <f>Table1[[#This Row],[original_price]]* (Table1[[#This Row],[Markdown percentage updated]])</f>
        <v>14.364099999999999</v>
      </c>
      <c r="L19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84" s="6">
        <v>23.54</v>
      </c>
      <c r="N19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984" s="7">
        <v>45875</v>
      </c>
      <c r="P1984">
        <v>34</v>
      </c>
      <c r="Q1984" s="16" t="str">
        <f>IF(Table1[[#This Row],[stock_quantity]]=0,"NO STOCK",
IF(Table1[[#This Row],[stock_quantity]]&lt;=10,"LOW STOCK",
"IN STOCK"))</f>
        <v>IN STOCK</v>
      </c>
      <c r="R1984" s="1">
        <f t="shared" si="122"/>
        <v>1.3</v>
      </c>
      <c r="S1984">
        <v>1.3</v>
      </c>
      <c r="T1984" t="b">
        <v>0</v>
      </c>
      <c r="U1984" t="str">
        <f t="shared" si="123"/>
        <v>No Return</v>
      </c>
    </row>
    <row r="1985" spans="1:22" hidden="1" x14ac:dyDescent="0.3">
      <c r="A1985" t="s">
        <v>2038</v>
      </c>
      <c r="B1985" t="s">
        <v>27</v>
      </c>
      <c r="C1985" t="s">
        <v>43</v>
      </c>
      <c r="D1985" t="s">
        <v>17</v>
      </c>
      <c r="E1985" t="str">
        <f t="shared" si="120"/>
        <v>OS</v>
      </c>
      <c r="G1985" t="s">
        <v>70</v>
      </c>
      <c r="H1985" s="8">
        <v>44.49</v>
      </c>
      <c r="I1985" s="3">
        <f t="shared" si="121"/>
        <v>0</v>
      </c>
      <c r="J1985" s="4">
        <v>0</v>
      </c>
      <c r="K1985" s="11">
        <f>Table1[[#This Row],[original_price]]* (Table1[[#This Row],[Markdown percentage updated]])</f>
        <v>0</v>
      </c>
      <c r="L19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85" s="6">
        <v>44.49</v>
      </c>
      <c r="N19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85" s="7">
        <v>45835</v>
      </c>
      <c r="P1985">
        <v>34</v>
      </c>
      <c r="Q1985" s="16" t="str">
        <f>IF(Table1[[#This Row],[stock_quantity]]=0,"NO STOCK",
IF(Table1[[#This Row],[stock_quantity]]&lt;=10,"LOW STOCK",
"IN STOCK"))</f>
        <v>IN STOCK</v>
      </c>
      <c r="R1985" s="1">
        <f t="shared" si="122"/>
        <v>2.1</v>
      </c>
      <c r="S1985">
        <v>2.1</v>
      </c>
      <c r="T1985" t="b">
        <v>0</v>
      </c>
      <c r="U1985" t="str">
        <f t="shared" si="123"/>
        <v>No Return</v>
      </c>
    </row>
    <row r="1986" spans="1:22" hidden="1" x14ac:dyDescent="0.3">
      <c r="A1986" t="s">
        <v>2039</v>
      </c>
      <c r="B1986" t="s">
        <v>21</v>
      </c>
      <c r="C1986" t="s">
        <v>43</v>
      </c>
      <c r="D1986" t="s">
        <v>62</v>
      </c>
      <c r="E1986" t="str">
        <f t="shared" ref="E1986:E2049" si="124">IF(ISBLANK(F1989),"OS",F1989)</f>
        <v>M</v>
      </c>
      <c r="F1986" t="s">
        <v>24</v>
      </c>
      <c r="G1986" t="s">
        <v>56</v>
      </c>
      <c r="H1986" s="8">
        <v>111.7</v>
      </c>
      <c r="I1986" s="3">
        <f t="shared" ref="I1986:I2049" si="125">J1986/100</f>
        <v>0</v>
      </c>
      <c r="J1986" s="4">
        <v>0</v>
      </c>
      <c r="K1986" s="11">
        <f>Table1[[#This Row],[original_price]]* (Table1[[#This Row],[Markdown percentage updated]])</f>
        <v>0</v>
      </c>
      <c r="L19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86" s="6">
        <v>111.7</v>
      </c>
      <c r="N19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86" s="7">
        <v>45875</v>
      </c>
      <c r="P1986">
        <v>2</v>
      </c>
      <c r="Q1986" s="17" t="str">
        <f>IF(Table1[[#This Row],[stock_quantity]]=0,"NO STOCK",
IF(Table1[[#This Row],[stock_quantity]]&lt;=10,"LOW STOCK",
"IN STOCK"))</f>
        <v>LOW STOCK</v>
      </c>
      <c r="R1986" s="1">
        <f t="shared" si="122"/>
        <v>0</v>
      </c>
      <c r="T1986" t="b">
        <v>1</v>
      </c>
      <c r="U1986" s="13" t="str">
        <f t="shared" si="123"/>
        <v>Size Issue</v>
      </c>
      <c r="V1986" t="s">
        <v>73</v>
      </c>
    </row>
    <row r="1987" spans="1:22" hidden="1" x14ac:dyDescent="0.3">
      <c r="A1987" t="s">
        <v>2040</v>
      </c>
      <c r="B1987" t="s">
        <v>21</v>
      </c>
      <c r="C1987" t="s">
        <v>48</v>
      </c>
      <c r="D1987" t="s">
        <v>17</v>
      </c>
      <c r="E1987" t="str">
        <f t="shared" si="124"/>
        <v>S</v>
      </c>
      <c r="F1987" t="s">
        <v>24</v>
      </c>
      <c r="G1987" t="s">
        <v>64</v>
      </c>
      <c r="H1987" s="8">
        <v>109.76</v>
      </c>
      <c r="I1987" s="3">
        <f t="shared" si="125"/>
        <v>0</v>
      </c>
      <c r="J1987" s="4">
        <v>0</v>
      </c>
      <c r="K1987" s="11">
        <f>Table1[[#This Row],[original_price]]* (Table1[[#This Row],[Markdown percentage updated]])</f>
        <v>0</v>
      </c>
      <c r="L19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87" s="6">
        <v>109.76</v>
      </c>
      <c r="N19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87" s="7">
        <v>45669</v>
      </c>
      <c r="P1987">
        <v>23</v>
      </c>
      <c r="Q1987" s="16" t="str">
        <f>IF(Table1[[#This Row],[stock_quantity]]=0,"NO STOCK",
IF(Table1[[#This Row],[stock_quantity]]&lt;=10,"LOW STOCK",
"IN STOCK"))</f>
        <v>IN STOCK</v>
      </c>
      <c r="R1987" s="1">
        <f t="shared" ref="R1987:R2050" si="126">IF(ISBLANK(S1987), 0, S1987)</f>
        <v>2</v>
      </c>
      <c r="S1987">
        <v>2</v>
      </c>
      <c r="T1987" t="b">
        <v>1</v>
      </c>
      <c r="U1987" s="13" t="str">
        <f t="shared" ref="U1987:U2050" si="127">IF(V1987="","No Return",V1987)</f>
        <v>Quality Issue</v>
      </c>
      <c r="V1987" t="s">
        <v>83</v>
      </c>
    </row>
    <row r="1988" spans="1:22" hidden="1" x14ac:dyDescent="0.3">
      <c r="A1988" t="s">
        <v>2041</v>
      </c>
      <c r="B1988" t="s">
        <v>27</v>
      </c>
      <c r="C1988" t="s">
        <v>22</v>
      </c>
      <c r="D1988" t="s">
        <v>34</v>
      </c>
      <c r="E1988" t="str">
        <f t="shared" si="124"/>
        <v>M</v>
      </c>
      <c r="G1988" t="s">
        <v>64</v>
      </c>
      <c r="H1988" s="8">
        <v>33</v>
      </c>
      <c r="I1988" s="3">
        <f t="shared" si="125"/>
        <v>0</v>
      </c>
      <c r="J1988" s="4">
        <v>0</v>
      </c>
      <c r="K1988" s="11">
        <f>Table1[[#This Row],[original_price]]* (Table1[[#This Row],[Markdown percentage updated]])</f>
        <v>0</v>
      </c>
      <c r="L19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88" s="6">
        <v>33</v>
      </c>
      <c r="N19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88" s="7">
        <v>45875</v>
      </c>
      <c r="P1988">
        <v>50</v>
      </c>
      <c r="Q1988" s="16" t="str">
        <f>IF(Table1[[#This Row],[stock_quantity]]=0,"NO STOCK",
IF(Table1[[#This Row],[stock_quantity]]&lt;=10,"LOW STOCK",
"IN STOCK"))</f>
        <v>IN STOCK</v>
      </c>
      <c r="R1988" s="1">
        <f t="shared" si="126"/>
        <v>4</v>
      </c>
      <c r="S1988">
        <v>4</v>
      </c>
      <c r="T1988" t="b">
        <v>0</v>
      </c>
      <c r="U1988" t="str">
        <f t="shared" si="127"/>
        <v>No Return</v>
      </c>
    </row>
    <row r="1989" spans="1:22" hidden="1" x14ac:dyDescent="0.3">
      <c r="A1989" t="s">
        <v>2042</v>
      </c>
      <c r="B1989" t="s">
        <v>30</v>
      </c>
      <c r="C1989" t="s">
        <v>53</v>
      </c>
      <c r="D1989" t="s">
        <v>23</v>
      </c>
      <c r="E1989" t="str">
        <f t="shared" si="124"/>
        <v>OS</v>
      </c>
      <c r="F1989" t="s">
        <v>58</v>
      </c>
      <c r="G1989" t="s">
        <v>46</v>
      </c>
      <c r="H1989" s="8">
        <v>150.65</v>
      </c>
      <c r="I1989" s="3">
        <f t="shared" si="125"/>
        <v>8.900000000000001E-2</v>
      </c>
      <c r="J1989" s="4">
        <v>8.9</v>
      </c>
      <c r="K1989" s="11">
        <f>Table1[[#This Row],[original_price]]* (Table1[[#This Row],[Markdown percentage updated]])</f>
        <v>13.407850000000002</v>
      </c>
      <c r="L19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89" s="6">
        <v>137.24</v>
      </c>
      <c r="N19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989" s="7">
        <v>45875</v>
      </c>
      <c r="P1989">
        <v>43</v>
      </c>
      <c r="Q1989" s="16" t="str">
        <f>IF(Table1[[#This Row],[stock_quantity]]=0,"NO STOCK",
IF(Table1[[#This Row],[stock_quantity]]&lt;=10,"LOW STOCK",
"IN STOCK"))</f>
        <v>IN STOCK</v>
      </c>
      <c r="R1989" s="1">
        <f t="shared" si="126"/>
        <v>3.4</v>
      </c>
      <c r="S1989">
        <v>3.4</v>
      </c>
      <c r="T1989" t="b">
        <v>0</v>
      </c>
      <c r="U1989" t="str">
        <f t="shared" si="127"/>
        <v>No Return</v>
      </c>
    </row>
    <row r="1990" spans="1:22" hidden="1" x14ac:dyDescent="0.3">
      <c r="A1990" t="s">
        <v>2043</v>
      </c>
      <c r="B1990" t="s">
        <v>38</v>
      </c>
      <c r="C1990" t="s">
        <v>16</v>
      </c>
      <c r="D1990" t="s">
        <v>34</v>
      </c>
      <c r="E1990" t="str">
        <f t="shared" si="124"/>
        <v>XL</v>
      </c>
      <c r="F1990" t="s">
        <v>39</v>
      </c>
      <c r="G1990" t="s">
        <v>46</v>
      </c>
      <c r="H1990" s="8">
        <v>66.34</v>
      </c>
      <c r="I1990" s="3">
        <f t="shared" si="125"/>
        <v>0.19</v>
      </c>
      <c r="J1990" s="4">
        <v>19</v>
      </c>
      <c r="K1990" s="11">
        <f>Table1[[#This Row],[original_price]]* (Table1[[#This Row],[Markdown percentage updated]])</f>
        <v>12.604600000000001</v>
      </c>
      <c r="L19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90" s="6">
        <v>53.74</v>
      </c>
      <c r="N19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1990" s="7">
        <v>45875</v>
      </c>
      <c r="P1990">
        <v>42</v>
      </c>
      <c r="Q1990" s="16" t="str">
        <f>IF(Table1[[#This Row],[stock_quantity]]=0,"NO STOCK",
IF(Table1[[#This Row],[stock_quantity]]&lt;=10,"LOW STOCK",
"IN STOCK"))</f>
        <v>IN STOCK</v>
      </c>
      <c r="R1990" s="1">
        <f t="shared" si="126"/>
        <v>1.9</v>
      </c>
      <c r="S1990">
        <v>1.9</v>
      </c>
      <c r="T1990" t="b">
        <v>0</v>
      </c>
      <c r="U1990" t="str">
        <f t="shared" si="127"/>
        <v>No Return</v>
      </c>
    </row>
    <row r="1991" spans="1:22" hidden="1" x14ac:dyDescent="0.3">
      <c r="A1991" t="s">
        <v>2044</v>
      </c>
      <c r="B1991" t="s">
        <v>38</v>
      </c>
      <c r="C1991" t="s">
        <v>61</v>
      </c>
      <c r="D1991" t="s">
        <v>17</v>
      </c>
      <c r="E1991" t="str">
        <f t="shared" si="124"/>
        <v>S</v>
      </c>
      <c r="F1991" t="s">
        <v>58</v>
      </c>
      <c r="G1991" t="s">
        <v>25</v>
      </c>
      <c r="H1991" s="8">
        <v>27.89</v>
      </c>
      <c r="I1991" s="3">
        <f t="shared" si="125"/>
        <v>0.17399999999999999</v>
      </c>
      <c r="J1991" s="4">
        <v>17.399999999999999</v>
      </c>
      <c r="K1991" s="11">
        <f>Table1[[#This Row],[original_price]]* (Table1[[#This Row],[Markdown percentage updated]])</f>
        <v>4.8528599999999997</v>
      </c>
      <c r="L19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91" s="6">
        <v>23.04</v>
      </c>
      <c r="N19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991" s="7">
        <v>45541</v>
      </c>
      <c r="P1991">
        <v>43</v>
      </c>
      <c r="Q1991" s="16" t="str">
        <f>IF(Table1[[#This Row],[stock_quantity]]=0,"NO STOCK",
IF(Table1[[#This Row],[stock_quantity]]&lt;=10,"LOW STOCK",
"IN STOCK"))</f>
        <v>IN STOCK</v>
      </c>
      <c r="R1991" s="1">
        <f t="shared" si="126"/>
        <v>2.1</v>
      </c>
      <c r="S1991">
        <v>2.1</v>
      </c>
      <c r="T1991" t="b">
        <v>0</v>
      </c>
      <c r="U1991" t="str">
        <f t="shared" si="127"/>
        <v>No Return</v>
      </c>
    </row>
    <row r="1992" spans="1:22" hidden="1" x14ac:dyDescent="0.3">
      <c r="A1992" t="s">
        <v>2045</v>
      </c>
      <c r="B1992" t="s">
        <v>27</v>
      </c>
      <c r="C1992" t="s">
        <v>22</v>
      </c>
      <c r="D1992" t="s">
        <v>62</v>
      </c>
      <c r="E1992" t="str">
        <f t="shared" si="124"/>
        <v>XS</v>
      </c>
      <c r="G1992" t="s">
        <v>40</v>
      </c>
      <c r="H1992" s="8">
        <v>60.18</v>
      </c>
      <c r="I1992" s="3">
        <f t="shared" si="125"/>
        <v>0</v>
      </c>
      <c r="J1992" s="4">
        <v>0</v>
      </c>
      <c r="K1992" s="11">
        <f>Table1[[#This Row],[original_price]]* (Table1[[#This Row],[Markdown percentage updated]])</f>
        <v>0</v>
      </c>
      <c r="L19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92" s="6">
        <v>60.18</v>
      </c>
      <c r="N19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92" s="7">
        <v>45875</v>
      </c>
      <c r="P1992">
        <v>36</v>
      </c>
      <c r="Q1992" s="16" t="str">
        <f>IF(Table1[[#This Row],[stock_quantity]]=0,"NO STOCK",
IF(Table1[[#This Row],[stock_quantity]]&lt;=10,"LOW STOCK",
"IN STOCK"))</f>
        <v>IN STOCK</v>
      </c>
      <c r="R1992" s="1">
        <f t="shared" si="126"/>
        <v>1.4</v>
      </c>
      <c r="S1992">
        <v>1.4</v>
      </c>
      <c r="T1992" t="b">
        <v>0</v>
      </c>
      <c r="U1992" t="str">
        <f t="shared" si="127"/>
        <v>No Return</v>
      </c>
    </row>
    <row r="1993" spans="1:22" hidden="1" x14ac:dyDescent="0.3">
      <c r="A1993" t="s">
        <v>2046</v>
      </c>
      <c r="B1993" t="s">
        <v>21</v>
      </c>
      <c r="C1993" t="s">
        <v>16</v>
      </c>
      <c r="D1993" t="s">
        <v>34</v>
      </c>
      <c r="E1993" t="str">
        <f t="shared" si="124"/>
        <v>M</v>
      </c>
      <c r="F1993" t="s">
        <v>18</v>
      </c>
      <c r="G1993" t="s">
        <v>19</v>
      </c>
      <c r="H1993" s="8">
        <v>54.26</v>
      </c>
      <c r="I1993" s="3">
        <f t="shared" si="125"/>
        <v>0.184</v>
      </c>
      <c r="J1993" s="4">
        <v>18.399999999999999</v>
      </c>
      <c r="K1993" s="11">
        <f>Table1[[#This Row],[original_price]]* (Table1[[#This Row],[Markdown percentage updated]])</f>
        <v>9.9838399999999989</v>
      </c>
      <c r="L19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1993" s="6">
        <v>44.28</v>
      </c>
      <c r="N19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1993" s="7">
        <v>45875</v>
      </c>
      <c r="P1993">
        <v>29</v>
      </c>
      <c r="Q1993" s="16" t="str">
        <f>IF(Table1[[#This Row],[stock_quantity]]=0,"NO STOCK",
IF(Table1[[#This Row],[stock_quantity]]&lt;=10,"LOW STOCK",
"IN STOCK"))</f>
        <v>IN STOCK</v>
      </c>
      <c r="R1993" s="1">
        <f t="shared" si="126"/>
        <v>2.6</v>
      </c>
      <c r="S1993">
        <v>2.6</v>
      </c>
      <c r="T1993" t="b">
        <v>0</v>
      </c>
      <c r="U1993" t="str">
        <f t="shared" si="127"/>
        <v>No Return</v>
      </c>
    </row>
    <row r="1994" spans="1:22" hidden="1" x14ac:dyDescent="0.3">
      <c r="A1994" t="s">
        <v>2047</v>
      </c>
      <c r="B1994" t="s">
        <v>30</v>
      </c>
      <c r="C1994" t="s">
        <v>22</v>
      </c>
      <c r="D1994" t="s">
        <v>17</v>
      </c>
      <c r="E1994" t="str">
        <f t="shared" si="124"/>
        <v>XS</v>
      </c>
      <c r="F1994" t="s">
        <v>39</v>
      </c>
      <c r="G1994" t="s">
        <v>19</v>
      </c>
      <c r="H1994" s="8">
        <v>78.44</v>
      </c>
      <c r="I1994" s="3">
        <f t="shared" si="125"/>
        <v>0</v>
      </c>
      <c r="J1994" s="4">
        <v>0</v>
      </c>
      <c r="K1994" s="11">
        <f>Table1[[#This Row],[original_price]]* (Table1[[#This Row],[Markdown percentage updated]])</f>
        <v>0</v>
      </c>
      <c r="L19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94" s="6">
        <v>78.44</v>
      </c>
      <c r="N19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94" s="7">
        <v>45555</v>
      </c>
      <c r="P1994">
        <v>42</v>
      </c>
      <c r="Q1994" s="16" t="str">
        <f>IF(Table1[[#This Row],[stock_quantity]]=0,"NO STOCK",
IF(Table1[[#This Row],[stock_quantity]]&lt;=10,"LOW STOCK",
"IN STOCK"))</f>
        <v>IN STOCK</v>
      </c>
      <c r="R1994" s="1">
        <f t="shared" si="126"/>
        <v>0</v>
      </c>
      <c r="T1994" t="b">
        <v>1</v>
      </c>
      <c r="U1994" s="13" t="str">
        <f t="shared" si="127"/>
        <v>Quality Issue</v>
      </c>
      <c r="V1994" t="s">
        <v>83</v>
      </c>
    </row>
    <row r="1995" spans="1:22" hidden="1" x14ac:dyDescent="0.3">
      <c r="A1995" t="s">
        <v>2048</v>
      </c>
      <c r="B1995" t="s">
        <v>15</v>
      </c>
      <c r="C1995" t="s">
        <v>48</v>
      </c>
      <c r="D1995" t="s">
        <v>34</v>
      </c>
      <c r="E1995" t="str">
        <f t="shared" si="124"/>
        <v>OS</v>
      </c>
      <c r="F1995" t="s">
        <v>55</v>
      </c>
      <c r="G1995" t="s">
        <v>28</v>
      </c>
      <c r="H1995" s="8">
        <v>183.05</v>
      </c>
      <c r="I1995" s="3">
        <f t="shared" si="125"/>
        <v>0</v>
      </c>
      <c r="J1995" s="4">
        <v>0</v>
      </c>
      <c r="K1995" s="11">
        <f>Table1[[#This Row],[original_price]]* (Table1[[#This Row],[Markdown percentage updated]])</f>
        <v>0</v>
      </c>
      <c r="L19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95" s="6">
        <v>183.05</v>
      </c>
      <c r="N19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95" s="7">
        <v>45875</v>
      </c>
      <c r="P1995">
        <v>4</v>
      </c>
      <c r="Q1995" s="17" t="str">
        <f>IF(Table1[[#This Row],[stock_quantity]]=0,"NO STOCK",
IF(Table1[[#This Row],[stock_quantity]]&lt;=10,"LOW STOCK",
"IN STOCK"))</f>
        <v>LOW STOCK</v>
      </c>
      <c r="R1995" s="1">
        <f t="shared" si="126"/>
        <v>4.5999999999999996</v>
      </c>
      <c r="S1995">
        <v>4.5999999999999996</v>
      </c>
      <c r="T1995" t="b">
        <v>0</v>
      </c>
      <c r="U1995" t="str">
        <f t="shared" si="127"/>
        <v>No Return</v>
      </c>
    </row>
    <row r="1996" spans="1:22" hidden="1" x14ac:dyDescent="0.3">
      <c r="A1996" t="s">
        <v>2049</v>
      </c>
      <c r="B1996" t="s">
        <v>30</v>
      </c>
      <c r="C1996" t="s">
        <v>22</v>
      </c>
      <c r="D1996" t="s">
        <v>17</v>
      </c>
      <c r="E1996" t="str">
        <f t="shared" si="124"/>
        <v>S</v>
      </c>
      <c r="F1996" t="s">
        <v>58</v>
      </c>
      <c r="G1996" t="s">
        <v>40</v>
      </c>
      <c r="H1996" s="8">
        <v>76.3</v>
      </c>
      <c r="I1996" s="3">
        <f t="shared" si="125"/>
        <v>0</v>
      </c>
      <c r="J1996" s="4">
        <v>0</v>
      </c>
      <c r="K1996" s="11">
        <f>Table1[[#This Row],[original_price]]* (Table1[[#This Row],[Markdown percentage updated]])</f>
        <v>0</v>
      </c>
      <c r="L19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96" s="6">
        <v>76.3</v>
      </c>
      <c r="N19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96" s="7">
        <v>45841</v>
      </c>
      <c r="P1996">
        <v>35</v>
      </c>
      <c r="Q1996" s="16" t="str">
        <f>IF(Table1[[#This Row],[stock_quantity]]=0,"NO STOCK",
IF(Table1[[#This Row],[stock_quantity]]&lt;=10,"LOW STOCK",
"IN STOCK"))</f>
        <v>IN STOCK</v>
      </c>
      <c r="R1996" s="1">
        <f t="shared" si="126"/>
        <v>2.6</v>
      </c>
      <c r="S1996">
        <v>2.6</v>
      </c>
      <c r="T1996" t="b">
        <v>0</v>
      </c>
      <c r="U1996" t="str">
        <f t="shared" si="127"/>
        <v>No Return</v>
      </c>
    </row>
    <row r="1997" spans="1:22" hidden="1" x14ac:dyDescent="0.3">
      <c r="A1997" t="s">
        <v>2050</v>
      </c>
      <c r="B1997" t="s">
        <v>21</v>
      </c>
      <c r="C1997" t="s">
        <v>16</v>
      </c>
      <c r="D1997" t="s">
        <v>17</v>
      </c>
      <c r="E1997" t="str">
        <f t="shared" si="124"/>
        <v>XXL</v>
      </c>
      <c r="F1997" t="s">
        <v>55</v>
      </c>
      <c r="G1997" t="s">
        <v>66</v>
      </c>
      <c r="H1997" s="8">
        <v>84.21</v>
      </c>
      <c r="I1997" s="3">
        <f t="shared" si="125"/>
        <v>0</v>
      </c>
      <c r="J1997" s="4">
        <v>0</v>
      </c>
      <c r="K1997" s="11">
        <f>Table1[[#This Row],[original_price]]* (Table1[[#This Row],[Markdown percentage updated]])</f>
        <v>0</v>
      </c>
      <c r="L19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97" s="6">
        <v>84.21</v>
      </c>
      <c r="N19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97" s="7">
        <v>45672</v>
      </c>
      <c r="P1997">
        <v>43</v>
      </c>
      <c r="Q1997" s="16" t="str">
        <f>IF(Table1[[#This Row],[stock_quantity]]=0,"NO STOCK",
IF(Table1[[#This Row],[stock_quantity]]&lt;=10,"LOW STOCK",
"IN STOCK"))</f>
        <v>IN STOCK</v>
      </c>
      <c r="R1997" s="1">
        <f t="shared" si="126"/>
        <v>3.4</v>
      </c>
      <c r="S1997">
        <v>3.4</v>
      </c>
      <c r="T1997" t="b">
        <v>0</v>
      </c>
      <c r="U1997" t="str">
        <f t="shared" si="127"/>
        <v>No Return</v>
      </c>
    </row>
    <row r="1998" spans="1:22" hidden="1" x14ac:dyDescent="0.3">
      <c r="A1998" t="s">
        <v>2051</v>
      </c>
      <c r="B1998" t="s">
        <v>27</v>
      </c>
      <c r="C1998" t="s">
        <v>53</v>
      </c>
      <c r="D1998" t="s">
        <v>17</v>
      </c>
      <c r="E1998" t="str">
        <f t="shared" si="124"/>
        <v>XXL</v>
      </c>
      <c r="G1998" t="s">
        <v>40</v>
      </c>
      <c r="H1998" s="8">
        <v>77.34</v>
      </c>
      <c r="I1998" s="3">
        <f t="shared" si="125"/>
        <v>0</v>
      </c>
      <c r="J1998" s="4">
        <v>0</v>
      </c>
      <c r="K1998" s="11">
        <f>Table1[[#This Row],[original_price]]* (Table1[[#This Row],[Markdown percentage updated]])</f>
        <v>0</v>
      </c>
      <c r="L19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1998" s="6">
        <v>77.34</v>
      </c>
      <c r="N19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1998" s="7">
        <v>45667</v>
      </c>
      <c r="P1998">
        <v>27</v>
      </c>
      <c r="Q1998" s="16" t="str">
        <f>IF(Table1[[#This Row],[stock_quantity]]=0,"NO STOCK",
IF(Table1[[#This Row],[stock_quantity]]&lt;=10,"LOW STOCK",
"IN STOCK"))</f>
        <v>IN STOCK</v>
      </c>
      <c r="R1998" s="1">
        <f t="shared" si="126"/>
        <v>0</v>
      </c>
      <c r="T1998" t="b">
        <v>0</v>
      </c>
      <c r="U1998" t="str">
        <f t="shared" si="127"/>
        <v>No Return</v>
      </c>
    </row>
    <row r="1999" spans="1:22" hidden="1" x14ac:dyDescent="0.3">
      <c r="A1999" t="s">
        <v>2052</v>
      </c>
      <c r="B1999" t="s">
        <v>42</v>
      </c>
      <c r="C1999" t="s">
        <v>16</v>
      </c>
      <c r="D1999" t="s">
        <v>17</v>
      </c>
      <c r="E1999" t="str">
        <f t="shared" si="124"/>
        <v>XL</v>
      </c>
      <c r="F1999" t="s">
        <v>39</v>
      </c>
      <c r="G1999" t="s">
        <v>64</v>
      </c>
      <c r="H1999" s="8">
        <v>122.82</v>
      </c>
      <c r="I1999" s="3">
        <f t="shared" si="125"/>
        <v>0.45399999999999996</v>
      </c>
      <c r="J1999" s="4">
        <v>45.4</v>
      </c>
      <c r="K1999" s="11">
        <f>Table1[[#This Row],[original_price]]* (Table1[[#This Row],[Markdown percentage updated]])</f>
        <v>55.760279999999995</v>
      </c>
      <c r="L19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1999" s="6">
        <v>67.06</v>
      </c>
      <c r="N19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1999" s="7">
        <v>45534</v>
      </c>
      <c r="P1999">
        <v>9</v>
      </c>
      <c r="Q1999" s="17" t="str">
        <f>IF(Table1[[#This Row],[stock_quantity]]=0,"NO STOCK",
IF(Table1[[#This Row],[stock_quantity]]&lt;=10,"LOW STOCK",
"IN STOCK"))</f>
        <v>LOW STOCK</v>
      </c>
      <c r="R1999" s="1">
        <f t="shared" si="126"/>
        <v>3.1</v>
      </c>
      <c r="S1999">
        <v>3.1</v>
      </c>
      <c r="T1999" t="b">
        <v>0</v>
      </c>
      <c r="U1999" t="str">
        <f t="shared" si="127"/>
        <v>No Return</v>
      </c>
    </row>
    <row r="2000" spans="1:22" hidden="1" x14ac:dyDescent="0.3">
      <c r="A2000" t="s">
        <v>2053</v>
      </c>
      <c r="B2000" t="s">
        <v>42</v>
      </c>
      <c r="C2000" t="s">
        <v>43</v>
      </c>
      <c r="D2000" t="s">
        <v>23</v>
      </c>
      <c r="E2000" t="str">
        <f t="shared" si="124"/>
        <v>L</v>
      </c>
      <c r="F2000" t="s">
        <v>49</v>
      </c>
      <c r="G2000" t="s">
        <v>44</v>
      </c>
      <c r="H2000" s="8">
        <v>103.85</v>
      </c>
      <c r="I2000" s="3">
        <f t="shared" si="125"/>
        <v>0</v>
      </c>
      <c r="J2000" s="4">
        <v>0</v>
      </c>
      <c r="K2000" s="11">
        <f>Table1[[#This Row],[original_price]]* (Table1[[#This Row],[Markdown percentage updated]])</f>
        <v>0</v>
      </c>
      <c r="L20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00" s="6">
        <v>103.85</v>
      </c>
      <c r="N20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00" s="7">
        <v>45875</v>
      </c>
      <c r="P2000">
        <v>26</v>
      </c>
      <c r="Q2000" s="16" t="str">
        <f>IF(Table1[[#This Row],[stock_quantity]]=0,"NO STOCK",
IF(Table1[[#This Row],[stock_quantity]]&lt;=10,"LOW STOCK",
"IN STOCK"))</f>
        <v>IN STOCK</v>
      </c>
      <c r="R2000" s="1">
        <f t="shared" si="126"/>
        <v>3.1</v>
      </c>
      <c r="S2000">
        <v>3.1</v>
      </c>
      <c r="T2000" t="b">
        <v>0</v>
      </c>
      <c r="U2000" t="str">
        <f t="shared" si="127"/>
        <v>No Return</v>
      </c>
    </row>
    <row r="2001" spans="1:22" hidden="1" x14ac:dyDescent="0.3">
      <c r="A2001" t="s">
        <v>2054</v>
      </c>
      <c r="B2001" t="s">
        <v>38</v>
      </c>
      <c r="C2001" t="s">
        <v>48</v>
      </c>
      <c r="D2001" t="s">
        <v>34</v>
      </c>
      <c r="E2001" t="str">
        <f t="shared" si="124"/>
        <v>S</v>
      </c>
      <c r="F2001" t="s">
        <v>49</v>
      </c>
      <c r="G2001" t="s">
        <v>19</v>
      </c>
      <c r="H2001" s="8">
        <v>117.73</v>
      </c>
      <c r="I2001" s="3">
        <f t="shared" si="125"/>
        <v>0.41299999999999998</v>
      </c>
      <c r="J2001" s="4">
        <v>41.3</v>
      </c>
      <c r="K2001" s="11">
        <f>Table1[[#This Row],[original_price]]* (Table1[[#This Row],[Markdown percentage updated]])</f>
        <v>48.622489999999999</v>
      </c>
      <c r="L20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01" s="6">
        <v>69.11</v>
      </c>
      <c r="N20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01" s="7">
        <v>45875</v>
      </c>
      <c r="P2001">
        <v>8</v>
      </c>
      <c r="Q2001" s="17" t="str">
        <f>IF(Table1[[#This Row],[stock_quantity]]=0,"NO STOCK",
IF(Table1[[#This Row],[stock_quantity]]&lt;=10,"LOW STOCK",
"IN STOCK"))</f>
        <v>LOW STOCK</v>
      </c>
      <c r="R2001" s="1">
        <f t="shared" si="126"/>
        <v>0</v>
      </c>
      <c r="T2001" t="b">
        <v>0</v>
      </c>
      <c r="U2001" t="str">
        <f t="shared" si="127"/>
        <v>No Return</v>
      </c>
    </row>
    <row r="2002" spans="1:22" hidden="1" x14ac:dyDescent="0.3">
      <c r="A2002" t="s">
        <v>2055</v>
      </c>
      <c r="B2002" t="s">
        <v>42</v>
      </c>
      <c r="C2002" t="s">
        <v>75</v>
      </c>
      <c r="D2002" t="s">
        <v>34</v>
      </c>
      <c r="E2002" t="str">
        <f t="shared" si="124"/>
        <v>L</v>
      </c>
      <c r="F2002" t="s">
        <v>18</v>
      </c>
      <c r="G2002" t="s">
        <v>46</v>
      </c>
      <c r="H2002" s="8">
        <v>115.98</v>
      </c>
      <c r="I2002" s="3">
        <f t="shared" si="125"/>
        <v>0</v>
      </c>
      <c r="J2002" s="4">
        <v>0</v>
      </c>
      <c r="K2002" s="11">
        <f>Table1[[#This Row],[original_price]]* (Table1[[#This Row],[Markdown percentage updated]])</f>
        <v>0</v>
      </c>
      <c r="L20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02" s="6">
        <v>115.98</v>
      </c>
      <c r="N20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02" s="7">
        <v>45875</v>
      </c>
      <c r="P2002">
        <v>42</v>
      </c>
      <c r="Q2002" s="16" t="str">
        <f>IF(Table1[[#This Row],[stock_quantity]]=0,"NO STOCK",
IF(Table1[[#This Row],[stock_quantity]]&lt;=10,"LOW STOCK",
"IN STOCK"))</f>
        <v>IN STOCK</v>
      </c>
      <c r="R2002" s="1">
        <f t="shared" si="126"/>
        <v>3.7</v>
      </c>
      <c r="S2002">
        <v>3.7</v>
      </c>
      <c r="T2002" t="b">
        <v>0</v>
      </c>
      <c r="U2002" t="str">
        <f t="shared" si="127"/>
        <v>No Return</v>
      </c>
    </row>
    <row r="2003" spans="1:22" hidden="1" x14ac:dyDescent="0.3">
      <c r="A2003" t="s">
        <v>2056</v>
      </c>
      <c r="B2003" t="s">
        <v>42</v>
      </c>
      <c r="C2003" t="s">
        <v>16</v>
      </c>
      <c r="D2003" t="s">
        <v>34</v>
      </c>
      <c r="E2003" t="str">
        <f t="shared" si="124"/>
        <v>L</v>
      </c>
      <c r="F2003" t="s">
        <v>24</v>
      </c>
      <c r="G2003" t="s">
        <v>64</v>
      </c>
      <c r="H2003" s="8">
        <v>175.43</v>
      </c>
      <c r="I2003" s="3">
        <f t="shared" si="125"/>
        <v>0</v>
      </c>
      <c r="J2003" s="4">
        <v>0</v>
      </c>
      <c r="K2003" s="11">
        <f>Table1[[#This Row],[original_price]]* (Table1[[#This Row],[Markdown percentage updated]])</f>
        <v>0</v>
      </c>
      <c r="L20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03" s="6">
        <v>175.43</v>
      </c>
      <c r="N20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03" s="7">
        <v>45875</v>
      </c>
      <c r="P2003">
        <v>3</v>
      </c>
      <c r="Q2003" s="17" t="str">
        <f>IF(Table1[[#This Row],[stock_quantity]]=0,"NO STOCK",
IF(Table1[[#This Row],[stock_quantity]]&lt;=10,"LOW STOCK",
"IN STOCK"))</f>
        <v>LOW STOCK</v>
      </c>
      <c r="R2003" s="1">
        <f t="shared" si="126"/>
        <v>1.8</v>
      </c>
      <c r="S2003">
        <v>1.8</v>
      </c>
      <c r="T2003" t="b">
        <v>1</v>
      </c>
      <c r="U2003" s="13" t="str">
        <f t="shared" si="127"/>
        <v>Color Mismatch</v>
      </c>
      <c r="V2003" t="s">
        <v>36</v>
      </c>
    </row>
    <row r="2004" spans="1:22" hidden="1" x14ac:dyDescent="0.3">
      <c r="A2004" t="s">
        <v>2057</v>
      </c>
      <c r="B2004" t="s">
        <v>15</v>
      </c>
      <c r="C2004" t="s">
        <v>61</v>
      </c>
      <c r="D2004" t="s">
        <v>17</v>
      </c>
      <c r="E2004" t="str">
        <f t="shared" si="124"/>
        <v>XS</v>
      </c>
      <c r="F2004" t="s">
        <v>39</v>
      </c>
      <c r="G2004" t="s">
        <v>46</v>
      </c>
      <c r="H2004" s="8">
        <v>162.81</v>
      </c>
      <c r="I2004" s="3">
        <f t="shared" si="125"/>
        <v>0</v>
      </c>
      <c r="J2004" s="4">
        <v>0</v>
      </c>
      <c r="K2004" s="11">
        <f>Table1[[#This Row],[original_price]]* (Table1[[#This Row],[Markdown percentage updated]])</f>
        <v>0</v>
      </c>
      <c r="L20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04" s="6">
        <v>162.81</v>
      </c>
      <c r="N20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04" s="7">
        <v>45667</v>
      </c>
      <c r="P2004">
        <v>40</v>
      </c>
      <c r="Q2004" s="16" t="str">
        <f>IF(Table1[[#This Row],[stock_quantity]]=0,"NO STOCK",
IF(Table1[[#This Row],[stock_quantity]]&lt;=10,"LOW STOCK",
"IN STOCK"))</f>
        <v>IN STOCK</v>
      </c>
      <c r="R2004" s="1">
        <f t="shared" si="126"/>
        <v>2.1</v>
      </c>
      <c r="S2004">
        <v>2.1</v>
      </c>
      <c r="T2004" t="b">
        <v>0</v>
      </c>
      <c r="U2004" t="str">
        <f t="shared" si="127"/>
        <v>No Return</v>
      </c>
    </row>
    <row r="2005" spans="1:22" hidden="1" x14ac:dyDescent="0.3">
      <c r="A2005" t="s">
        <v>2058</v>
      </c>
      <c r="B2005" t="s">
        <v>42</v>
      </c>
      <c r="C2005" t="s">
        <v>22</v>
      </c>
      <c r="D2005" t="s">
        <v>17</v>
      </c>
      <c r="E2005" t="str">
        <f t="shared" si="124"/>
        <v>XXL</v>
      </c>
      <c r="F2005" t="s">
        <v>24</v>
      </c>
      <c r="G2005" t="s">
        <v>66</v>
      </c>
      <c r="H2005" s="8">
        <v>146.68</v>
      </c>
      <c r="I2005" s="3">
        <f t="shared" si="125"/>
        <v>0</v>
      </c>
      <c r="J2005" s="4">
        <v>0</v>
      </c>
      <c r="K2005" s="11">
        <f>Table1[[#This Row],[original_price]]* (Table1[[#This Row],[Markdown percentage updated]])</f>
        <v>0</v>
      </c>
      <c r="L20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05" s="6">
        <v>146.68</v>
      </c>
      <c r="N20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05" s="7">
        <v>45511</v>
      </c>
      <c r="P2005">
        <v>8</v>
      </c>
      <c r="Q2005" s="17" t="str">
        <f>IF(Table1[[#This Row],[stock_quantity]]=0,"NO STOCK",
IF(Table1[[#This Row],[stock_quantity]]&lt;=10,"LOW STOCK",
"IN STOCK"))</f>
        <v>LOW STOCK</v>
      </c>
      <c r="R2005" s="1">
        <f t="shared" si="126"/>
        <v>0</v>
      </c>
      <c r="T2005" t="b">
        <v>0</v>
      </c>
      <c r="U2005" t="str">
        <f t="shared" si="127"/>
        <v>No Return</v>
      </c>
    </row>
    <row r="2006" spans="1:22" hidden="1" x14ac:dyDescent="0.3">
      <c r="A2006" t="s">
        <v>2059</v>
      </c>
      <c r="B2006" t="s">
        <v>42</v>
      </c>
      <c r="C2006" t="s">
        <v>48</v>
      </c>
      <c r="D2006" t="s">
        <v>34</v>
      </c>
      <c r="E2006" t="str">
        <f t="shared" si="124"/>
        <v>XXL</v>
      </c>
      <c r="F2006" t="s">
        <v>24</v>
      </c>
      <c r="G2006" t="s">
        <v>25</v>
      </c>
      <c r="H2006" s="8">
        <v>82.9</v>
      </c>
      <c r="I2006" s="3">
        <f t="shared" si="125"/>
        <v>0.42200000000000004</v>
      </c>
      <c r="J2006" s="4">
        <v>42.2</v>
      </c>
      <c r="K2006" s="11">
        <f>Table1[[#This Row],[original_price]]* (Table1[[#This Row],[Markdown percentage updated]])</f>
        <v>34.983800000000009</v>
      </c>
      <c r="L20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06" s="6">
        <v>47.92</v>
      </c>
      <c r="N20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06" s="7">
        <v>45875</v>
      </c>
      <c r="P2006">
        <v>4</v>
      </c>
      <c r="Q2006" s="17" t="str">
        <f>IF(Table1[[#This Row],[stock_quantity]]=0,"NO STOCK",
IF(Table1[[#This Row],[stock_quantity]]&lt;=10,"LOW STOCK",
"IN STOCK"))</f>
        <v>LOW STOCK</v>
      </c>
      <c r="R2006" s="1">
        <f t="shared" si="126"/>
        <v>2.1</v>
      </c>
      <c r="S2006">
        <v>2.1</v>
      </c>
      <c r="T2006" t="b">
        <v>0</v>
      </c>
      <c r="U2006" t="str">
        <f t="shared" si="127"/>
        <v>No Return</v>
      </c>
    </row>
    <row r="2007" spans="1:22" hidden="1" x14ac:dyDescent="0.3">
      <c r="A2007" t="s">
        <v>2060</v>
      </c>
      <c r="B2007" t="s">
        <v>21</v>
      </c>
      <c r="C2007" t="s">
        <v>16</v>
      </c>
      <c r="D2007" t="s">
        <v>34</v>
      </c>
      <c r="E2007" t="str">
        <f t="shared" si="124"/>
        <v>XL</v>
      </c>
      <c r="F2007" t="s">
        <v>55</v>
      </c>
      <c r="G2007" t="s">
        <v>35</v>
      </c>
      <c r="H2007" s="8">
        <v>92.9</v>
      </c>
      <c r="I2007" s="3">
        <f t="shared" si="125"/>
        <v>0</v>
      </c>
      <c r="J2007" s="4">
        <v>0</v>
      </c>
      <c r="K2007" s="11">
        <f>Table1[[#This Row],[original_price]]* (Table1[[#This Row],[Markdown percentage updated]])</f>
        <v>0</v>
      </c>
      <c r="L20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07" s="6">
        <v>92.9</v>
      </c>
      <c r="N20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07" s="7">
        <v>45875</v>
      </c>
      <c r="P2007">
        <v>30</v>
      </c>
      <c r="Q2007" s="16" t="str">
        <f>IF(Table1[[#This Row],[stock_quantity]]=0,"NO STOCK",
IF(Table1[[#This Row],[stock_quantity]]&lt;=10,"LOW STOCK",
"IN STOCK"))</f>
        <v>IN STOCK</v>
      </c>
      <c r="R2007" s="1">
        <f t="shared" si="126"/>
        <v>0</v>
      </c>
      <c r="T2007" t="b">
        <v>0</v>
      </c>
      <c r="U2007" t="str">
        <f t="shared" si="127"/>
        <v>No Return</v>
      </c>
    </row>
    <row r="2008" spans="1:22" hidden="1" x14ac:dyDescent="0.3">
      <c r="A2008" t="s">
        <v>2061</v>
      </c>
      <c r="B2008" t="s">
        <v>42</v>
      </c>
      <c r="C2008" t="s">
        <v>32</v>
      </c>
      <c r="D2008" t="s">
        <v>23</v>
      </c>
      <c r="E2008" t="str">
        <f t="shared" si="124"/>
        <v>L</v>
      </c>
      <c r="F2008" t="s">
        <v>49</v>
      </c>
      <c r="G2008" t="s">
        <v>44</v>
      </c>
      <c r="H2008" s="8">
        <v>133.88999999999999</v>
      </c>
      <c r="I2008" s="3">
        <f t="shared" si="125"/>
        <v>5.7000000000000002E-2</v>
      </c>
      <c r="J2008" s="4">
        <v>5.7</v>
      </c>
      <c r="K2008" s="11">
        <f>Table1[[#This Row],[original_price]]* (Table1[[#This Row],[Markdown percentage updated]])</f>
        <v>7.6317299999999992</v>
      </c>
      <c r="L20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08" s="6">
        <v>126.26</v>
      </c>
      <c r="N20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008" s="7">
        <v>45875</v>
      </c>
      <c r="P2008">
        <v>17</v>
      </c>
      <c r="Q2008" s="16" t="str">
        <f>IF(Table1[[#This Row],[stock_quantity]]=0,"NO STOCK",
IF(Table1[[#This Row],[stock_quantity]]&lt;=10,"LOW STOCK",
"IN STOCK"))</f>
        <v>IN STOCK</v>
      </c>
      <c r="R2008" s="1">
        <f t="shared" si="126"/>
        <v>3.4</v>
      </c>
      <c r="S2008">
        <v>3.4</v>
      </c>
      <c r="T2008" t="b">
        <v>1</v>
      </c>
      <c r="U2008" s="13" t="str">
        <f t="shared" si="127"/>
        <v>Size Issue</v>
      </c>
      <c r="V2008" t="s">
        <v>73</v>
      </c>
    </row>
    <row r="2009" spans="1:22" hidden="1" x14ac:dyDescent="0.3">
      <c r="A2009" t="s">
        <v>2062</v>
      </c>
      <c r="B2009" t="s">
        <v>42</v>
      </c>
      <c r="C2009" t="s">
        <v>53</v>
      </c>
      <c r="D2009" t="s">
        <v>23</v>
      </c>
      <c r="E2009" t="str">
        <f t="shared" si="124"/>
        <v>S</v>
      </c>
      <c r="F2009" t="s">
        <v>49</v>
      </c>
      <c r="G2009" t="s">
        <v>56</v>
      </c>
      <c r="H2009" s="8">
        <v>89.1</v>
      </c>
      <c r="I2009" s="3">
        <f t="shared" si="125"/>
        <v>0</v>
      </c>
      <c r="J2009" s="4">
        <v>0</v>
      </c>
      <c r="K2009" s="11">
        <f>Table1[[#This Row],[original_price]]* (Table1[[#This Row],[Markdown percentage updated]])</f>
        <v>0</v>
      </c>
      <c r="L20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09" s="6">
        <v>89.1</v>
      </c>
      <c r="N20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09" s="7">
        <v>45875</v>
      </c>
      <c r="P2009">
        <v>8</v>
      </c>
      <c r="Q2009" s="17" t="str">
        <f>IF(Table1[[#This Row],[stock_quantity]]=0,"NO STOCK",
IF(Table1[[#This Row],[stock_quantity]]&lt;=10,"LOW STOCK",
"IN STOCK"))</f>
        <v>LOW STOCK</v>
      </c>
      <c r="R2009" s="1">
        <f t="shared" si="126"/>
        <v>2.2000000000000002</v>
      </c>
      <c r="S2009">
        <v>2.2000000000000002</v>
      </c>
      <c r="T2009" t="b">
        <v>0</v>
      </c>
      <c r="U2009" t="str">
        <f t="shared" si="127"/>
        <v>No Return</v>
      </c>
    </row>
    <row r="2010" spans="1:22" hidden="1" x14ac:dyDescent="0.3">
      <c r="A2010" t="s">
        <v>2063</v>
      </c>
      <c r="B2010" t="s">
        <v>15</v>
      </c>
      <c r="C2010" t="s">
        <v>32</v>
      </c>
      <c r="D2010" t="s">
        <v>23</v>
      </c>
      <c r="E2010" t="str">
        <f t="shared" si="124"/>
        <v>M</v>
      </c>
      <c r="F2010" t="s">
        <v>18</v>
      </c>
      <c r="G2010" t="s">
        <v>56</v>
      </c>
      <c r="H2010" s="8">
        <v>175.62</v>
      </c>
      <c r="I2010" s="3">
        <f t="shared" si="125"/>
        <v>3.2000000000000001E-2</v>
      </c>
      <c r="J2010" s="4">
        <v>3.2</v>
      </c>
      <c r="K2010" s="11">
        <f>Table1[[#This Row],[original_price]]* (Table1[[#This Row],[Markdown percentage updated]])</f>
        <v>5.6198399999999999</v>
      </c>
      <c r="L20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10" s="6">
        <v>170</v>
      </c>
      <c r="N20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010" s="7">
        <v>45875</v>
      </c>
      <c r="P2010">
        <v>46</v>
      </c>
      <c r="Q2010" s="16" t="str">
        <f>IF(Table1[[#This Row],[stock_quantity]]=0,"NO STOCK",
IF(Table1[[#This Row],[stock_quantity]]&lt;=10,"LOW STOCK",
"IN STOCK"))</f>
        <v>IN STOCK</v>
      </c>
      <c r="R2010" s="1">
        <f t="shared" si="126"/>
        <v>0</v>
      </c>
      <c r="T2010" t="b">
        <v>0</v>
      </c>
      <c r="U2010" t="str">
        <f t="shared" si="127"/>
        <v>No Return</v>
      </c>
    </row>
    <row r="2011" spans="1:22" hidden="1" x14ac:dyDescent="0.3">
      <c r="A2011" t="s">
        <v>2064</v>
      </c>
      <c r="B2011" t="s">
        <v>42</v>
      </c>
      <c r="C2011" t="s">
        <v>48</v>
      </c>
      <c r="D2011" t="s">
        <v>62</v>
      </c>
      <c r="E2011" t="str">
        <f t="shared" si="124"/>
        <v>OS</v>
      </c>
      <c r="F2011" t="s">
        <v>24</v>
      </c>
      <c r="G2011" t="s">
        <v>28</v>
      </c>
      <c r="H2011" s="8">
        <v>154.02000000000001</v>
      </c>
      <c r="I2011" s="3">
        <f t="shared" si="125"/>
        <v>0</v>
      </c>
      <c r="J2011" s="4">
        <v>0</v>
      </c>
      <c r="K2011" s="11">
        <f>Table1[[#This Row],[original_price]]* (Table1[[#This Row],[Markdown percentage updated]])</f>
        <v>0</v>
      </c>
      <c r="L20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11" s="6">
        <v>154.02000000000001</v>
      </c>
      <c r="N20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11" s="7">
        <v>45875</v>
      </c>
      <c r="P2011">
        <v>21</v>
      </c>
      <c r="Q2011" s="16" t="str">
        <f>IF(Table1[[#This Row],[stock_quantity]]=0,"NO STOCK",
IF(Table1[[#This Row],[stock_quantity]]&lt;=10,"LOW STOCK",
"IN STOCK"))</f>
        <v>IN STOCK</v>
      </c>
      <c r="R2011" s="1">
        <f t="shared" si="126"/>
        <v>3.3</v>
      </c>
      <c r="S2011">
        <v>3.3</v>
      </c>
      <c r="T2011" t="b">
        <v>0</v>
      </c>
      <c r="U2011" t="str">
        <f t="shared" si="127"/>
        <v>No Return</v>
      </c>
    </row>
    <row r="2012" spans="1:22" hidden="1" x14ac:dyDescent="0.3">
      <c r="A2012" t="s">
        <v>2065</v>
      </c>
      <c r="B2012" t="s">
        <v>15</v>
      </c>
      <c r="C2012" t="s">
        <v>16</v>
      </c>
      <c r="D2012" t="s">
        <v>34</v>
      </c>
      <c r="E2012" t="str">
        <f t="shared" si="124"/>
        <v>OS</v>
      </c>
      <c r="F2012" t="s">
        <v>39</v>
      </c>
      <c r="G2012" t="s">
        <v>56</v>
      </c>
      <c r="H2012" s="8">
        <v>215.1</v>
      </c>
      <c r="I2012" s="3">
        <f t="shared" si="125"/>
        <v>0</v>
      </c>
      <c r="J2012" s="4">
        <v>0</v>
      </c>
      <c r="K2012" s="11">
        <f>Table1[[#This Row],[original_price]]* (Table1[[#This Row],[Markdown percentage updated]])</f>
        <v>0</v>
      </c>
      <c r="L20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12" s="6">
        <v>215.1</v>
      </c>
      <c r="N20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12" s="7">
        <v>45875</v>
      </c>
      <c r="P2012">
        <v>16</v>
      </c>
      <c r="Q2012" s="16" t="str">
        <f>IF(Table1[[#This Row],[stock_quantity]]=0,"NO STOCK",
IF(Table1[[#This Row],[stock_quantity]]&lt;=10,"LOW STOCK",
"IN STOCK"))</f>
        <v>IN STOCK</v>
      </c>
      <c r="R2012" s="1">
        <f t="shared" si="126"/>
        <v>2.5</v>
      </c>
      <c r="S2012">
        <v>2.5</v>
      </c>
      <c r="T2012" t="b">
        <v>0</v>
      </c>
      <c r="U2012" t="str">
        <f t="shared" si="127"/>
        <v>No Return</v>
      </c>
    </row>
    <row r="2013" spans="1:22" hidden="1" x14ac:dyDescent="0.3">
      <c r="A2013" t="s">
        <v>2066</v>
      </c>
      <c r="B2013" t="s">
        <v>21</v>
      </c>
      <c r="C2013" t="s">
        <v>53</v>
      </c>
      <c r="D2013" t="s">
        <v>34</v>
      </c>
      <c r="E2013" t="str">
        <f t="shared" si="124"/>
        <v>XS</v>
      </c>
      <c r="F2013" t="s">
        <v>58</v>
      </c>
      <c r="G2013" t="s">
        <v>70</v>
      </c>
      <c r="H2013" s="8">
        <v>40.28</v>
      </c>
      <c r="I2013" s="3">
        <f t="shared" si="125"/>
        <v>0</v>
      </c>
      <c r="J2013" s="4">
        <v>0</v>
      </c>
      <c r="K2013" s="11">
        <f>Table1[[#This Row],[original_price]]* (Table1[[#This Row],[Markdown percentage updated]])</f>
        <v>0</v>
      </c>
      <c r="L20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13" s="6">
        <v>40.28</v>
      </c>
      <c r="N20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13" s="7">
        <v>45875</v>
      </c>
      <c r="P2013">
        <v>35</v>
      </c>
      <c r="Q2013" s="16" t="str">
        <f>IF(Table1[[#This Row],[stock_quantity]]=0,"NO STOCK",
IF(Table1[[#This Row],[stock_quantity]]&lt;=10,"LOW STOCK",
"IN STOCK"))</f>
        <v>IN STOCK</v>
      </c>
      <c r="R2013" s="1">
        <f t="shared" si="126"/>
        <v>3.8</v>
      </c>
      <c r="S2013">
        <v>3.8</v>
      </c>
      <c r="T2013" t="b">
        <v>0</v>
      </c>
      <c r="U2013" t="str">
        <f t="shared" si="127"/>
        <v>No Return</v>
      </c>
    </row>
    <row r="2014" spans="1:22" hidden="1" x14ac:dyDescent="0.3">
      <c r="A2014" t="s">
        <v>2067</v>
      </c>
      <c r="B2014" t="s">
        <v>27</v>
      </c>
      <c r="C2014" t="s">
        <v>75</v>
      </c>
      <c r="D2014" t="s">
        <v>34</v>
      </c>
      <c r="E2014" t="str">
        <f t="shared" si="124"/>
        <v>S</v>
      </c>
      <c r="G2014" t="s">
        <v>40</v>
      </c>
      <c r="H2014" s="8">
        <v>25.95</v>
      </c>
      <c r="I2014" s="3">
        <f t="shared" si="125"/>
        <v>0.188</v>
      </c>
      <c r="J2014" s="4">
        <v>18.8</v>
      </c>
      <c r="K2014" s="11">
        <f>Table1[[#This Row],[original_price]]* (Table1[[#This Row],[Markdown percentage updated]])</f>
        <v>4.8785999999999996</v>
      </c>
      <c r="L20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14" s="6">
        <v>21.07</v>
      </c>
      <c r="N20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014" s="7">
        <v>45875</v>
      </c>
      <c r="P2014">
        <v>1</v>
      </c>
      <c r="Q2014" s="17" t="str">
        <f>IF(Table1[[#This Row],[stock_quantity]]=0,"NO STOCK",
IF(Table1[[#This Row],[stock_quantity]]&lt;=10,"LOW STOCK",
"IN STOCK"))</f>
        <v>LOW STOCK</v>
      </c>
      <c r="R2014" s="1">
        <f t="shared" si="126"/>
        <v>4</v>
      </c>
      <c r="S2014">
        <v>4</v>
      </c>
      <c r="T2014" t="b">
        <v>0</v>
      </c>
      <c r="U2014" t="str">
        <f t="shared" si="127"/>
        <v>No Return</v>
      </c>
    </row>
    <row r="2015" spans="1:22" hidden="1" x14ac:dyDescent="0.3">
      <c r="A2015" t="s">
        <v>2068</v>
      </c>
      <c r="B2015" t="s">
        <v>27</v>
      </c>
      <c r="C2015" t="s">
        <v>22</v>
      </c>
      <c r="D2015" t="s">
        <v>34</v>
      </c>
      <c r="E2015" t="str">
        <f t="shared" si="124"/>
        <v>L</v>
      </c>
      <c r="G2015" t="s">
        <v>64</v>
      </c>
      <c r="H2015" s="8">
        <v>21.26</v>
      </c>
      <c r="I2015" s="3">
        <f t="shared" si="125"/>
        <v>0.50700000000000001</v>
      </c>
      <c r="J2015" s="4">
        <v>50.7</v>
      </c>
      <c r="K2015" s="11">
        <f>Table1[[#This Row],[original_price]]* (Table1[[#This Row],[Markdown percentage updated]])</f>
        <v>10.778820000000001</v>
      </c>
      <c r="L20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15" s="6">
        <v>10.48</v>
      </c>
      <c r="N20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015" s="7">
        <v>45875</v>
      </c>
      <c r="P2015">
        <v>39</v>
      </c>
      <c r="Q2015" s="16" t="str">
        <f>IF(Table1[[#This Row],[stock_quantity]]=0,"NO STOCK",
IF(Table1[[#This Row],[stock_quantity]]&lt;=10,"LOW STOCK",
"IN STOCK"))</f>
        <v>IN STOCK</v>
      </c>
      <c r="R2015" s="1">
        <f t="shared" si="126"/>
        <v>4.3</v>
      </c>
      <c r="S2015">
        <v>4.3</v>
      </c>
      <c r="T2015" t="b">
        <v>0</v>
      </c>
      <c r="U2015" t="str">
        <f t="shared" si="127"/>
        <v>No Return</v>
      </c>
    </row>
    <row r="2016" spans="1:22" hidden="1" x14ac:dyDescent="0.3">
      <c r="A2016" t="s">
        <v>2069</v>
      </c>
      <c r="B2016" t="s">
        <v>42</v>
      </c>
      <c r="C2016" t="s">
        <v>16</v>
      </c>
      <c r="D2016" t="s">
        <v>17</v>
      </c>
      <c r="E2016" t="str">
        <f t="shared" si="124"/>
        <v>XS</v>
      </c>
      <c r="F2016" t="s">
        <v>55</v>
      </c>
      <c r="G2016" t="s">
        <v>44</v>
      </c>
      <c r="H2016" s="8">
        <v>146.07</v>
      </c>
      <c r="I2016" s="3">
        <f t="shared" si="125"/>
        <v>0</v>
      </c>
      <c r="J2016" s="4">
        <v>0</v>
      </c>
      <c r="K2016" s="11">
        <f>Table1[[#This Row],[original_price]]* (Table1[[#This Row],[Markdown percentage updated]])</f>
        <v>0</v>
      </c>
      <c r="L20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16" s="6">
        <v>146.07</v>
      </c>
      <c r="N20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16" s="7">
        <v>45847</v>
      </c>
      <c r="P2016">
        <v>33</v>
      </c>
      <c r="Q2016" s="16" t="str">
        <f>IF(Table1[[#This Row],[stock_quantity]]=0,"NO STOCK",
IF(Table1[[#This Row],[stock_quantity]]&lt;=10,"LOW STOCK",
"IN STOCK"))</f>
        <v>IN STOCK</v>
      </c>
      <c r="R2016" s="1">
        <f t="shared" si="126"/>
        <v>3.7</v>
      </c>
      <c r="S2016">
        <v>3.7</v>
      </c>
      <c r="T2016" t="b">
        <v>0</v>
      </c>
      <c r="U2016" t="str">
        <f t="shared" si="127"/>
        <v>No Return</v>
      </c>
    </row>
    <row r="2017" spans="1:22" hidden="1" x14ac:dyDescent="0.3">
      <c r="A2017" t="s">
        <v>2070</v>
      </c>
      <c r="B2017" t="s">
        <v>42</v>
      </c>
      <c r="C2017" t="s">
        <v>53</v>
      </c>
      <c r="D2017" t="s">
        <v>17</v>
      </c>
      <c r="E2017" t="str">
        <f t="shared" si="124"/>
        <v>M</v>
      </c>
      <c r="F2017" t="s">
        <v>39</v>
      </c>
      <c r="G2017" t="s">
        <v>40</v>
      </c>
      <c r="H2017" s="8">
        <v>135.97</v>
      </c>
      <c r="I2017" s="3">
        <f t="shared" si="125"/>
        <v>0</v>
      </c>
      <c r="J2017" s="4">
        <v>0</v>
      </c>
      <c r="K2017" s="11">
        <f>Table1[[#This Row],[original_price]]* (Table1[[#This Row],[Markdown percentage updated]])</f>
        <v>0</v>
      </c>
      <c r="L20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17" s="6">
        <v>135.97</v>
      </c>
      <c r="N20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17" s="7">
        <v>45545</v>
      </c>
      <c r="P2017">
        <v>30</v>
      </c>
      <c r="Q2017" s="16" t="str">
        <f>IF(Table1[[#This Row],[stock_quantity]]=0,"NO STOCK",
IF(Table1[[#This Row],[stock_quantity]]&lt;=10,"LOW STOCK",
"IN STOCK"))</f>
        <v>IN STOCK</v>
      </c>
      <c r="R2017" s="1">
        <f t="shared" si="126"/>
        <v>1.1000000000000001</v>
      </c>
      <c r="S2017">
        <v>1.1000000000000001</v>
      </c>
      <c r="T2017" t="b">
        <v>0</v>
      </c>
      <c r="U2017" t="str">
        <f t="shared" si="127"/>
        <v>No Return</v>
      </c>
    </row>
    <row r="2018" spans="1:22" hidden="1" x14ac:dyDescent="0.3">
      <c r="A2018" t="s">
        <v>2071</v>
      </c>
      <c r="B2018" t="s">
        <v>30</v>
      </c>
      <c r="C2018" t="s">
        <v>16</v>
      </c>
      <c r="D2018" t="s">
        <v>17</v>
      </c>
      <c r="E2018" t="str">
        <f t="shared" si="124"/>
        <v>OS</v>
      </c>
      <c r="F2018" t="s">
        <v>24</v>
      </c>
      <c r="G2018" t="s">
        <v>46</v>
      </c>
      <c r="H2018" s="8">
        <v>84.88</v>
      </c>
      <c r="I2018" s="3">
        <f t="shared" si="125"/>
        <v>7.400000000000001E-2</v>
      </c>
      <c r="J2018" s="4">
        <v>7.4</v>
      </c>
      <c r="K2018" s="11">
        <f>Table1[[#This Row],[original_price]]* (Table1[[#This Row],[Markdown percentage updated]])</f>
        <v>6.2811200000000005</v>
      </c>
      <c r="L20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18" s="6">
        <v>78.599999999999994</v>
      </c>
      <c r="N20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018" s="7">
        <v>45742</v>
      </c>
      <c r="P2018">
        <v>42</v>
      </c>
      <c r="Q2018" s="16" t="str">
        <f>IF(Table1[[#This Row],[stock_quantity]]=0,"NO STOCK",
IF(Table1[[#This Row],[stock_quantity]]&lt;=10,"LOW STOCK",
"IN STOCK"))</f>
        <v>IN STOCK</v>
      </c>
      <c r="R2018" s="1">
        <f t="shared" si="126"/>
        <v>3.4</v>
      </c>
      <c r="S2018">
        <v>3.4</v>
      </c>
      <c r="T2018" t="b">
        <v>0</v>
      </c>
      <c r="U2018" t="str">
        <f t="shared" si="127"/>
        <v>No Return</v>
      </c>
    </row>
    <row r="2019" spans="1:22" hidden="1" x14ac:dyDescent="0.3">
      <c r="A2019" t="s">
        <v>2072</v>
      </c>
      <c r="B2019" t="s">
        <v>30</v>
      </c>
      <c r="C2019" t="s">
        <v>48</v>
      </c>
      <c r="D2019" t="s">
        <v>23</v>
      </c>
      <c r="E2019" t="str">
        <f t="shared" si="124"/>
        <v>M</v>
      </c>
      <c r="F2019" t="s">
        <v>55</v>
      </c>
      <c r="G2019" t="s">
        <v>56</v>
      </c>
      <c r="H2019" s="8">
        <v>159.25</v>
      </c>
      <c r="I2019" s="3">
        <f t="shared" si="125"/>
        <v>5.5E-2</v>
      </c>
      <c r="J2019" s="4">
        <v>5.5</v>
      </c>
      <c r="K2019" s="11">
        <f>Table1[[#This Row],[original_price]]* (Table1[[#This Row],[Markdown percentage updated]])</f>
        <v>8.7587500000000009</v>
      </c>
      <c r="L20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19" s="6">
        <v>150.49</v>
      </c>
      <c r="N20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019" s="7">
        <v>45875</v>
      </c>
      <c r="P2019">
        <v>8</v>
      </c>
      <c r="Q2019" s="17" t="str">
        <f>IF(Table1[[#This Row],[stock_quantity]]=0,"NO STOCK",
IF(Table1[[#This Row],[stock_quantity]]&lt;=10,"LOW STOCK",
"IN STOCK"))</f>
        <v>LOW STOCK</v>
      </c>
      <c r="R2019" s="1">
        <f t="shared" si="126"/>
        <v>0</v>
      </c>
      <c r="T2019" t="b">
        <v>0</v>
      </c>
      <c r="U2019" t="str">
        <f t="shared" si="127"/>
        <v>No Return</v>
      </c>
    </row>
    <row r="2020" spans="1:22" hidden="1" x14ac:dyDescent="0.3">
      <c r="A2020" t="s">
        <v>2073</v>
      </c>
      <c r="B2020" t="s">
        <v>38</v>
      </c>
      <c r="C2020" t="s">
        <v>53</v>
      </c>
      <c r="D2020" t="s">
        <v>23</v>
      </c>
      <c r="E2020" t="str">
        <f t="shared" si="124"/>
        <v>XS</v>
      </c>
      <c r="F2020" t="s">
        <v>58</v>
      </c>
      <c r="G2020" t="s">
        <v>70</v>
      </c>
      <c r="H2020" s="8">
        <v>84.29</v>
      </c>
      <c r="I2020" s="3">
        <f t="shared" si="125"/>
        <v>0</v>
      </c>
      <c r="J2020" s="4">
        <v>0</v>
      </c>
      <c r="K2020" s="11">
        <f>Table1[[#This Row],[original_price]]* (Table1[[#This Row],[Markdown percentage updated]])</f>
        <v>0</v>
      </c>
      <c r="L20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20" s="6">
        <v>84.29</v>
      </c>
      <c r="N20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20" s="7">
        <v>45875</v>
      </c>
      <c r="P2020">
        <v>4</v>
      </c>
      <c r="Q2020" s="17" t="str">
        <f>IF(Table1[[#This Row],[stock_quantity]]=0,"NO STOCK",
IF(Table1[[#This Row],[stock_quantity]]&lt;=10,"LOW STOCK",
"IN STOCK"))</f>
        <v>LOW STOCK</v>
      </c>
      <c r="R2020" s="1">
        <f t="shared" si="126"/>
        <v>2.8</v>
      </c>
      <c r="S2020">
        <v>2.8</v>
      </c>
      <c r="T2020" t="b">
        <v>0</v>
      </c>
      <c r="U2020" t="str">
        <f t="shared" si="127"/>
        <v>No Return</v>
      </c>
    </row>
    <row r="2021" spans="1:22" hidden="1" x14ac:dyDescent="0.3">
      <c r="A2021" t="s">
        <v>2074</v>
      </c>
      <c r="B2021" t="s">
        <v>27</v>
      </c>
      <c r="C2021" t="s">
        <v>75</v>
      </c>
      <c r="D2021" t="s">
        <v>23</v>
      </c>
      <c r="E2021" t="str">
        <f t="shared" si="124"/>
        <v>XS</v>
      </c>
      <c r="G2021" t="s">
        <v>19</v>
      </c>
      <c r="H2021" s="8">
        <v>38.86</v>
      </c>
      <c r="I2021" s="3">
        <f t="shared" si="125"/>
        <v>0</v>
      </c>
      <c r="J2021" s="4">
        <v>0</v>
      </c>
      <c r="K2021" s="11">
        <f>Table1[[#This Row],[original_price]]* (Table1[[#This Row],[Markdown percentage updated]])</f>
        <v>0</v>
      </c>
      <c r="L20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21" s="6">
        <v>38.86</v>
      </c>
      <c r="N20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21" s="7">
        <v>45875</v>
      </c>
      <c r="P2021">
        <v>44</v>
      </c>
      <c r="Q2021" s="16" t="str">
        <f>IF(Table1[[#This Row],[stock_quantity]]=0,"NO STOCK",
IF(Table1[[#This Row],[stock_quantity]]&lt;=10,"LOW STOCK",
"IN STOCK"))</f>
        <v>IN STOCK</v>
      </c>
      <c r="R2021" s="1">
        <f t="shared" si="126"/>
        <v>0</v>
      </c>
      <c r="T2021" t="b">
        <v>0</v>
      </c>
      <c r="U2021" t="str">
        <f t="shared" si="127"/>
        <v>No Return</v>
      </c>
    </row>
    <row r="2022" spans="1:22" hidden="1" x14ac:dyDescent="0.3">
      <c r="A2022" t="s">
        <v>2075</v>
      </c>
      <c r="B2022" t="s">
        <v>21</v>
      </c>
      <c r="C2022" t="s">
        <v>32</v>
      </c>
      <c r="D2022" t="s">
        <v>62</v>
      </c>
      <c r="E2022" t="str">
        <f t="shared" si="124"/>
        <v>OS</v>
      </c>
      <c r="F2022" t="s">
        <v>58</v>
      </c>
      <c r="G2022" t="s">
        <v>44</v>
      </c>
      <c r="H2022" s="8">
        <v>38.72</v>
      </c>
      <c r="I2022" s="3">
        <f t="shared" si="125"/>
        <v>0</v>
      </c>
      <c r="J2022" s="4">
        <v>0</v>
      </c>
      <c r="K2022" s="11">
        <f>Table1[[#This Row],[original_price]]* (Table1[[#This Row],[Markdown percentage updated]])</f>
        <v>0</v>
      </c>
      <c r="L20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22" s="6">
        <v>38.72</v>
      </c>
      <c r="N20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22" s="7">
        <v>45875</v>
      </c>
      <c r="P2022">
        <v>35</v>
      </c>
      <c r="Q2022" s="16" t="str">
        <f>IF(Table1[[#This Row],[stock_quantity]]=0,"NO STOCK",
IF(Table1[[#This Row],[stock_quantity]]&lt;=10,"LOW STOCK",
"IN STOCK"))</f>
        <v>IN STOCK</v>
      </c>
      <c r="R2022" s="1">
        <f t="shared" si="126"/>
        <v>4</v>
      </c>
      <c r="S2022">
        <v>4</v>
      </c>
      <c r="T2022" t="b">
        <v>0</v>
      </c>
      <c r="U2022" t="str">
        <f t="shared" si="127"/>
        <v>No Return</v>
      </c>
    </row>
    <row r="2023" spans="1:22" hidden="1" x14ac:dyDescent="0.3">
      <c r="A2023" t="s">
        <v>2076</v>
      </c>
      <c r="B2023" t="s">
        <v>42</v>
      </c>
      <c r="C2023" t="s">
        <v>16</v>
      </c>
      <c r="D2023" t="s">
        <v>23</v>
      </c>
      <c r="E2023" t="str">
        <f t="shared" si="124"/>
        <v>S</v>
      </c>
      <c r="F2023" t="s">
        <v>55</v>
      </c>
      <c r="G2023" t="s">
        <v>28</v>
      </c>
      <c r="H2023" s="8">
        <v>177.1</v>
      </c>
      <c r="I2023" s="3">
        <f t="shared" si="125"/>
        <v>0</v>
      </c>
      <c r="J2023" s="4">
        <v>0</v>
      </c>
      <c r="K2023" s="11">
        <f>Table1[[#This Row],[original_price]]* (Table1[[#This Row],[Markdown percentage updated]])</f>
        <v>0</v>
      </c>
      <c r="L20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23" s="6">
        <v>177.1</v>
      </c>
      <c r="N20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23" s="7">
        <v>45875</v>
      </c>
      <c r="P2023">
        <v>49</v>
      </c>
      <c r="Q2023" s="16" t="str">
        <f>IF(Table1[[#This Row],[stock_quantity]]=0,"NO STOCK",
IF(Table1[[#This Row],[stock_quantity]]&lt;=10,"LOW STOCK",
"IN STOCK"))</f>
        <v>IN STOCK</v>
      </c>
      <c r="R2023" s="1">
        <f t="shared" si="126"/>
        <v>1.6</v>
      </c>
      <c r="S2023">
        <v>1.6</v>
      </c>
      <c r="T2023" t="b">
        <v>0</v>
      </c>
      <c r="U2023" t="str">
        <f t="shared" si="127"/>
        <v>No Return</v>
      </c>
    </row>
    <row r="2024" spans="1:22" hidden="1" x14ac:dyDescent="0.3">
      <c r="A2024" t="s">
        <v>2077</v>
      </c>
      <c r="B2024" t="s">
        <v>38</v>
      </c>
      <c r="C2024" t="s">
        <v>75</v>
      </c>
      <c r="D2024" t="s">
        <v>17</v>
      </c>
      <c r="E2024" t="str">
        <f t="shared" si="124"/>
        <v>L</v>
      </c>
      <c r="F2024" t="s">
        <v>55</v>
      </c>
      <c r="G2024" t="s">
        <v>40</v>
      </c>
      <c r="H2024" s="8">
        <v>31.49</v>
      </c>
      <c r="I2024" s="3">
        <f t="shared" si="125"/>
        <v>0</v>
      </c>
      <c r="J2024" s="4">
        <v>0</v>
      </c>
      <c r="K2024" s="11">
        <f>Table1[[#This Row],[original_price]]* (Table1[[#This Row],[Markdown percentage updated]])</f>
        <v>0</v>
      </c>
      <c r="L20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24" s="6">
        <v>31.49</v>
      </c>
      <c r="N20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24" s="7">
        <v>45584</v>
      </c>
      <c r="P2024">
        <v>28</v>
      </c>
      <c r="Q2024" s="16" t="str">
        <f>IF(Table1[[#This Row],[stock_quantity]]=0,"NO STOCK",
IF(Table1[[#This Row],[stock_quantity]]&lt;=10,"LOW STOCK",
"IN STOCK"))</f>
        <v>IN STOCK</v>
      </c>
      <c r="R2024" s="1">
        <f t="shared" si="126"/>
        <v>0</v>
      </c>
      <c r="T2024" t="b">
        <v>0</v>
      </c>
      <c r="U2024" t="str">
        <f t="shared" si="127"/>
        <v>No Return</v>
      </c>
    </row>
    <row r="2025" spans="1:22" hidden="1" x14ac:dyDescent="0.3">
      <c r="A2025" t="s">
        <v>2078</v>
      </c>
      <c r="B2025" t="s">
        <v>21</v>
      </c>
      <c r="C2025" t="s">
        <v>22</v>
      </c>
      <c r="D2025" t="s">
        <v>62</v>
      </c>
      <c r="E2025" t="str">
        <f t="shared" si="124"/>
        <v>S</v>
      </c>
      <c r="G2025" t="s">
        <v>25</v>
      </c>
      <c r="H2025" s="8">
        <v>118.14</v>
      </c>
      <c r="I2025" s="3">
        <f t="shared" si="125"/>
        <v>0</v>
      </c>
      <c r="J2025" s="4">
        <v>0</v>
      </c>
      <c r="K2025" s="11">
        <f>Table1[[#This Row],[original_price]]* (Table1[[#This Row],[Markdown percentage updated]])</f>
        <v>0</v>
      </c>
      <c r="L20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25" s="6">
        <v>118.14</v>
      </c>
      <c r="N20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25" s="7">
        <v>45875</v>
      </c>
      <c r="P2025">
        <v>33</v>
      </c>
      <c r="Q2025" s="16" t="str">
        <f>IF(Table1[[#This Row],[stock_quantity]]=0,"NO STOCK",
IF(Table1[[#This Row],[stock_quantity]]&lt;=10,"LOW STOCK",
"IN STOCK"))</f>
        <v>IN STOCK</v>
      </c>
      <c r="R2025" s="1">
        <f t="shared" si="126"/>
        <v>2.4</v>
      </c>
      <c r="S2025">
        <v>2.4</v>
      </c>
      <c r="T2025" t="b">
        <v>0</v>
      </c>
      <c r="U2025" t="str">
        <f t="shared" si="127"/>
        <v>No Return</v>
      </c>
    </row>
    <row r="2026" spans="1:22" hidden="1" x14ac:dyDescent="0.3">
      <c r="A2026" t="s">
        <v>2079</v>
      </c>
      <c r="B2026" t="s">
        <v>21</v>
      </c>
      <c r="C2026" t="s">
        <v>61</v>
      </c>
      <c r="D2026" t="s">
        <v>17</v>
      </c>
      <c r="E2026" t="str">
        <f t="shared" si="124"/>
        <v>OS</v>
      </c>
      <c r="F2026" t="s">
        <v>39</v>
      </c>
      <c r="G2026" t="s">
        <v>46</v>
      </c>
      <c r="H2026" s="8">
        <v>26.51</v>
      </c>
      <c r="I2026" s="3">
        <f t="shared" si="125"/>
        <v>0.24</v>
      </c>
      <c r="J2026" s="4">
        <v>24</v>
      </c>
      <c r="K2026" s="11">
        <f>Table1[[#This Row],[original_price]]* (Table1[[#This Row],[Markdown percentage updated]])</f>
        <v>6.3624000000000001</v>
      </c>
      <c r="L20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026" s="6">
        <v>20.149999999999999</v>
      </c>
      <c r="N20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026" s="7">
        <v>45801</v>
      </c>
      <c r="P2026">
        <v>1</v>
      </c>
      <c r="Q2026" s="17" t="str">
        <f>IF(Table1[[#This Row],[stock_quantity]]=0,"NO STOCK",
IF(Table1[[#This Row],[stock_quantity]]&lt;=10,"LOW STOCK",
"IN STOCK"))</f>
        <v>LOW STOCK</v>
      </c>
      <c r="R2026" s="1">
        <f t="shared" si="126"/>
        <v>4.7</v>
      </c>
      <c r="S2026">
        <v>4.7</v>
      </c>
      <c r="T2026" t="b">
        <v>0</v>
      </c>
      <c r="U2026" t="str">
        <f t="shared" si="127"/>
        <v>No Return</v>
      </c>
    </row>
    <row r="2027" spans="1:22" hidden="1" x14ac:dyDescent="0.3">
      <c r="A2027" t="s">
        <v>2080</v>
      </c>
      <c r="B2027" t="s">
        <v>21</v>
      </c>
      <c r="C2027" t="s">
        <v>75</v>
      </c>
      <c r="D2027" t="s">
        <v>34</v>
      </c>
      <c r="E2027" t="str">
        <f t="shared" si="124"/>
        <v>S</v>
      </c>
      <c r="F2027" t="s">
        <v>24</v>
      </c>
      <c r="G2027" t="s">
        <v>44</v>
      </c>
      <c r="H2027" s="8">
        <v>29.61</v>
      </c>
      <c r="I2027" s="3">
        <f t="shared" si="125"/>
        <v>0</v>
      </c>
      <c r="J2027" s="4">
        <v>0</v>
      </c>
      <c r="K2027" s="11">
        <f>Table1[[#This Row],[original_price]]* (Table1[[#This Row],[Markdown percentage updated]])</f>
        <v>0</v>
      </c>
      <c r="L20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27" s="6">
        <v>29.61</v>
      </c>
      <c r="N20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27" s="7">
        <v>45875</v>
      </c>
      <c r="P2027">
        <v>9</v>
      </c>
      <c r="Q2027" s="17" t="str">
        <f>IF(Table1[[#This Row],[stock_quantity]]=0,"NO STOCK",
IF(Table1[[#This Row],[stock_quantity]]&lt;=10,"LOW STOCK",
"IN STOCK"))</f>
        <v>LOW STOCK</v>
      </c>
      <c r="R2027" s="1">
        <f t="shared" si="126"/>
        <v>1</v>
      </c>
      <c r="S2027">
        <v>1</v>
      </c>
      <c r="T2027" t="b">
        <v>0</v>
      </c>
      <c r="U2027" t="str">
        <f t="shared" si="127"/>
        <v>No Return</v>
      </c>
    </row>
    <row r="2028" spans="1:22" hidden="1" x14ac:dyDescent="0.3">
      <c r="A2028" t="s">
        <v>2081</v>
      </c>
      <c r="B2028" t="s">
        <v>15</v>
      </c>
      <c r="C2028" t="s">
        <v>53</v>
      </c>
      <c r="D2028" t="s">
        <v>62</v>
      </c>
      <c r="E2028" t="str">
        <f t="shared" si="124"/>
        <v>OS</v>
      </c>
      <c r="F2028" t="s">
        <v>39</v>
      </c>
      <c r="G2028" t="s">
        <v>40</v>
      </c>
      <c r="H2028" s="8">
        <v>244.13</v>
      </c>
      <c r="I2028" s="3">
        <f t="shared" si="125"/>
        <v>0</v>
      </c>
      <c r="J2028" s="4">
        <v>0</v>
      </c>
      <c r="K2028" s="11">
        <f>Table1[[#This Row],[original_price]]* (Table1[[#This Row],[Markdown percentage updated]])</f>
        <v>0</v>
      </c>
      <c r="L20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28" s="6">
        <v>244.13</v>
      </c>
      <c r="N20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28" s="7">
        <v>45875</v>
      </c>
      <c r="P2028">
        <v>2</v>
      </c>
      <c r="Q2028" s="17" t="str">
        <f>IF(Table1[[#This Row],[stock_quantity]]=0,"NO STOCK",
IF(Table1[[#This Row],[stock_quantity]]&lt;=10,"LOW STOCK",
"IN STOCK"))</f>
        <v>LOW STOCK</v>
      </c>
      <c r="R2028" s="1">
        <f t="shared" si="126"/>
        <v>3.5</v>
      </c>
      <c r="S2028">
        <v>3.5</v>
      </c>
      <c r="T2028" t="b">
        <v>1</v>
      </c>
      <c r="U2028" s="13" t="str">
        <f t="shared" si="127"/>
        <v>Size Issue</v>
      </c>
      <c r="V2028" t="s">
        <v>73</v>
      </c>
    </row>
    <row r="2029" spans="1:22" hidden="1" x14ac:dyDescent="0.3">
      <c r="A2029" t="s">
        <v>2082</v>
      </c>
      <c r="B2029" t="s">
        <v>27</v>
      </c>
      <c r="C2029" t="s">
        <v>61</v>
      </c>
      <c r="D2029" t="s">
        <v>17</v>
      </c>
      <c r="E2029" t="str">
        <f t="shared" si="124"/>
        <v>XXL</v>
      </c>
      <c r="G2029" t="s">
        <v>35</v>
      </c>
      <c r="H2029" s="8">
        <v>16.54</v>
      </c>
      <c r="I2029" s="3">
        <f t="shared" si="125"/>
        <v>0</v>
      </c>
      <c r="J2029" s="4">
        <v>0</v>
      </c>
      <c r="K2029" s="11">
        <f>Table1[[#This Row],[original_price]]* (Table1[[#This Row],[Markdown percentage updated]])</f>
        <v>0</v>
      </c>
      <c r="L20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29" s="6">
        <v>16.54</v>
      </c>
      <c r="N20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29" s="7">
        <v>45773</v>
      </c>
      <c r="P2029">
        <v>30</v>
      </c>
      <c r="Q2029" s="16" t="str">
        <f>IF(Table1[[#This Row],[stock_quantity]]=0,"NO STOCK",
IF(Table1[[#This Row],[stock_quantity]]&lt;=10,"LOW STOCK",
"IN STOCK"))</f>
        <v>IN STOCK</v>
      </c>
      <c r="R2029" s="1">
        <f t="shared" si="126"/>
        <v>0</v>
      </c>
      <c r="T2029" t="b">
        <v>0</v>
      </c>
      <c r="U2029" t="str">
        <f t="shared" si="127"/>
        <v>No Return</v>
      </c>
    </row>
    <row r="2030" spans="1:22" hidden="1" x14ac:dyDescent="0.3">
      <c r="A2030" t="s">
        <v>2083</v>
      </c>
      <c r="B2030" t="s">
        <v>21</v>
      </c>
      <c r="C2030" t="s">
        <v>16</v>
      </c>
      <c r="D2030" t="s">
        <v>34</v>
      </c>
      <c r="E2030" t="str">
        <f t="shared" si="124"/>
        <v>OS</v>
      </c>
      <c r="F2030" t="s">
        <v>39</v>
      </c>
      <c r="G2030" t="s">
        <v>35</v>
      </c>
      <c r="H2030" s="8">
        <v>100.98</v>
      </c>
      <c r="I2030" s="3">
        <f t="shared" si="125"/>
        <v>0</v>
      </c>
      <c r="J2030" s="4">
        <v>0</v>
      </c>
      <c r="K2030" s="11">
        <f>Table1[[#This Row],[original_price]]* (Table1[[#This Row],[Markdown percentage updated]])</f>
        <v>0</v>
      </c>
      <c r="L20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30" s="6">
        <v>100.98</v>
      </c>
      <c r="N20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30" s="7">
        <v>45875</v>
      </c>
      <c r="P2030">
        <v>41</v>
      </c>
      <c r="Q2030" s="16" t="str">
        <f>IF(Table1[[#This Row],[stock_quantity]]=0,"NO STOCK",
IF(Table1[[#This Row],[stock_quantity]]&lt;=10,"LOW STOCK",
"IN STOCK"))</f>
        <v>IN STOCK</v>
      </c>
      <c r="R2030" s="1">
        <f t="shared" si="126"/>
        <v>0</v>
      </c>
      <c r="T2030" t="b">
        <v>0</v>
      </c>
      <c r="U2030" t="str">
        <f t="shared" si="127"/>
        <v>No Return</v>
      </c>
    </row>
    <row r="2031" spans="1:22" hidden="1" x14ac:dyDescent="0.3">
      <c r="A2031" t="s">
        <v>2084</v>
      </c>
      <c r="B2031" t="s">
        <v>15</v>
      </c>
      <c r="C2031" t="s">
        <v>22</v>
      </c>
      <c r="D2031" t="s">
        <v>23</v>
      </c>
      <c r="E2031" t="str">
        <f t="shared" si="124"/>
        <v>M</v>
      </c>
      <c r="G2031" t="s">
        <v>40</v>
      </c>
      <c r="H2031" s="8">
        <v>175.42</v>
      </c>
      <c r="I2031" s="3">
        <f t="shared" si="125"/>
        <v>0</v>
      </c>
      <c r="J2031" s="4">
        <v>0</v>
      </c>
      <c r="K2031" s="11">
        <f>Table1[[#This Row],[original_price]]* (Table1[[#This Row],[Markdown percentage updated]])</f>
        <v>0</v>
      </c>
      <c r="L20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31" s="6">
        <v>175.42</v>
      </c>
      <c r="N20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31" s="7">
        <v>45875</v>
      </c>
      <c r="P2031">
        <v>5</v>
      </c>
      <c r="Q2031" s="17" t="str">
        <f>IF(Table1[[#This Row],[stock_quantity]]=0,"NO STOCK",
IF(Table1[[#This Row],[stock_quantity]]&lt;=10,"LOW STOCK",
"IN STOCK"))</f>
        <v>LOW STOCK</v>
      </c>
      <c r="R2031" s="1">
        <f t="shared" si="126"/>
        <v>3.6</v>
      </c>
      <c r="S2031">
        <v>3.6</v>
      </c>
      <c r="T2031" t="b">
        <v>0</v>
      </c>
      <c r="U2031" t="str">
        <f t="shared" si="127"/>
        <v>No Return</v>
      </c>
    </row>
    <row r="2032" spans="1:22" hidden="1" x14ac:dyDescent="0.3">
      <c r="A2032" t="s">
        <v>2085</v>
      </c>
      <c r="B2032" t="s">
        <v>42</v>
      </c>
      <c r="C2032" t="s">
        <v>53</v>
      </c>
      <c r="D2032" t="s">
        <v>17</v>
      </c>
      <c r="E2032" t="str">
        <f t="shared" si="124"/>
        <v>S</v>
      </c>
      <c r="F2032" t="s">
        <v>49</v>
      </c>
      <c r="G2032" t="s">
        <v>25</v>
      </c>
      <c r="H2032" s="8">
        <v>133.15</v>
      </c>
      <c r="I2032" s="3">
        <f t="shared" si="125"/>
        <v>0.20300000000000001</v>
      </c>
      <c r="J2032" s="4">
        <v>20.3</v>
      </c>
      <c r="K2032" s="11">
        <f>Table1[[#This Row],[original_price]]* (Table1[[#This Row],[Markdown percentage updated]])</f>
        <v>27.029450000000004</v>
      </c>
      <c r="L20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032" s="6">
        <v>106.12</v>
      </c>
      <c r="N20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32" s="7">
        <v>45811</v>
      </c>
      <c r="P2032">
        <v>9</v>
      </c>
      <c r="Q2032" s="17" t="str">
        <f>IF(Table1[[#This Row],[stock_quantity]]=0,"NO STOCK",
IF(Table1[[#This Row],[stock_quantity]]&lt;=10,"LOW STOCK",
"IN STOCK"))</f>
        <v>LOW STOCK</v>
      </c>
      <c r="R2032" s="1">
        <f t="shared" si="126"/>
        <v>3.2</v>
      </c>
      <c r="S2032">
        <v>3.2</v>
      </c>
      <c r="T2032" t="b">
        <v>0</v>
      </c>
      <c r="U2032" t="str">
        <f t="shared" si="127"/>
        <v>No Return</v>
      </c>
    </row>
    <row r="2033" spans="1:22" hidden="1" x14ac:dyDescent="0.3">
      <c r="A2033" t="s">
        <v>2086</v>
      </c>
      <c r="B2033" t="s">
        <v>42</v>
      </c>
      <c r="C2033" t="s">
        <v>22</v>
      </c>
      <c r="D2033" t="s">
        <v>34</v>
      </c>
      <c r="E2033" t="str">
        <f t="shared" si="124"/>
        <v>L</v>
      </c>
      <c r="G2033" t="s">
        <v>25</v>
      </c>
      <c r="H2033" s="8">
        <v>94.21</v>
      </c>
      <c r="I2033" s="3">
        <f t="shared" si="125"/>
        <v>0.44700000000000001</v>
      </c>
      <c r="J2033" s="4">
        <v>44.7</v>
      </c>
      <c r="K2033" s="11">
        <f>Table1[[#This Row],[original_price]]* (Table1[[#This Row],[Markdown percentage updated]])</f>
        <v>42.111869999999996</v>
      </c>
      <c r="L20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33" s="6">
        <v>52.1</v>
      </c>
      <c r="N20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33" s="7">
        <v>45875</v>
      </c>
      <c r="P2033">
        <v>48</v>
      </c>
      <c r="Q2033" s="16" t="str">
        <f>IF(Table1[[#This Row],[stock_quantity]]=0,"NO STOCK",
IF(Table1[[#This Row],[stock_quantity]]&lt;=10,"LOW STOCK",
"IN STOCK"))</f>
        <v>IN STOCK</v>
      </c>
      <c r="R2033" s="1">
        <f t="shared" si="126"/>
        <v>4.3</v>
      </c>
      <c r="S2033">
        <v>4.3</v>
      </c>
      <c r="T2033" t="b">
        <v>0</v>
      </c>
      <c r="U2033" t="str">
        <f t="shared" si="127"/>
        <v>No Return</v>
      </c>
    </row>
    <row r="2034" spans="1:22" hidden="1" x14ac:dyDescent="0.3">
      <c r="A2034" t="s">
        <v>2087</v>
      </c>
      <c r="B2034" t="s">
        <v>21</v>
      </c>
      <c r="C2034" t="s">
        <v>75</v>
      </c>
      <c r="D2034" t="s">
        <v>23</v>
      </c>
      <c r="E2034" t="str">
        <f t="shared" si="124"/>
        <v>OS</v>
      </c>
      <c r="F2034" t="s">
        <v>58</v>
      </c>
      <c r="G2034" t="s">
        <v>25</v>
      </c>
      <c r="H2034" s="8">
        <v>115.44</v>
      </c>
      <c r="I2034" s="3">
        <f t="shared" si="125"/>
        <v>0</v>
      </c>
      <c r="J2034" s="4">
        <v>0</v>
      </c>
      <c r="K2034" s="11">
        <f>Table1[[#This Row],[original_price]]* (Table1[[#This Row],[Markdown percentage updated]])</f>
        <v>0</v>
      </c>
      <c r="L20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34" s="6">
        <v>115.44</v>
      </c>
      <c r="N20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34" s="7">
        <v>45875</v>
      </c>
      <c r="P2034">
        <v>21</v>
      </c>
      <c r="Q2034" s="16" t="str">
        <f>IF(Table1[[#This Row],[stock_quantity]]=0,"NO STOCK",
IF(Table1[[#This Row],[stock_quantity]]&lt;=10,"LOW STOCK",
"IN STOCK"))</f>
        <v>IN STOCK</v>
      </c>
      <c r="R2034" s="1">
        <f t="shared" si="126"/>
        <v>1.2</v>
      </c>
      <c r="S2034">
        <v>1.2</v>
      </c>
      <c r="T2034" t="b">
        <v>0</v>
      </c>
      <c r="U2034" t="str">
        <f t="shared" si="127"/>
        <v>No Return</v>
      </c>
    </row>
    <row r="2035" spans="1:22" hidden="1" x14ac:dyDescent="0.3">
      <c r="A2035" t="s">
        <v>2088</v>
      </c>
      <c r="B2035" t="s">
        <v>15</v>
      </c>
      <c r="C2035" t="s">
        <v>16</v>
      </c>
      <c r="D2035" t="s">
        <v>17</v>
      </c>
      <c r="E2035" t="str">
        <f t="shared" si="124"/>
        <v>XL</v>
      </c>
      <c r="F2035" t="s">
        <v>39</v>
      </c>
      <c r="G2035" t="s">
        <v>35</v>
      </c>
      <c r="H2035" s="8">
        <v>194.39</v>
      </c>
      <c r="I2035" s="3">
        <f t="shared" si="125"/>
        <v>0.26500000000000001</v>
      </c>
      <c r="J2035" s="4">
        <v>26.5</v>
      </c>
      <c r="K2035" s="11">
        <f>Table1[[#This Row],[original_price]]* (Table1[[#This Row],[Markdown percentage updated]])</f>
        <v>51.513349999999996</v>
      </c>
      <c r="L20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035" s="6">
        <v>142.88</v>
      </c>
      <c r="N20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35" s="7">
        <v>45762</v>
      </c>
      <c r="P2035">
        <v>12</v>
      </c>
      <c r="Q2035" s="16" t="str">
        <f>IF(Table1[[#This Row],[stock_quantity]]=0,"NO STOCK",
IF(Table1[[#This Row],[stock_quantity]]&lt;=10,"LOW STOCK",
"IN STOCK"))</f>
        <v>IN STOCK</v>
      </c>
      <c r="R2035" s="1">
        <f t="shared" si="126"/>
        <v>1.2</v>
      </c>
      <c r="S2035">
        <v>1.2</v>
      </c>
      <c r="T2035" t="b">
        <v>0</v>
      </c>
      <c r="U2035" t="str">
        <f t="shared" si="127"/>
        <v>No Return</v>
      </c>
    </row>
    <row r="2036" spans="1:22" hidden="1" x14ac:dyDescent="0.3">
      <c r="A2036" t="s">
        <v>2089</v>
      </c>
      <c r="B2036" t="s">
        <v>30</v>
      </c>
      <c r="C2036" t="s">
        <v>32</v>
      </c>
      <c r="D2036" t="s">
        <v>17</v>
      </c>
      <c r="E2036" t="str">
        <f t="shared" si="124"/>
        <v>OS</v>
      </c>
      <c r="F2036" t="s">
        <v>24</v>
      </c>
      <c r="G2036" t="s">
        <v>35</v>
      </c>
      <c r="H2036" s="8">
        <v>132.38999999999999</v>
      </c>
      <c r="I2036" s="3">
        <f t="shared" si="125"/>
        <v>0.27600000000000002</v>
      </c>
      <c r="J2036" s="4">
        <v>27.6</v>
      </c>
      <c r="K2036" s="11">
        <f>Table1[[#This Row],[original_price]]* (Table1[[#This Row],[Markdown percentage updated]])</f>
        <v>36.539639999999999</v>
      </c>
      <c r="L20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036" s="6">
        <v>95.85</v>
      </c>
      <c r="N20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36" s="7">
        <v>45596</v>
      </c>
      <c r="P2036">
        <v>16</v>
      </c>
      <c r="Q2036" s="16" t="str">
        <f>IF(Table1[[#This Row],[stock_quantity]]=0,"NO STOCK",
IF(Table1[[#This Row],[stock_quantity]]&lt;=10,"LOW STOCK",
"IN STOCK"))</f>
        <v>IN STOCK</v>
      </c>
      <c r="R2036" s="1">
        <f t="shared" si="126"/>
        <v>0</v>
      </c>
      <c r="T2036" t="b">
        <v>0</v>
      </c>
      <c r="U2036" t="str">
        <f t="shared" si="127"/>
        <v>No Return</v>
      </c>
    </row>
    <row r="2037" spans="1:22" hidden="1" x14ac:dyDescent="0.3">
      <c r="A2037" t="s">
        <v>2090</v>
      </c>
      <c r="B2037" t="s">
        <v>27</v>
      </c>
      <c r="C2037" t="s">
        <v>22</v>
      </c>
      <c r="D2037" t="s">
        <v>17</v>
      </c>
      <c r="E2037" t="str">
        <f t="shared" si="124"/>
        <v>XL</v>
      </c>
      <c r="G2037" t="s">
        <v>19</v>
      </c>
      <c r="H2037" s="8">
        <v>52.54</v>
      </c>
      <c r="I2037" s="3">
        <f t="shared" si="125"/>
        <v>0.14599999999999999</v>
      </c>
      <c r="J2037" s="4">
        <v>14.6</v>
      </c>
      <c r="K2037" s="11">
        <f>Table1[[#This Row],[original_price]]* (Table1[[#This Row],[Markdown percentage updated]])</f>
        <v>7.6708399999999992</v>
      </c>
      <c r="L20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37" s="6">
        <v>44.87</v>
      </c>
      <c r="N20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037" s="7">
        <v>45552</v>
      </c>
      <c r="P2037">
        <v>7</v>
      </c>
      <c r="Q2037" s="17" t="str">
        <f>IF(Table1[[#This Row],[stock_quantity]]=0,"NO STOCK",
IF(Table1[[#This Row],[stock_quantity]]&lt;=10,"LOW STOCK",
"IN STOCK"))</f>
        <v>LOW STOCK</v>
      </c>
      <c r="R2037" s="1">
        <f t="shared" si="126"/>
        <v>1.4</v>
      </c>
      <c r="S2037">
        <v>1.4</v>
      </c>
      <c r="T2037" t="b">
        <v>0</v>
      </c>
      <c r="U2037" t="str">
        <f t="shared" si="127"/>
        <v>No Return</v>
      </c>
    </row>
    <row r="2038" spans="1:22" hidden="1" x14ac:dyDescent="0.3">
      <c r="A2038" t="s">
        <v>2091</v>
      </c>
      <c r="B2038" t="s">
        <v>42</v>
      </c>
      <c r="C2038" t="s">
        <v>22</v>
      </c>
      <c r="D2038" t="s">
        <v>17</v>
      </c>
      <c r="E2038" t="str">
        <f t="shared" si="124"/>
        <v>S</v>
      </c>
      <c r="F2038" t="s">
        <v>18</v>
      </c>
      <c r="G2038" t="s">
        <v>28</v>
      </c>
      <c r="H2038" s="8">
        <v>165.01</v>
      </c>
      <c r="I2038" s="3">
        <f t="shared" si="125"/>
        <v>0.41200000000000003</v>
      </c>
      <c r="J2038" s="4">
        <v>41.2</v>
      </c>
      <c r="K2038" s="11">
        <f>Table1[[#This Row],[original_price]]* (Table1[[#This Row],[Markdown percentage updated]])</f>
        <v>67.984120000000004</v>
      </c>
      <c r="L20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38" s="6">
        <v>97.03</v>
      </c>
      <c r="N20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38" s="7">
        <v>45584</v>
      </c>
      <c r="P2038">
        <v>22</v>
      </c>
      <c r="Q2038" s="16" t="str">
        <f>IF(Table1[[#This Row],[stock_quantity]]=0,"NO STOCK",
IF(Table1[[#This Row],[stock_quantity]]&lt;=10,"LOW STOCK",
"IN STOCK"))</f>
        <v>IN STOCK</v>
      </c>
      <c r="R2038" s="1">
        <f t="shared" si="126"/>
        <v>0</v>
      </c>
      <c r="T2038" t="b">
        <v>0</v>
      </c>
      <c r="U2038" t="str">
        <f t="shared" si="127"/>
        <v>No Return</v>
      </c>
    </row>
    <row r="2039" spans="1:22" hidden="1" x14ac:dyDescent="0.3">
      <c r="A2039" t="s">
        <v>2092</v>
      </c>
      <c r="B2039" t="s">
        <v>27</v>
      </c>
      <c r="C2039" t="s">
        <v>53</v>
      </c>
      <c r="D2039" t="s">
        <v>17</v>
      </c>
      <c r="E2039" t="str">
        <f t="shared" si="124"/>
        <v>XL</v>
      </c>
      <c r="G2039" t="s">
        <v>66</v>
      </c>
      <c r="H2039" s="8">
        <v>42.94</v>
      </c>
      <c r="I2039" s="3">
        <f t="shared" si="125"/>
        <v>0.34299999999999997</v>
      </c>
      <c r="J2039" s="4">
        <v>34.299999999999997</v>
      </c>
      <c r="K2039" s="11">
        <f>Table1[[#This Row],[original_price]]* (Table1[[#This Row],[Markdown percentage updated]])</f>
        <v>14.728419999999998</v>
      </c>
      <c r="L20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39" s="6">
        <v>28.21</v>
      </c>
      <c r="N20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039" s="7">
        <v>45648</v>
      </c>
      <c r="P2039">
        <v>41</v>
      </c>
      <c r="Q2039" s="16" t="str">
        <f>IF(Table1[[#This Row],[stock_quantity]]=0,"NO STOCK",
IF(Table1[[#This Row],[stock_quantity]]&lt;=10,"LOW STOCK",
"IN STOCK"))</f>
        <v>IN STOCK</v>
      </c>
      <c r="R2039" s="1">
        <f t="shared" si="126"/>
        <v>0</v>
      </c>
      <c r="T2039" t="b">
        <v>0</v>
      </c>
      <c r="U2039" t="str">
        <f t="shared" si="127"/>
        <v>No Return</v>
      </c>
    </row>
    <row r="2040" spans="1:22" hidden="1" x14ac:dyDescent="0.3">
      <c r="A2040" t="s">
        <v>2093</v>
      </c>
      <c r="B2040" t="s">
        <v>21</v>
      </c>
      <c r="C2040" t="s">
        <v>22</v>
      </c>
      <c r="D2040" t="s">
        <v>34</v>
      </c>
      <c r="E2040" t="str">
        <f t="shared" si="124"/>
        <v>S</v>
      </c>
      <c r="F2040" t="s">
        <v>18</v>
      </c>
      <c r="G2040" t="s">
        <v>56</v>
      </c>
      <c r="H2040" s="8">
        <v>72.78</v>
      </c>
      <c r="I2040" s="3">
        <f t="shared" si="125"/>
        <v>0</v>
      </c>
      <c r="J2040" s="4">
        <v>0</v>
      </c>
      <c r="K2040" s="11">
        <f>Table1[[#This Row],[original_price]]* (Table1[[#This Row],[Markdown percentage updated]])</f>
        <v>0</v>
      </c>
      <c r="L20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40" s="6">
        <v>72.78</v>
      </c>
      <c r="N20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40" s="7">
        <v>45875</v>
      </c>
      <c r="P2040">
        <v>49</v>
      </c>
      <c r="Q2040" s="16" t="str">
        <f>IF(Table1[[#This Row],[stock_quantity]]=0,"NO STOCK",
IF(Table1[[#This Row],[stock_quantity]]&lt;=10,"LOW STOCK",
"IN STOCK"))</f>
        <v>IN STOCK</v>
      </c>
      <c r="R2040" s="1">
        <f t="shared" si="126"/>
        <v>3.1</v>
      </c>
      <c r="S2040">
        <v>3.1</v>
      </c>
      <c r="T2040" t="b">
        <v>0</v>
      </c>
      <c r="U2040" t="str">
        <f t="shared" si="127"/>
        <v>No Return</v>
      </c>
    </row>
    <row r="2041" spans="1:22" hidden="1" x14ac:dyDescent="0.3">
      <c r="A2041" t="s">
        <v>2094</v>
      </c>
      <c r="B2041" t="s">
        <v>30</v>
      </c>
      <c r="C2041" t="s">
        <v>22</v>
      </c>
      <c r="D2041" t="s">
        <v>34</v>
      </c>
      <c r="E2041" t="str">
        <f t="shared" si="124"/>
        <v>L</v>
      </c>
      <c r="F2041" t="s">
        <v>39</v>
      </c>
      <c r="G2041" t="s">
        <v>19</v>
      </c>
      <c r="H2041" s="8">
        <v>189.32</v>
      </c>
      <c r="I2041" s="3">
        <f t="shared" si="125"/>
        <v>0</v>
      </c>
      <c r="J2041" s="4">
        <v>0</v>
      </c>
      <c r="K2041" s="11">
        <f>Table1[[#This Row],[original_price]]* (Table1[[#This Row],[Markdown percentage updated]])</f>
        <v>0</v>
      </c>
      <c r="L20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41" s="6">
        <v>189.32</v>
      </c>
      <c r="N20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41" s="7">
        <v>45875</v>
      </c>
      <c r="P2041">
        <v>35</v>
      </c>
      <c r="Q2041" s="16" t="str">
        <f>IF(Table1[[#This Row],[stock_quantity]]=0,"NO STOCK",
IF(Table1[[#This Row],[stock_quantity]]&lt;=10,"LOW STOCK",
"IN STOCK"))</f>
        <v>IN STOCK</v>
      </c>
      <c r="R2041" s="1">
        <f t="shared" si="126"/>
        <v>2.5</v>
      </c>
      <c r="S2041">
        <v>2.5</v>
      </c>
      <c r="T2041" t="b">
        <v>0</v>
      </c>
      <c r="U2041" t="str">
        <f t="shared" si="127"/>
        <v>No Return</v>
      </c>
    </row>
    <row r="2042" spans="1:22" hidden="1" x14ac:dyDescent="0.3">
      <c r="A2042" t="s">
        <v>2095</v>
      </c>
      <c r="B2042" t="s">
        <v>42</v>
      </c>
      <c r="C2042" t="s">
        <v>53</v>
      </c>
      <c r="D2042" t="s">
        <v>62</v>
      </c>
      <c r="E2042" t="str">
        <f t="shared" si="124"/>
        <v>L</v>
      </c>
      <c r="F2042" t="s">
        <v>18</v>
      </c>
      <c r="G2042" t="s">
        <v>35</v>
      </c>
      <c r="H2042" s="8">
        <v>157</v>
      </c>
      <c r="I2042" s="3">
        <f t="shared" si="125"/>
        <v>0.55700000000000005</v>
      </c>
      <c r="J2042" s="4">
        <v>55.7</v>
      </c>
      <c r="K2042" s="11">
        <f>Table1[[#This Row],[original_price]]* (Table1[[#This Row],[Markdown percentage updated]])</f>
        <v>87.449000000000012</v>
      </c>
      <c r="L20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42" s="6">
        <v>69.55</v>
      </c>
      <c r="N20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42" s="7">
        <v>45875</v>
      </c>
      <c r="P2042">
        <v>6</v>
      </c>
      <c r="Q2042" s="17" t="str">
        <f>IF(Table1[[#This Row],[stock_quantity]]=0,"NO STOCK",
IF(Table1[[#This Row],[stock_quantity]]&lt;=10,"LOW STOCK",
"IN STOCK"))</f>
        <v>LOW STOCK</v>
      </c>
      <c r="R2042" s="1">
        <f t="shared" si="126"/>
        <v>2.1</v>
      </c>
      <c r="S2042">
        <v>2.1</v>
      </c>
      <c r="T2042" t="b">
        <v>0</v>
      </c>
      <c r="U2042" t="str">
        <f t="shared" si="127"/>
        <v>No Return</v>
      </c>
    </row>
    <row r="2043" spans="1:22" hidden="1" x14ac:dyDescent="0.3">
      <c r="A2043" t="s">
        <v>2096</v>
      </c>
      <c r="B2043" t="s">
        <v>21</v>
      </c>
      <c r="C2043" t="s">
        <v>61</v>
      </c>
      <c r="D2043" t="s">
        <v>17</v>
      </c>
      <c r="E2043" t="str">
        <f t="shared" si="124"/>
        <v>M</v>
      </c>
      <c r="F2043" t="s">
        <v>39</v>
      </c>
      <c r="G2043" t="s">
        <v>66</v>
      </c>
      <c r="H2043" s="8">
        <v>28.73</v>
      </c>
      <c r="I2043" s="3">
        <f t="shared" si="125"/>
        <v>0.26400000000000001</v>
      </c>
      <c r="J2043" s="4">
        <v>26.4</v>
      </c>
      <c r="K2043" s="11">
        <f>Table1[[#This Row],[original_price]]* (Table1[[#This Row],[Markdown percentage updated]])</f>
        <v>7.5847200000000008</v>
      </c>
      <c r="L20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043" s="6">
        <v>21.15</v>
      </c>
      <c r="N20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043" s="7">
        <v>45575</v>
      </c>
      <c r="P2043">
        <v>47</v>
      </c>
      <c r="Q2043" s="16" t="str">
        <f>IF(Table1[[#This Row],[stock_quantity]]=0,"NO STOCK",
IF(Table1[[#This Row],[stock_quantity]]&lt;=10,"LOW STOCK",
"IN STOCK"))</f>
        <v>IN STOCK</v>
      </c>
      <c r="R2043" s="1">
        <f t="shared" si="126"/>
        <v>2.2999999999999998</v>
      </c>
      <c r="S2043">
        <v>2.2999999999999998</v>
      </c>
      <c r="T2043" t="b">
        <v>1</v>
      </c>
      <c r="U2043" s="13" t="str">
        <f t="shared" si="127"/>
        <v>Size Issue</v>
      </c>
      <c r="V2043" t="s">
        <v>73</v>
      </c>
    </row>
    <row r="2044" spans="1:22" hidden="1" x14ac:dyDescent="0.3">
      <c r="A2044" t="s">
        <v>2097</v>
      </c>
      <c r="B2044" t="s">
        <v>15</v>
      </c>
      <c r="C2044" t="s">
        <v>75</v>
      </c>
      <c r="D2044" t="s">
        <v>23</v>
      </c>
      <c r="E2044" t="str">
        <f t="shared" si="124"/>
        <v>XXL</v>
      </c>
      <c r="F2044" t="s">
        <v>24</v>
      </c>
      <c r="G2044" t="s">
        <v>40</v>
      </c>
      <c r="H2044" s="8">
        <v>144.63999999999999</v>
      </c>
      <c r="I2044" s="3">
        <f t="shared" si="125"/>
        <v>0</v>
      </c>
      <c r="J2044" s="4">
        <v>0</v>
      </c>
      <c r="K2044" s="11">
        <f>Table1[[#This Row],[original_price]]* (Table1[[#This Row],[Markdown percentage updated]])</f>
        <v>0</v>
      </c>
      <c r="L20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44" s="6">
        <v>144.63999999999999</v>
      </c>
      <c r="N20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44" s="7">
        <v>45875</v>
      </c>
      <c r="P2044">
        <v>0</v>
      </c>
      <c r="Q2044" s="13" t="str">
        <f>IF(Table1[[#This Row],[stock_quantity]]=0,"NO STOCK",
IF(Table1[[#This Row],[stock_quantity]]&lt;=10,"LOW STOCK",
"IN STOCK"))</f>
        <v>NO STOCK</v>
      </c>
      <c r="R2044" s="1">
        <f t="shared" si="126"/>
        <v>4.5</v>
      </c>
      <c r="S2044">
        <v>4.5</v>
      </c>
      <c r="T2044" t="b">
        <v>0</v>
      </c>
      <c r="U2044" t="str">
        <f t="shared" si="127"/>
        <v>No Return</v>
      </c>
    </row>
    <row r="2045" spans="1:22" hidden="1" x14ac:dyDescent="0.3">
      <c r="A2045" t="s">
        <v>2098</v>
      </c>
      <c r="B2045" t="s">
        <v>30</v>
      </c>
      <c r="C2045" t="s">
        <v>32</v>
      </c>
      <c r="D2045" t="s">
        <v>34</v>
      </c>
      <c r="E2045" t="str">
        <f t="shared" si="124"/>
        <v>S</v>
      </c>
      <c r="F2045" t="s">
        <v>24</v>
      </c>
      <c r="G2045" t="s">
        <v>44</v>
      </c>
      <c r="H2045" s="8">
        <v>180.99</v>
      </c>
      <c r="I2045" s="3">
        <f t="shared" si="125"/>
        <v>0</v>
      </c>
      <c r="J2045" s="4">
        <v>0</v>
      </c>
      <c r="K2045" s="11">
        <f>Table1[[#This Row],[original_price]]* (Table1[[#This Row],[Markdown percentage updated]])</f>
        <v>0</v>
      </c>
      <c r="L20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45" s="6">
        <v>180.99</v>
      </c>
      <c r="N20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45" s="7">
        <v>45875</v>
      </c>
      <c r="P2045">
        <v>0</v>
      </c>
      <c r="Q2045" s="13" t="str">
        <f>IF(Table1[[#This Row],[stock_quantity]]=0,"NO STOCK",
IF(Table1[[#This Row],[stock_quantity]]&lt;=10,"LOW STOCK",
"IN STOCK"))</f>
        <v>NO STOCK</v>
      </c>
      <c r="R2045" s="1">
        <f t="shared" si="126"/>
        <v>4.5</v>
      </c>
      <c r="S2045">
        <v>4.5</v>
      </c>
      <c r="T2045" t="b">
        <v>0</v>
      </c>
      <c r="U2045" t="str">
        <f t="shared" si="127"/>
        <v>No Return</v>
      </c>
    </row>
    <row r="2046" spans="1:22" hidden="1" x14ac:dyDescent="0.3">
      <c r="A2046" t="s">
        <v>2099</v>
      </c>
      <c r="B2046" t="s">
        <v>21</v>
      </c>
      <c r="C2046" t="s">
        <v>53</v>
      </c>
      <c r="D2046" t="s">
        <v>34</v>
      </c>
      <c r="E2046" t="str">
        <f t="shared" si="124"/>
        <v>S</v>
      </c>
      <c r="F2046" t="s">
        <v>58</v>
      </c>
      <c r="G2046" t="s">
        <v>46</v>
      </c>
      <c r="H2046" s="8">
        <v>74.959999999999994</v>
      </c>
      <c r="I2046" s="3">
        <f t="shared" si="125"/>
        <v>0.56100000000000005</v>
      </c>
      <c r="J2046" s="4">
        <v>56.1</v>
      </c>
      <c r="K2046" s="11">
        <f>Table1[[#This Row],[original_price]]* (Table1[[#This Row],[Markdown percentage updated]])</f>
        <v>42.05256</v>
      </c>
      <c r="L20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46" s="6">
        <v>32.909999999999997</v>
      </c>
      <c r="N20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46" s="7">
        <v>45875</v>
      </c>
      <c r="P2046">
        <v>16</v>
      </c>
      <c r="Q2046" s="16" t="str">
        <f>IF(Table1[[#This Row],[stock_quantity]]=0,"NO STOCK",
IF(Table1[[#This Row],[stock_quantity]]&lt;=10,"LOW STOCK",
"IN STOCK"))</f>
        <v>IN STOCK</v>
      </c>
      <c r="R2046" s="1">
        <f t="shared" si="126"/>
        <v>0</v>
      </c>
      <c r="T2046" t="b">
        <v>1</v>
      </c>
      <c r="U2046" s="13" t="str">
        <f t="shared" si="127"/>
        <v>Wrong Item</v>
      </c>
      <c r="V2046" t="s">
        <v>125</v>
      </c>
    </row>
    <row r="2047" spans="1:22" hidden="1" x14ac:dyDescent="0.3">
      <c r="A2047" t="s">
        <v>2100</v>
      </c>
      <c r="B2047" t="s">
        <v>42</v>
      </c>
      <c r="C2047" t="s">
        <v>53</v>
      </c>
      <c r="D2047" t="s">
        <v>34</v>
      </c>
      <c r="E2047" t="str">
        <f t="shared" si="124"/>
        <v>M</v>
      </c>
      <c r="F2047" t="s">
        <v>49</v>
      </c>
      <c r="G2047" t="s">
        <v>64</v>
      </c>
      <c r="H2047" s="8">
        <v>63.46</v>
      </c>
      <c r="I2047" s="3">
        <f t="shared" si="125"/>
        <v>0</v>
      </c>
      <c r="J2047" s="4">
        <v>0</v>
      </c>
      <c r="K2047" s="11">
        <f>Table1[[#This Row],[original_price]]* (Table1[[#This Row],[Markdown percentage updated]])</f>
        <v>0</v>
      </c>
      <c r="L20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47" s="6">
        <v>63.46</v>
      </c>
      <c r="N20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47" s="7">
        <v>45875</v>
      </c>
      <c r="P2047">
        <v>36</v>
      </c>
      <c r="Q2047" s="16" t="str">
        <f>IF(Table1[[#This Row],[stock_quantity]]=0,"NO STOCK",
IF(Table1[[#This Row],[stock_quantity]]&lt;=10,"LOW STOCK",
"IN STOCK"))</f>
        <v>IN STOCK</v>
      </c>
      <c r="R2047" s="1">
        <f t="shared" si="126"/>
        <v>1.2</v>
      </c>
      <c r="S2047">
        <v>1.2</v>
      </c>
      <c r="T2047" t="b">
        <v>0</v>
      </c>
      <c r="U2047" t="str">
        <f t="shared" si="127"/>
        <v>No Return</v>
      </c>
    </row>
    <row r="2048" spans="1:22" hidden="1" x14ac:dyDescent="0.3">
      <c r="A2048" t="s">
        <v>2101</v>
      </c>
      <c r="B2048" t="s">
        <v>30</v>
      </c>
      <c r="C2048" t="s">
        <v>43</v>
      </c>
      <c r="D2048" t="s">
        <v>17</v>
      </c>
      <c r="E2048" t="str">
        <f t="shared" si="124"/>
        <v>L</v>
      </c>
      <c r="F2048" t="s">
        <v>39</v>
      </c>
      <c r="G2048" t="s">
        <v>28</v>
      </c>
      <c r="H2048" s="8">
        <v>105.95</v>
      </c>
      <c r="I2048" s="3">
        <f t="shared" si="125"/>
        <v>0.316</v>
      </c>
      <c r="J2048" s="4">
        <v>31.6</v>
      </c>
      <c r="K2048" s="11">
        <f>Table1[[#This Row],[original_price]]* (Table1[[#This Row],[Markdown percentage updated]])</f>
        <v>33.480200000000004</v>
      </c>
      <c r="L20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48" s="6">
        <v>72.47</v>
      </c>
      <c r="N20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48" s="7">
        <v>45748</v>
      </c>
      <c r="P2048">
        <v>38</v>
      </c>
      <c r="Q2048" s="16" t="str">
        <f>IF(Table1[[#This Row],[stock_quantity]]=0,"NO STOCK",
IF(Table1[[#This Row],[stock_quantity]]&lt;=10,"LOW STOCK",
"IN STOCK"))</f>
        <v>IN STOCK</v>
      </c>
      <c r="R2048" s="1">
        <f t="shared" si="126"/>
        <v>3.5</v>
      </c>
      <c r="S2048">
        <v>3.5</v>
      </c>
      <c r="T2048" t="b">
        <v>0</v>
      </c>
      <c r="U2048" t="str">
        <f t="shared" si="127"/>
        <v>No Return</v>
      </c>
    </row>
    <row r="2049" spans="1:22" hidden="1" x14ac:dyDescent="0.3">
      <c r="A2049" t="s">
        <v>2102</v>
      </c>
      <c r="B2049" t="s">
        <v>42</v>
      </c>
      <c r="C2049" t="s">
        <v>43</v>
      </c>
      <c r="D2049" t="s">
        <v>62</v>
      </c>
      <c r="E2049" t="str">
        <f t="shared" si="124"/>
        <v>XXL</v>
      </c>
      <c r="F2049" t="s">
        <v>39</v>
      </c>
      <c r="G2049" t="s">
        <v>64</v>
      </c>
      <c r="H2049" s="8">
        <v>86.55</v>
      </c>
      <c r="I2049" s="3">
        <f t="shared" si="125"/>
        <v>0.245</v>
      </c>
      <c r="J2049" s="4">
        <v>24.5</v>
      </c>
      <c r="K2049" s="11">
        <f>Table1[[#This Row],[original_price]]* (Table1[[#This Row],[Markdown percentage updated]])</f>
        <v>21.204750000000001</v>
      </c>
      <c r="L20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049" s="6">
        <v>65.349999999999994</v>
      </c>
      <c r="N20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49" s="7">
        <v>45875</v>
      </c>
      <c r="P2049">
        <v>40</v>
      </c>
      <c r="Q2049" s="16" t="str">
        <f>IF(Table1[[#This Row],[stock_quantity]]=0,"NO STOCK",
IF(Table1[[#This Row],[stock_quantity]]&lt;=10,"LOW STOCK",
"IN STOCK"))</f>
        <v>IN STOCK</v>
      </c>
      <c r="R2049" s="1">
        <f t="shared" si="126"/>
        <v>3.5</v>
      </c>
      <c r="S2049">
        <v>3.5</v>
      </c>
      <c r="T2049" t="b">
        <v>0</v>
      </c>
      <c r="U2049" t="str">
        <f t="shared" si="127"/>
        <v>No Return</v>
      </c>
    </row>
    <row r="2050" spans="1:22" hidden="1" x14ac:dyDescent="0.3">
      <c r="A2050" t="s">
        <v>2103</v>
      </c>
      <c r="B2050" t="s">
        <v>38</v>
      </c>
      <c r="C2050" t="s">
        <v>61</v>
      </c>
      <c r="D2050" t="s">
        <v>34</v>
      </c>
      <c r="E2050" t="str">
        <f t="shared" ref="E2050:E2113" si="128">IF(ISBLANK(F2053),"OS",F2053)</f>
        <v>M</v>
      </c>
      <c r="F2050" t="s">
        <v>58</v>
      </c>
      <c r="G2050" t="s">
        <v>64</v>
      </c>
      <c r="H2050" s="8">
        <v>90.97</v>
      </c>
      <c r="I2050" s="3">
        <f t="shared" ref="I2050:I2113" si="129">J2050/100</f>
        <v>0.10800000000000001</v>
      </c>
      <c r="J2050" s="4">
        <v>10.8</v>
      </c>
      <c r="K2050" s="11">
        <f>Table1[[#This Row],[original_price]]* (Table1[[#This Row],[Markdown percentage updated]])</f>
        <v>9.8247600000000013</v>
      </c>
      <c r="L20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50" s="6">
        <v>81.150000000000006</v>
      </c>
      <c r="N20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050" s="7">
        <v>45875</v>
      </c>
      <c r="P2050">
        <v>33</v>
      </c>
      <c r="Q2050" s="16" t="str">
        <f>IF(Table1[[#This Row],[stock_quantity]]=0,"NO STOCK",
IF(Table1[[#This Row],[stock_quantity]]&lt;=10,"LOW STOCK",
"IN STOCK"))</f>
        <v>IN STOCK</v>
      </c>
      <c r="R2050" s="1">
        <f t="shared" si="126"/>
        <v>2.2000000000000002</v>
      </c>
      <c r="S2050">
        <v>2.2000000000000002</v>
      </c>
      <c r="T2050" t="b">
        <v>1</v>
      </c>
      <c r="U2050" s="13" t="str">
        <f t="shared" si="127"/>
        <v>Damaged</v>
      </c>
      <c r="V2050" t="s">
        <v>78</v>
      </c>
    </row>
    <row r="2051" spans="1:22" hidden="1" x14ac:dyDescent="0.3">
      <c r="A2051" t="s">
        <v>2104</v>
      </c>
      <c r="B2051" t="s">
        <v>42</v>
      </c>
      <c r="C2051" t="s">
        <v>43</v>
      </c>
      <c r="D2051" t="s">
        <v>23</v>
      </c>
      <c r="E2051" t="str">
        <f t="shared" si="128"/>
        <v>OS</v>
      </c>
      <c r="F2051" t="s">
        <v>24</v>
      </c>
      <c r="G2051" t="s">
        <v>56</v>
      </c>
      <c r="H2051" s="8">
        <v>122.41</v>
      </c>
      <c r="I2051" s="3">
        <f t="shared" si="129"/>
        <v>0.48200000000000004</v>
      </c>
      <c r="J2051" s="4">
        <v>48.2</v>
      </c>
      <c r="K2051" s="11">
        <f>Table1[[#This Row],[original_price]]* (Table1[[#This Row],[Markdown percentage updated]])</f>
        <v>59.001620000000003</v>
      </c>
      <c r="L20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51" s="6">
        <v>63.41</v>
      </c>
      <c r="N20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51" s="7">
        <v>45875</v>
      </c>
      <c r="P2051">
        <v>49</v>
      </c>
      <c r="Q2051" s="16" t="str">
        <f>IF(Table1[[#This Row],[stock_quantity]]=0,"NO STOCK",
IF(Table1[[#This Row],[stock_quantity]]&lt;=10,"LOW STOCK",
"IN STOCK"))</f>
        <v>IN STOCK</v>
      </c>
      <c r="R2051" s="1">
        <f t="shared" ref="R2051:R2114" si="130">IF(ISBLANK(S2051), 0, S2051)</f>
        <v>4.5</v>
      </c>
      <c r="S2051">
        <v>4.5</v>
      </c>
      <c r="T2051" t="b">
        <v>0</v>
      </c>
      <c r="U2051" t="str">
        <f t="shared" ref="U2051:U2114" si="131">IF(V2051="","No Return",V2051)</f>
        <v>No Return</v>
      </c>
    </row>
    <row r="2052" spans="1:22" hidden="1" x14ac:dyDescent="0.3">
      <c r="A2052" t="s">
        <v>2105</v>
      </c>
      <c r="B2052" t="s">
        <v>30</v>
      </c>
      <c r="C2052" t="s">
        <v>32</v>
      </c>
      <c r="D2052" t="s">
        <v>23</v>
      </c>
      <c r="E2052" t="str">
        <f t="shared" si="128"/>
        <v>S</v>
      </c>
      <c r="F2052" t="s">
        <v>49</v>
      </c>
      <c r="G2052" t="s">
        <v>40</v>
      </c>
      <c r="H2052" s="8">
        <v>198.22</v>
      </c>
      <c r="I2052" s="3">
        <f t="shared" si="129"/>
        <v>0</v>
      </c>
      <c r="J2052" s="4">
        <v>0</v>
      </c>
      <c r="K2052" s="11">
        <f>Table1[[#This Row],[original_price]]* (Table1[[#This Row],[Markdown percentage updated]])</f>
        <v>0</v>
      </c>
      <c r="L20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52" s="6">
        <v>198.22</v>
      </c>
      <c r="N20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52" s="7">
        <v>45875</v>
      </c>
      <c r="P2052">
        <v>12</v>
      </c>
      <c r="Q2052" s="16" t="str">
        <f>IF(Table1[[#This Row],[stock_quantity]]=0,"NO STOCK",
IF(Table1[[#This Row],[stock_quantity]]&lt;=10,"LOW STOCK",
"IN STOCK"))</f>
        <v>IN STOCK</v>
      </c>
      <c r="R2052" s="1">
        <f t="shared" si="130"/>
        <v>0</v>
      </c>
      <c r="T2052" t="b">
        <v>0</v>
      </c>
      <c r="U2052" t="str">
        <f t="shared" si="131"/>
        <v>No Return</v>
      </c>
    </row>
    <row r="2053" spans="1:22" hidden="1" x14ac:dyDescent="0.3">
      <c r="A2053" t="s">
        <v>2106</v>
      </c>
      <c r="B2053" t="s">
        <v>30</v>
      </c>
      <c r="C2053" t="s">
        <v>16</v>
      </c>
      <c r="D2053" t="s">
        <v>23</v>
      </c>
      <c r="E2053" t="str">
        <f t="shared" si="128"/>
        <v>OS</v>
      </c>
      <c r="F2053" t="s">
        <v>58</v>
      </c>
      <c r="G2053" t="s">
        <v>56</v>
      </c>
      <c r="H2053" s="8">
        <v>129.56</v>
      </c>
      <c r="I2053" s="3">
        <f t="shared" si="129"/>
        <v>0.20800000000000002</v>
      </c>
      <c r="J2053" s="4">
        <v>20.8</v>
      </c>
      <c r="K2053" s="11">
        <f>Table1[[#This Row],[original_price]]* (Table1[[#This Row],[Markdown percentage updated]])</f>
        <v>26.948480000000004</v>
      </c>
      <c r="L20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053" s="6">
        <v>102.61</v>
      </c>
      <c r="N20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53" s="7">
        <v>45875</v>
      </c>
      <c r="P2053">
        <v>3</v>
      </c>
      <c r="Q2053" s="17" t="str">
        <f>IF(Table1[[#This Row],[stock_quantity]]=0,"NO STOCK",
IF(Table1[[#This Row],[stock_quantity]]&lt;=10,"LOW STOCK",
"IN STOCK"))</f>
        <v>LOW STOCK</v>
      </c>
      <c r="R2053" s="1">
        <f t="shared" si="130"/>
        <v>2.9</v>
      </c>
      <c r="S2053">
        <v>2.9</v>
      </c>
      <c r="T2053" t="b">
        <v>0</v>
      </c>
      <c r="U2053" t="str">
        <f t="shared" si="131"/>
        <v>No Return</v>
      </c>
    </row>
    <row r="2054" spans="1:22" hidden="1" x14ac:dyDescent="0.3">
      <c r="A2054" t="s">
        <v>2107</v>
      </c>
      <c r="B2054" t="s">
        <v>27</v>
      </c>
      <c r="C2054" t="s">
        <v>16</v>
      </c>
      <c r="D2054" t="s">
        <v>62</v>
      </c>
      <c r="E2054" t="str">
        <f t="shared" si="128"/>
        <v>OS</v>
      </c>
      <c r="G2054" t="s">
        <v>25</v>
      </c>
      <c r="H2054" s="8">
        <v>49.31</v>
      </c>
      <c r="I2054" s="3">
        <f t="shared" si="129"/>
        <v>0</v>
      </c>
      <c r="J2054" s="4">
        <v>0</v>
      </c>
      <c r="K2054" s="11">
        <f>Table1[[#This Row],[original_price]]* (Table1[[#This Row],[Markdown percentage updated]])</f>
        <v>0</v>
      </c>
      <c r="L20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54" s="6">
        <v>49.31</v>
      </c>
      <c r="N20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54" s="7">
        <v>45875</v>
      </c>
      <c r="P2054">
        <v>49</v>
      </c>
      <c r="Q2054" s="16" t="str">
        <f>IF(Table1[[#This Row],[stock_quantity]]=0,"NO STOCK",
IF(Table1[[#This Row],[stock_quantity]]&lt;=10,"LOW STOCK",
"IN STOCK"))</f>
        <v>IN STOCK</v>
      </c>
      <c r="R2054" s="1">
        <f t="shared" si="130"/>
        <v>3.4</v>
      </c>
      <c r="S2054">
        <v>3.4</v>
      </c>
      <c r="T2054" t="b">
        <v>0</v>
      </c>
      <c r="U2054" t="str">
        <f t="shared" si="131"/>
        <v>No Return</v>
      </c>
    </row>
    <row r="2055" spans="1:22" hidden="1" x14ac:dyDescent="0.3">
      <c r="A2055" t="s">
        <v>2108</v>
      </c>
      <c r="B2055" t="s">
        <v>15</v>
      </c>
      <c r="C2055" t="s">
        <v>22</v>
      </c>
      <c r="D2055" t="s">
        <v>62</v>
      </c>
      <c r="E2055" t="str">
        <f t="shared" si="128"/>
        <v>S</v>
      </c>
      <c r="F2055" t="s">
        <v>39</v>
      </c>
      <c r="G2055" t="s">
        <v>25</v>
      </c>
      <c r="H2055" s="8">
        <v>206.94</v>
      </c>
      <c r="I2055" s="3">
        <f t="shared" si="129"/>
        <v>0</v>
      </c>
      <c r="J2055" s="4">
        <v>0</v>
      </c>
      <c r="K2055" s="11">
        <f>Table1[[#This Row],[original_price]]* (Table1[[#This Row],[Markdown percentage updated]])</f>
        <v>0</v>
      </c>
      <c r="L20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55" s="6">
        <v>206.94</v>
      </c>
      <c r="N20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55" s="7">
        <v>45875</v>
      </c>
      <c r="P2055">
        <v>43</v>
      </c>
      <c r="Q2055" s="16" t="str">
        <f>IF(Table1[[#This Row],[stock_quantity]]=0,"NO STOCK",
IF(Table1[[#This Row],[stock_quantity]]&lt;=10,"LOW STOCK",
"IN STOCK"))</f>
        <v>IN STOCK</v>
      </c>
      <c r="R2055" s="1">
        <f t="shared" si="130"/>
        <v>3.3</v>
      </c>
      <c r="S2055">
        <v>3.3</v>
      </c>
      <c r="T2055" t="b">
        <v>0</v>
      </c>
      <c r="U2055" t="str">
        <f t="shared" si="131"/>
        <v>No Return</v>
      </c>
    </row>
    <row r="2056" spans="1:22" hidden="1" x14ac:dyDescent="0.3">
      <c r="A2056" t="s">
        <v>2109</v>
      </c>
      <c r="B2056" t="s">
        <v>27</v>
      </c>
      <c r="C2056" t="s">
        <v>32</v>
      </c>
      <c r="D2056" t="s">
        <v>62</v>
      </c>
      <c r="E2056" t="str">
        <f t="shared" si="128"/>
        <v>OS</v>
      </c>
      <c r="G2056" t="s">
        <v>28</v>
      </c>
      <c r="H2056" s="8">
        <v>36.93</v>
      </c>
      <c r="I2056" s="3">
        <f t="shared" si="129"/>
        <v>0</v>
      </c>
      <c r="J2056" s="4">
        <v>0</v>
      </c>
      <c r="K2056" s="11">
        <f>Table1[[#This Row],[original_price]]* (Table1[[#This Row],[Markdown percentage updated]])</f>
        <v>0</v>
      </c>
      <c r="L20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56" s="6">
        <v>36.93</v>
      </c>
      <c r="N20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56" s="7">
        <v>45875</v>
      </c>
      <c r="P2056">
        <v>18</v>
      </c>
      <c r="Q2056" s="16" t="str">
        <f>IF(Table1[[#This Row],[stock_quantity]]=0,"NO STOCK",
IF(Table1[[#This Row],[stock_quantity]]&lt;=10,"LOW STOCK",
"IN STOCK"))</f>
        <v>IN STOCK</v>
      </c>
      <c r="R2056" s="1">
        <f t="shared" si="130"/>
        <v>0</v>
      </c>
      <c r="T2056" t="b">
        <v>0</v>
      </c>
      <c r="U2056" t="str">
        <f t="shared" si="131"/>
        <v>No Return</v>
      </c>
    </row>
    <row r="2057" spans="1:22" hidden="1" x14ac:dyDescent="0.3">
      <c r="A2057" t="s">
        <v>2110</v>
      </c>
      <c r="B2057" t="s">
        <v>27</v>
      </c>
      <c r="C2057" t="s">
        <v>22</v>
      </c>
      <c r="D2057" t="s">
        <v>62</v>
      </c>
      <c r="E2057" t="str">
        <f t="shared" si="128"/>
        <v>M</v>
      </c>
      <c r="G2057" t="s">
        <v>46</v>
      </c>
      <c r="H2057" s="8">
        <v>21.85</v>
      </c>
      <c r="I2057" s="3">
        <f t="shared" si="129"/>
        <v>0.12</v>
      </c>
      <c r="J2057" s="4">
        <v>12</v>
      </c>
      <c r="K2057" s="11">
        <f>Table1[[#This Row],[original_price]]* (Table1[[#This Row],[Markdown percentage updated]])</f>
        <v>2.6219999999999999</v>
      </c>
      <c r="L20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57" s="6">
        <v>19.23</v>
      </c>
      <c r="N20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057" s="7">
        <v>45875</v>
      </c>
      <c r="P2057">
        <v>18</v>
      </c>
      <c r="Q2057" s="16" t="str">
        <f>IF(Table1[[#This Row],[stock_quantity]]=0,"NO STOCK",
IF(Table1[[#This Row],[stock_quantity]]&lt;=10,"LOW STOCK",
"IN STOCK"))</f>
        <v>IN STOCK</v>
      </c>
      <c r="R2057" s="1">
        <f t="shared" si="130"/>
        <v>4.8</v>
      </c>
      <c r="S2057">
        <v>4.8</v>
      </c>
      <c r="T2057" t="b">
        <v>0</v>
      </c>
      <c r="U2057" t="str">
        <f t="shared" si="131"/>
        <v>No Return</v>
      </c>
    </row>
    <row r="2058" spans="1:22" hidden="1" x14ac:dyDescent="0.3">
      <c r="A2058" t="s">
        <v>2111</v>
      </c>
      <c r="B2058" t="s">
        <v>30</v>
      </c>
      <c r="C2058" t="s">
        <v>32</v>
      </c>
      <c r="D2058" t="s">
        <v>23</v>
      </c>
      <c r="E2058" t="str">
        <f t="shared" si="128"/>
        <v>L</v>
      </c>
      <c r="F2058" t="s">
        <v>39</v>
      </c>
      <c r="G2058" t="s">
        <v>70</v>
      </c>
      <c r="H2058" s="8">
        <v>174.65</v>
      </c>
      <c r="I2058" s="3">
        <f t="shared" si="129"/>
        <v>0.43799999999999994</v>
      </c>
      <c r="J2058" s="4">
        <v>43.8</v>
      </c>
      <c r="K2058" s="11">
        <f>Table1[[#This Row],[original_price]]* (Table1[[#This Row],[Markdown percentage updated]])</f>
        <v>76.49669999999999</v>
      </c>
      <c r="L20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58" s="6">
        <v>98.15</v>
      </c>
      <c r="N20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58" s="7">
        <v>45875</v>
      </c>
      <c r="P2058">
        <v>28</v>
      </c>
      <c r="Q2058" s="16" t="str">
        <f>IF(Table1[[#This Row],[stock_quantity]]=0,"NO STOCK",
IF(Table1[[#This Row],[stock_quantity]]&lt;=10,"LOW STOCK",
"IN STOCK"))</f>
        <v>IN STOCK</v>
      </c>
      <c r="R2058" s="1">
        <f t="shared" si="130"/>
        <v>3.3</v>
      </c>
      <c r="S2058">
        <v>3.3</v>
      </c>
      <c r="T2058" t="b">
        <v>0</v>
      </c>
      <c r="U2058" t="str">
        <f t="shared" si="131"/>
        <v>No Return</v>
      </c>
    </row>
    <row r="2059" spans="1:22" hidden="1" x14ac:dyDescent="0.3">
      <c r="A2059" t="s">
        <v>2112</v>
      </c>
      <c r="B2059" t="s">
        <v>27</v>
      </c>
      <c r="C2059" t="s">
        <v>43</v>
      </c>
      <c r="D2059" t="s">
        <v>17</v>
      </c>
      <c r="E2059" t="str">
        <f t="shared" si="128"/>
        <v>XXL</v>
      </c>
      <c r="G2059" t="s">
        <v>25</v>
      </c>
      <c r="H2059" s="8">
        <v>19.96</v>
      </c>
      <c r="I2059" s="3">
        <f t="shared" si="129"/>
        <v>0</v>
      </c>
      <c r="J2059" s="4">
        <v>0</v>
      </c>
      <c r="K2059" s="11">
        <f>Table1[[#This Row],[original_price]]* (Table1[[#This Row],[Markdown percentage updated]])</f>
        <v>0</v>
      </c>
      <c r="L20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59" s="6">
        <v>19.96</v>
      </c>
      <c r="N20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59" s="7">
        <v>45827</v>
      </c>
      <c r="P2059">
        <v>16</v>
      </c>
      <c r="Q2059" s="16" t="str">
        <f>IF(Table1[[#This Row],[stock_quantity]]=0,"NO STOCK",
IF(Table1[[#This Row],[stock_quantity]]&lt;=10,"LOW STOCK",
"IN STOCK"))</f>
        <v>IN STOCK</v>
      </c>
      <c r="R2059" s="1">
        <f t="shared" si="130"/>
        <v>1.4</v>
      </c>
      <c r="S2059">
        <v>1.4</v>
      </c>
      <c r="T2059" t="b">
        <v>0</v>
      </c>
      <c r="U2059" t="str">
        <f t="shared" si="131"/>
        <v>No Return</v>
      </c>
    </row>
    <row r="2060" spans="1:22" hidden="1" x14ac:dyDescent="0.3">
      <c r="A2060" t="s">
        <v>2113</v>
      </c>
      <c r="B2060" t="s">
        <v>21</v>
      </c>
      <c r="C2060" t="s">
        <v>48</v>
      </c>
      <c r="D2060" t="s">
        <v>34</v>
      </c>
      <c r="E2060" t="str">
        <f t="shared" si="128"/>
        <v>OS</v>
      </c>
      <c r="F2060" t="s">
        <v>58</v>
      </c>
      <c r="G2060" t="s">
        <v>46</v>
      </c>
      <c r="H2060" s="8">
        <v>90.46</v>
      </c>
      <c r="I2060" s="3">
        <f t="shared" si="129"/>
        <v>0.54100000000000004</v>
      </c>
      <c r="J2060" s="4">
        <v>54.1</v>
      </c>
      <c r="K2060" s="11">
        <f>Table1[[#This Row],[original_price]]* (Table1[[#This Row],[Markdown percentage updated]])</f>
        <v>48.938859999999998</v>
      </c>
      <c r="L20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60" s="6">
        <v>41.52</v>
      </c>
      <c r="N20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60" s="7">
        <v>45875</v>
      </c>
      <c r="P2060">
        <v>15</v>
      </c>
      <c r="Q2060" s="16" t="str">
        <f>IF(Table1[[#This Row],[stock_quantity]]=0,"NO STOCK",
IF(Table1[[#This Row],[stock_quantity]]&lt;=10,"LOW STOCK",
"IN STOCK"))</f>
        <v>IN STOCK</v>
      </c>
      <c r="R2060" s="1">
        <f t="shared" si="130"/>
        <v>2.5</v>
      </c>
      <c r="S2060">
        <v>2.5</v>
      </c>
      <c r="T2060" t="b">
        <v>0</v>
      </c>
      <c r="U2060" t="str">
        <f t="shared" si="131"/>
        <v>No Return</v>
      </c>
    </row>
    <row r="2061" spans="1:22" hidden="1" x14ac:dyDescent="0.3">
      <c r="A2061" t="s">
        <v>2114</v>
      </c>
      <c r="B2061" t="s">
        <v>30</v>
      </c>
      <c r="C2061" t="s">
        <v>48</v>
      </c>
      <c r="D2061" t="s">
        <v>34</v>
      </c>
      <c r="E2061" t="str">
        <f t="shared" si="128"/>
        <v>OS</v>
      </c>
      <c r="F2061" t="s">
        <v>24</v>
      </c>
      <c r="G2061" t="s">
        <v>44</v>
      </c>
      <c r="H2061" s="8">
        <v>189.24</v>
      </c>
      <c r="I2061" s="3">
        <f t="shared" si="129"/>
        <v>0</v>
      </c>
      <c r="J2061" s="4">
        <v>0</v>
      </c>
      <c r="K2061" s="11">
        <f>Table1[[#This Row],[original_price]]* (Table1[[#This Row],[Markdown percentage updated]])</f>
        <v>0</v>
      </c>
      <c r="L20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61" s="6">
        <v>189.24</v>
      </c>
      <c r="N20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61" s="7">
        <v>45875</v>
      </c>
      <c r="P2061">
        <v>25</v>
      </c>
      <c r="Q2061" s="16" t="str">
        <f>IF(Table1[[#This Row],[stock_quantity]]=0,"NO STOCK",
IF(Table1[[#This Row],[stock_quantity]]&lt;=10,"LOW STOCK",
"IN STOCK"))</f>
        <v>IN STOCK</v>
      </c>
      <c r="R2061" s="1">
        <f t="shared" si="130"/>
        <v>3.6</v>
      </c>
      <c r="S2061">
        <v>3.6</v>
      </c>
      <c r="T2061" t="b">
        <v>1</v>
      </c>
      <c r="U2061" s="13" t="str">
        <f t="shared" si="131"/>
        <v>Color Mismatch</v>
      </c>
      <c r="V2061" t="s">
        <v>36</v>
      </c>
    </row>
    <row r="2062" spans="1:22" hidden="1" x14ac:dyDescent="0.3">
      <c r="A2062" t="s">
        <v>2115</v>
      </c>
      <c r="B2062" t="s">
        <v>15</v>
      </c>
      <c r="C2062" t="s">
        <v>32</v>
      </c>
      <c r="D2062" t="s">
        <v>62</v>
      </c>
      <c r="E2062" t="str">
        <f t="shared" si="128"/>
        <v>L</v>
      </c>
      <c r="F2062" t="s">
        <v>49</v>
      </c>
      <c r="G2062" t="s">
        <v>28</v>
      </c>
      <c r="H2062" s="8">
        <v>231.24</v>
      </c>
      <c r="I2062" s="3">
        <f t="shared" si="129"/>
        <v>0.44600000000000001</v>
      </c>
      <c r="J2062" s="4">
        <v>44.6</v>
      </c>
      <c r="K2062" s="11">
        <f>Table1[[#This Row],[original_price]]* (Table1[[#This Row],[Markdown percentage updated]])</f>
        <v>103.13304000000001</v>
      </c>
      <c r="L20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62" s="6">
        <v>128.11000000000001</v>
      </c>
      <c r="N20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62" s="7">
        <v>45875</v>
      </c>
      <c r="P2062">
        <v>15</v>
      </c>
      <c r="Q2062" s="16" t="str">
        <f>IF(Table1[[#This Row],[stock_quantity]]=0,"NO STOCK",
IF(Table1[[#This Row],[stock_quantity]]&lt;=10,"LOW STOCK",
"IN STOCK"))</f>
        <v>IN STOCK</v>
      </c>
      <c r="R2062" s="1">
        <f t="shared" si="130"/>
        <v>3.7</v>
      </c>
      <c r="S2062">
        <v>3.7</v>
      </c>
      <c r="T2062" t="b">
        <v>0</v>
      </c>
      <c r="U2062" t="str">
        <f t="shared" si="131"/>
        <v>No Return</v>
      </c>
    </row>
    <row r="2063" spans="1:22" hidden="1" x14ac:dyDescent="0.3">
      <c r="A2063" t="s">
        <v>2116</v>
      </c>
      <c r="B2063" t="s">
        <v>27</v>
      </c>
      <c r="C2063" t="s">
        <v>43</v>
      </c>
      <c r="D2063" t="s">
        <v>34</v>
      </c>
      <c r="E2063" t="str">
        <f t="shared" si="128"/>
        <v>XS</v>
      </c>
      <c r="G2063" t="s">
        <v>56</v>
      </c>
      <c r="H2063" s="8">
        <v>66.48</v>
      </c>
      <c r="I2063" s="3">
        <f t="shared" si="129"/>
        <v>0</v>
      </c>
      <c r="J2063" s="4">
        <v>0</v>
      </c>
      <c r="K2063" s="11">
        <f>Table1[[#This Row],[original_price]]* (Table1[[#This Row],[Markdown percentage updated]])</f>
        <v>0</v>
      </c>
      <c r="L20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63" s="6">
        <v>66.48</v>
      </c>
      <c r="N20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63" s="7">
        <v>45875</v>
      </c>
      <c r="P2063">
        <v>38</v>
      </c>
      <c r="Q2063" s="16" t="str">
        <f>IF(Table1[[#This Row],[stock_quantity]]=0,"NO STOCK",
IF(Table1[[#This Row],[stock_quantity]]&lt;=10,"LOW STOCK",
"IN STOCK"))</f>
        <v>IN STOCK</v>
      </c>
      <c r="R2063" s="1">
        <f t="shared" si="130"/>
        <v>1.4</v>
      </c>
      <c r="S2063">
        <v>1.4</v>
      </c>
      <c r="T2063" t="b">
        <v>0</v>
      </c>
      <c r="U2063" t="str">
        <f t="shared" si="131"/>
        <v>No Return</v>
      </c>
    </row>
    <row r="2064" spans="1:22" hidden="1" x14ac:dyDescent="0.3">
      <c r="A2064" t="s">
        <v>2117</v>
      </c>
      <c r="B2064" t="s">
        <v>27</v>
      </c>
      <c r="C2064" t="s">
        <v>48</v>
      </c>
      <c r="D2064" t="s">
        <v>34</v>
      </c>
      <c r="E2064" t="str">
        <f t="shared" si="128"/>
        <v>XL</v>
      </c>
      <c r="G2064" t="s">
        <v>56</v>
      </c>
      <c r="H2064" s="8">
        <v>37.270000000000003</v>
      </c>
      <c r="I2064" s="3">
        <f t="shared" si="129"/>
        <v>0</v>
      </c>
      <c r="J2064" s="4">
        <v>0</v>
      </c>
      <c r="K2064" s="11">
        <f>Table1[[#This Row],[original_price]]* (Table1[[#This Row],[Markdown percentage updated]])</f>
        <v>0</v>
      </c>
      <c r="L20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64" s="6">
        <v>37.270000000000003</v>
      </c>
      <c r="N20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64" s="7">
        <v>45875</v>
      </c>
      <c r="P2064">
        <v>15</v>
      </c>
      <c r="Q2064" s="16" t="str">
        <f>IF(Table1[[#This Row],[stock_quantity]]=0,"NO STOCK",
IF(Table1[[#This Row],[stock_quantity]]&lt;=10,"LOW STOCK",
"IN STOCK"))</f>
        <v>IN STOCK</v>
      </c>
      <c r="R2064" s="1">
        <f t="shared" si="130"/>
        <v>3.8</v>
      </c>
      <c r="S2064">
        <v>3.8</v>
      </c>
      <c r="T2064" t="b">
        <v>0</v>
      </c>
      <c r="U2064" t="str">
        <f t="shared" si="131"/>
        <v>No Return</v>
      </c>
    </row>
    <row r="2065" spans="1:21" hidden="1" x14ac:dyDescent="0.3">
      <c r="A2065" t="s">
        <v>2118</v>
      </c>
      <c r="B2065" t="s">
        <v>30</v>
      </c>
      <c r="C2065" t="s">
        <v>22</v>
      </c>
      <c r="D2065" t="s">
        <v>17</v>
      </c>
      <c r="E2065" t="str">
        <f t="shared" si="128"/>
        <v>S</v>
      </c>
      <c r="F2065" t="s">
        <v>24</v>
      </c>
      <c r="G2065" t="s">
        <v>70</v>
      </c>
      <c r="H2065" s="8">
        <v>178.05</v>
      </c>
      <c r="I2065" s="3">
        <f t="shared" si="129"/>
        <v>0</v>
      </c>
      <c r="J2065" s="4">
        <v>0</v>
      </c>
      <c r="K2065" s="11">
        <f>Table1[[#This Row],[original_price]]* (Table1[[#This Row],[Markdown percentage updated]])</f>
        <v>0</v>
      </c>
      <c r="L20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65" s="6">
        <v>178.05</v>
      </c>
      <c r="N20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65" s="7">
        <v>45724</v>
      </c>
      <c r="P2065">
        <v>24</v>
      </c>
      <c r="Q2065" s="16" t="str">
        <f>IF(Table1[[#This Row],[stock_quantity]]=0,"NO STOCK",
IF(Table1[[#This Row],[stock_quantity]]&lt;=10,"LOW STOCK",
"IN STOCK"))</f>
        <v>IN STOCK</v>
      </c>
      <c r="R2065" s="1">
        <f t="shared" si="130"/>
        <v>0</v>
      </c>
      <c r="T2065" t="b">
        <v>0</v>
      </c>
      <c r="U2065" t="str">
        <f t="shared" si="131"/>
        <v>No Return</v>
      </c>
    </row>
    <row r="2066" spans="1:21" hidden="1" x14ac:dyDescent="0.3">
      <c r="A2066" t="s">
        <v>2119</v>
      </c>
      <c r="B2066" t="s">
        <v>21</v>
      </c>
      <c r="C2066" t="s">
        <v>75</v>
      </c>
      <c r="D2066" t="s">
        <v>17</v>
      </c>
      <c r="E2066" t="str">
        <f t="shared" si="128"/>
        <v>XL</v>
      </c>
      <c r="F2066" t="s">
        <v>55</v>
      </c>
      <c r="G2066" t="s">
        <v>25</v>
      </c>
      <c r="H2066" s="8">
        <v>73.760000000000005</v>
      </c>
      <c r="I2066" s="3">
        <f t="shared" si="129"/>
        <v>0</v>
      </c>
      <c r="J2066" s="4">
        <v>0</v>
      </c>
      <c r="K2066" s="11">
        <f>Table1[[#This Row],[original_price]]* (Table1[[#This Row],[Markdown percentage updated]])</f>
        <v>0</v>
      </c>
      <c r="L20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66" s="6">
        <v>73.760000000000005</v>
      </c>
      <c r="N20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66" s="7">
        <v>45523</v>
      </c>
      <c r="P2066">
        <v>25</v>
      </c>
      <c r="Q2066" s="16" t="str">
        <f>IF(Table1[[#This Row],[stock_quantity]]=0,"NO STOCK",
IF(Table1[[#This Row],[stock_quantity]]&lt;=10,"LOW STOCK",
"IN STOCK"))</f>
        <v>IN STOCK</v>
      </c>
      <c r="R2066" s="1">
        <f t="shared" si="130"/>
        <v>1.3</v>
      </c>
      <c r="S2066">
        <v>1.3</v>
      </c>
      <c r="T2066" t="b">
        <v>0</v>
      </c>
      <c r="U2066" t="str">
        <f t="shared" si="131"/>
        <v>No Return</v>
      </c>
    </row>
    <row r="2067" spans="1:21" hidden="1" x14ac:dyDescent="0.3">
      <c r="A2067" t="s">
        <v>2120</v>
      </c>
      <c r="B2067" t="s">
        <v>38</v>
      </c>
      <c r="C2067" t="s">
        <v>16</v>
      </c>
      <c r="D2067" t="s">
        <v>23</v>
      </c>
      <c r="E2067" t="str">
        <f t="shared" si="128"/>
        <v>OS</v>
      </c>
      <c r="F2067" t="s">
        <v>18</v>
      </c>
      <c r="G2067" t="s">
        <v>25</v>
      </c>
      <c r="H2067" s="8">
        <v>36.229999999999997</v>
      </c>
      <c r="I2067" s="3">
        <f t="shared" si="129"/>
        <v>0</v>
      </c>
      <c r="J2067" s="4">
        <v>0</v>
      </c>
      <c r="K2067" s="11">
        <f>Table1[[#This Row],[original_price]]* (Table1[[#This Row],[Markdown percentage updated]])</f>
        <v>0</v>
      </c>
      <c r="L20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67" s="6">
        <v>36.229999999999997</v>
      </c>
      <c r="N20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67" s="7">
        <v>45875</v>
      </c>
      <c r="P2067">
        <v>49</v>
      </c>
      <c r="Q2067" s="16" t="str">
        <f>IF(Table1[[#This Row],[stock_quantity]]=0,"NO STOCK",
IF(Table1[[#This Row],[stock_quantity]]&lt;=10,"LOW STOCK",
"IN STOCK"))</f>
        <v>IN STOCK</v>
      </c>
      <c r="R2067" s="1">
        <f t="shared" si="130"/>
        <v>0</v>
      </c>
      <c r="T2067" t="b">
        <v>0</v>
      </c>
      <c r="U2067" t="str">
        <f t="shared" si="131"/>
        <v>No Return</v>
      </c>
    </row>
    <row r="2068" spans="1:21" hidden="1" x14ac:dyDescent="0.3">
      <c r="A2068" t="s">
        <v>2121</v>
      </c>
      <c r="B2068" t="s">
        <v>38</v>
      </c>
      <c r="C2068" t="s">
        <v>48</v>
      </c>
      <c r="D2068" t="s">
        <v>17</v>
      </c>
      <c r="E2068" t="str">
        <f t="shared" si="128"/>
        <v>XXL</v>
      </c>
      <c r="F2068" t="s">
        <v>39</v>
      </c>
      <c r="G2068" t="s">
        <v>66</v>
      </c>
      <c r="H2068" s="8">
        <v>48.89</v>
      </c>
      <c r="I2068" s="3">
        <f t="shared" si="129"/>
        <v>0</v>
      </c>
      <c r="J2068" s="4">
        <v>0</v>
      </c>
      <c r="K2068" s="11">
        <f>Table1[[#This Row],[original_price]]* (Table1[[#This Row],[Markdown percentage updated]])</f>
        <v>0</v>
      </c>
      <c r="L20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68" s="6">
        <v>48.89</v>
      </c>
      <c r="N20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68" s="7">
        <v>45636</v>
      </c>
      <c r="P2068">
        <v>9</v>
      </c>
      <c r="Q2068" s="17" t="str">
        <f>IF(Table1[[#This Row],[stock_quantity]]=0,"NO STOCK",
IF(Table1[[#This Row],[stock_quantity]]&lt;=10,"LOW STOCK",
"IN STOCK"))</f>
        <v>LOW STOCK</v>
      </c>
      <c r="R2068" s="1">
        <f t="shared" si="130"/>
        <v>3.1</v>
      </c>
      <c r="S2068">
        <v>3.1</v>
      </c>
      <c r="T2068" t="b">
        <v>0</v>
      </c>
      <c r="U2068" t="str">
        <f t="shared" si="131"/>
        <v>No Return</v>
      </c>
    </row>
    <row r="2069" spans="1:21" hidden="1" x14ac:dyDescent="0.3">
      <c r="A2069" t="s">
        <v>2122</v>
      </c>
      <c r="B2069" t="s">
        <v>21</v>
      </c>
      <c r="C2069" t="s">
        <v>48</v>
      </c>
      <c r="D2069" t="s">
        <v>23</v>
      </c>
      <c r="E2069" t="str">
        <f t="shared" si="128"/>
        <v>XL</v>
      </c>
      <c r="F2069" t="s">
        <v>18</v>
      </c>
      <c r="G2069" t="s">
        <v>25</v>
      </c>
      <c r="H2069" s="8">
        <v>94.15</v>
      </c>
      <c r="I2069" s="3">
        <f t="shared" si="129"/>
        <v>0.31</v>
      </c>
      <c r="J2069" s="4">
        <v>31</v>
      </c>
      <c r="K2069" s="11">
        <f>Table1[[#This Row],[original_price]]* (Table1[[#This Row],[Markdown percentage updated]])</f>
        <v>29.186500000000002</v>
      </c>
      <c r="L20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69" s="6">
        <v>64.959999999999994</v>
      </c>
      <c r="N20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69" s="7">
        <v>45875</v>
      </c>
      <c r="P2069">
        <v>25</v>
      </c>
      <c r="Q2069" s="16" t="str">
        <f>IF(Table1[[#This Row],[stock_quantity]]=0,"NO STOCK",
IF(Table1[[#This Row],[stock_quantity]]&lt;=10,"LOW STOCK",
"IN STOCK"))</f>
        <v>IN STOCK</v>
      </c>
      <c r="R2069" s="1">
        <f t="shared" si="130"/>
        <v>0</v>
      </c>
      <c r="T2069" t="b">
        <v>0</v>
      </c>
      <c r="U2069" t="str">
        <f t="shared" si="131"/>
        <v>No Return</v>
      </c>
    </row>
    <row r="2070" spans="1:21" hidden="1" x14ac:dyDescent="0.3">
      <c r="A2070" t="s">
        <v>2123</v>
      </c>
      <c r="B2070" t="s">
        <v>27</v>
      </c>
      <c r="C2070" t="s">
        <v>75</v>
      </c>
      <c r="D2070" t="s">
        <v>62</v>
      </c>
      <c r="E2070" t="str">
        <f t="shared" si="128"/>
        <v>OS</v>
      </c>
      <c r="G2070" t="s">
        <v>70</v>
      </c>
      <c r="H2070" s="8">
        <v>27.7</v>
      </c>
      <c r="I2070" s="3">
        <f t="shared" si="129"/>
        <v>0</v>
      </c>
      <c r="J2070" s="4">
        <v>0</v>
      </c>
      <c r="K2070" s="11">
        <f>Table1[[#This Row],[original_price]]* (Table1[[#This Row],[Markdown percentage updated]])</f>
        <v>0</v>
      </c>
      <c r="L20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70" s="6">
        <v>27.7</v>
      </c>
      <c r="N20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70" s="7">
        <v>45875</v>
      </c>
      <c r="P2070">
        <v>27</v>
      </c>
      <c r="Q2070" s="16" t="str">
        <f>IF(Table1[[#This Row],[stock_quantity]]=0,"NO STOCK",
IF(Table1[[#This Row],[stock_quantity]]&lt;=10,"LOW STOCK",
"IN STOCK"))</f>
        <v>IN STOCK</v>
      </c>
      <c r="R2070" s="1">
        <f t="shared" si="130"/>
        <v>4.8</v>
      </c>
      <c r="S2070">
        <v>4.8</v>
      </c>
      <c r="T2070" t="b">
        <v>0</v>
      </c>
      <c r="U2070" t="str">
        <f t="shared" si="131"/>
        <v>No Return</v>
      </c>
    </row>
    <row r="2071" spans="1:21" hidden="1" x14ac:dyDescent="0.3">
      <c r="A2071" t="s">
        <v>2124</v>
      </c>
      <c r="B2071" t="s">
        <v>30</v>
      </c>
      <c r="C2071" t="s">
        <v>48</v>
      </c>
      <c r="D2071" t="s">
        <v>17</v>
      </c>
      <c r="E2071" t="str">
        <f t="shared" si="128"/>
        <v>M</v>
      </c>
      <c r="F2071" t="s">
        <v>49</v>
      </c>
      <c r="G2071" t="s">
        <v>40</v>
      </c>
      <c r="H2071" s="8">
        <v>122.55</v>
      </c>
      <c r="I2071" s="3">
        <f t="shared" si="129"/>
        <v>0.11199999999999999</v>
      </c>
      <c r="J2071" s="4">
        <v>11.2</v>
      </c>
      <c r="K2071" s="11">
        <f>Table1[[#This Row],[original_price]]* (Table1[[#This Row],[Markdown percentage updated]])</f>
        <v>13.725599999999998</v>
      </c>
      <c r="L20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71" s="6">
        <v>108.82</v>
      </c>
      <c r="N20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071" s="7">
        <v>45567</v>
      </c>
      <c r="P2071">
        <v>23</v>
      </c>
      <c r="Q2071" s="16" t="str">
        <f>IF(Table1[[#This Row],[stock_quantity]]=0,"NO STOCK",
IF(Table1[[#This Row],[stock_quantity]]&lt;=10,"LOW STOCK",
"IN STOCK"))</f>
        <v>IN STOCK</v>
      </c>
      <c r="R2071" s="1">
        <f t="shared" si="130"/>
        <v>0</v>
      </c>
      <c r="T2071" t="b">
        <v>0</v>
      </c>
      <c r="U2071" t="str">
        <f t="shared" si="131"/>
        <v>No Return</v>
      </c>
    </row>
    <row r="2072" spans="1:21" hidden="1" x14ac:dyDescent="0.3">
      <c r="A2072" t="s">
        <v>2125</v>
      </c>
      <c r="B2072" t="s">
        <v>42</v>
      </c>
      <c r="C2072" t="s">
        <v>43</v>
      </c>
      <c r="D2072" t="s">
        <v>17</v>
      </c>
      <c r="E2072" t="str">
        <f t="shared" si="128"/>
        <v>OS</v>
      </c>
      <c r="F2072" t="s">
        <v>18</v>
      </c>
      <c r="G2072" t="s">
        <v>25</v>
      </c>
      <c r="H2072" s="8">
        <v>173.77</v>
      </c>
      <c r="I2072" s="3">
        <f t="shared" si="129"/>
        <v>0.17</v>
      </c>
      <c r="J2072" s="4">
        <v>17</v>
      </c>
      <c r="K2072" s="11">
        <f>Table1[[#This Row],[original_price]]* (Table1[[#This Row],[Markdown percentage updated]])</f>
        <v>29.540900000000004</v>
      </c>
      <c r="L20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072" s="6">
        <v>144.22999999999999</v>
      </c>
      <c r="N20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72" s="7">
        <v>45616</v>
      </c>
      <c r="P2072">
        <v>5</v>
      </c>
      <c r="Q2072" s="17" t="str">
        <f>IF(Table1[[#This Row],[stock_quantity]]=0,"NO STOCK",
IF(Table1[[#This Row],[stock_quantity]]&lt;=10,"LOW STOCK",
"IN STOCK"))</f>
        <v>LOW STOCK</v>
      </c>
      <c r="R2072" s="1">
        <f t="shared" si="130"/>
        <v>1.9</v>
      </c>
      <c r="S2072">
        <v>1.9</v>
      </c>
      <c r="T2072" t="b">
        <v>0</v>
      </c>
      <c r="U2072" t="str">
        <f t="shared" si="131"/>
        <v>No Return</v>
      </c>
    </row>
    <row r="2073" spans="1:21" hidden="1" x14ac:dyDescent="0.3">
      <c r="A2073" t="s">
        <v>2126</v>
      </c>
      <c r="B2073" t="s">
        <v>27</v>
      </c>
      <c r="C2073" t="s">
        <v>22</v>
      </c>
      <c r="D2073" t="s">
        <v>62</v>
      </c>
      <c r="E2073" t="str">
        <f t="shared" si="128"/>
        <v>M</v>
      </c>
      <c r="G2073" t="s">
        <v>25</v>
      </c>
      <c r="H2073" s="8">
        <v>77.45</v>
      </c>
      <c r="I2073" s="3">
        <f t="shared" si="129"/>
        <v>0</v>
      </c>
      <c r="J2073" s="4">
        <v>0</v>
      </c>
      <c r="K2073" s="11">
        <f>Table1[[#This Row],[original_price]]* (Table1[[#This Row],[Markdown percentage updated]])</f>
        <v>0</v>
      </c>
      <c r="L20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73" s="6">
        <v>77.45</v>
      </c>
      <c r="N20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73" s="7">
        <v>45875</v>
      </c>
      <c r="P2073">
        <v>0</v>
      </c>
      <c r="Q2073" s="13" t="str">
        <f>IF(Table1[[#This Row],[stock_quantity]]=0,"NO STOCK",
IF(Table1[[#This Row],[stock_quantity]]&lt;=10,"LOW STOCK",
"IN STOCK"))</f>
        <v>NO STOCK</v>
      </c>
      <c r="R2073" s="1">
        <f t="shared" si="130"/>
        <v>3.1</v>
      </c>
      <c r="S2073">
        <v>3.1</v>
      </c>
      <c r="T2073" t="b">
        <v>0</v>
      </c>
      <c r="U2073" t="str">
        <f t="shared" si="131"/>
        <v>No Return</v>
      </c>
    </row>
    <row r="2074" spans="1:21" hidden="1" x14ac:dyDescent="0.3">
      <c r="A2074" t="s">
        <v>2127</v>
      </c>
      <c r="B2074" t="s">
        <v>38</v>
      </c>
      <c r="C2074" t="s">
        <v>22</v>
      </c>
      <c r="D2074" t="s">
        <v>23</v>
      </c>
      <c r="E2074" t="str">
        <f t="shared" si="128"/>
        <v>S</v>
      </c>
      <c r="F2074" t="s">
        <v>58</v>
      </c>
      <c r="G2074" t="s">
        <v>28</v>
      </c>
      <c r="H2074" s="8">
        <v>34.159999999999997</v>
      </c>
      <c r="I2074" s="3">
        <f t="shared" si="129"/>
        <v>0</v>
      </c>
      <c r="J2074" s="4">
        <v>0</v>
      </c>
      <c r="K2074" s="11">
        <f>Table1[[#This Row],[original_price]]* (Table1[[#This Row],[Markdown percentage updated]])</f>
        <v>0</v>
      </c>
      <c r="L20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74" s="6">
        <v>34.159999999999997</v>
      </c>
      <c r="N20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74" s="7">
        <v>45875</v>
      </c>
      <c r="P2074">
        <v>37</v>
      </c>
      <c r="Q2074" s="16" t="str">
        <f>IF(Table1[[#This Row],[stock_quantity]]=0,"NO STOCK",
IF(Table1[[#This Row],[stock_quantity]]&lt;=10,"LOW STOCK",
"IN STOCK"))</f>
        <v>IN STOCK</v>
      </c>
      <c r="R2074" s="1">
        <f t="shared" si="130"/>
        <v>1.3</v>
      </c>
      <c r="S2074">
        <v>1.3</v>
      </c>
      <c r="T2074" t="b">
        <v>0</v>
      </c>
      <c r="U2074" t="str">
        <f t="shared" si="131"/>
        <v>No Return</v>
      </c>
    </row>
    <row r="2075" spans="1:21" hidden="1" x14ac:dyDescent="0.3">
      <c r="A2075" t="s">
        <v>2128</v>
      </c>
      <c r="B2075" t="s">
        <v>27</v>
      </c>
      <c r="C2075" t="s">
        <v>75</v>
      </c>
      <c r="D2075" t="s">
        <v>62</v>
      </c>
      <c r="E2075" t="str">
        <f t="shared" si="128"/>
        <v>XL</v>
      </c>
      <c r="G2075" t="s">
        <v>35</v>
      </c>
      <c r="H2075" s="8">
        <v>71.3</v>
      </c>
      <c r="I2075" s="3">
        <f t="shared" si="129"/>
        <v>0</v>
      </c>
      <c r="J2075" s="4">
        <v>0</v>
      </c>
      <c r="K2075" s="11">
        <f>Table1[[#This Row],[original_price]]* (Table1[[#This Row],[Markdown percentage updated]])</f>
        <v>0</v>
      </c>
      <c r="L20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75" s="6">
        <v>71.3</v>
      </c>
      <c r="N20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75" s="7">
        <v>45875</v>
      </c>
      <c r="P2075">
        <v>21</v>
      </c>
      <c r="Q2075" s="16" t="str">
        <f>IF(Table1[[#This Row],[stock_quantity]]=0,"NO STOCK",
IF(Table1[[#This Row],[stock_quantity]]&lt;=10,"LOW STOCK",
"IN STOCK"))</f>
        <v>IN STOCK</v>
      </c>
      <c r="R2075" s="1">
        <f t="shared" si="130"/>
        <v>1.6</v>
      </c>
      <c r="S2075">
        <v>1.6</v>
      </c>
      <c r="T2075" t="b">
        <v>0</v>
      </c>
      <c r="U2075" t="str">
        <f t="shared" si="131"/>
        <v>No Return</v>
      </c>
    </row>
    <row r="2076" spans="1:21" hidden="1" x14ac:dyDescent="0.3">
      <c r="A2076" t="s">
        <v>2129</v>
      </c>
      <c r="B2076" t="s">
        <v>21</v>
      </c>
      <c r="C2076" t="s">
        <v>48</v>
      </c>
      <c r="D2076" t="s">
        <v>62</v>
      </c>
      <c r="E2076" t="str">
        <f t="shared" si="128"/>
        <v>XL</v>
      </c>
      <c r="F2076" t="s">
        <v>58</v>
      </c>
      <c r="G2076" t="s">
        <v>70</v>
      </c>
      <c r="H2076" s="8">
        <v>63.67</v>
      </c>
      <c r="I2076" s="3">
        <f t="shared" si="129"/>
        <v>0</v>
      </c>
      <c r="J2076" s="4">
        <v>0</v>
      </c>
      <c r="K2076" s="11">
        <f>Table1[[#This Row],[original_price]]* (Table1[[#This Row],[Markdown percentage updated]])</f>
        <v>0</v>
      </c>
      <c r="L20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76" s="6">
        <v>63.67</v>
      </c>
      <c r="N20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76" s="7">
        <v>45875</v>
      </c>
      <c r="P2076">
        <v>18</v>
      </c>
      <c r="Q2076" s="16" t="str">
        <f>IF(Table1[[#This Row],[stock_quantity]]=0,"NO STOCK",
IF(Table1[[#This Row],[stock_quantity]]&lt;=10,"LOW STOCK",
"IN STOCK"))</f>
        <v>IN STOCK</v>
      </c>
      <c r="R2076" s="1">
        <f t="shared" si="130"/>
        <v>1.6</v>
      </c>
      <c r="S2076">
        <v>1.6</v>
      </c>
      <c r="T2076" t="b">
        <v>0</v>
      </c>
      <c r="U2076" t="str">
        <f t="shared" si="131"/>
        <v>No Return</v>
      </c>
    </row>
    <row r="2077" spans="1:21" hidden="1" x14ac:dyDescent="0.3">
      <c r="A2077" t="s">
        <v>2130</v>
      </c>
      <c r="B2077" t="s">
        <v>15</v>
      </c>
      <c r="C2077" t="s">
        <v>75</v>
      </c>
      <c r="D2077" t="s">
        <v>34</v>
      </c>
      <c r="E2077" t="str">
        <f t="shared" si="128"/>
        <v>XXL</v>
      </c>
      <c r="F2077" t="s">
        <v>39</v>
      </c>
      <c r="G2077" t="s">
        <v>40</v>
      </c>
      <c r="H2077" s="8">
        <v>249.98</v>
      </c>
      <c r="I2077" s="3">
        <f t="shared" si="129"/>
        <v>0</v>
      </c>
      <c r="J2077" s="4">
        <v>0</v>
      </c>
      <c r="K2077" s="11">
        <f>Table1[[#This Row],[original_price]]* (Table1[[#This Row],[Markdown percentage updated]])</f>
        <v>0</v>
      </c>
      <c r="L20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77" s="6">
        <v>249.98</v>
      </c>
      <c r="N20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77" s="7">
        <v>45875</v>
      </c>
      <c r="P2077">
        <v>46</v>
      </c>
      <c r="Q2077" s="16" t="str">
        <f>IF(Table1[[#This Row],[stock_quantity]]=0,"NO STOCK",
IF(Table1[[#This Row],[stock_quantity]]&lt;=10,"LOW STOCK",
"IN STOCK"))</f>
        <v>IN STOCK</v>
      </c>
      <c r="R2077" s="1">
        <f t="shared" si="130"/>
        <v>3.6</v>
      </c>
      <c r="S2077">
        <v>3.6</v>
      </c>
      <c r="T2077" t="b">
        <v>0</v>
      </c>
      <c r="U2077" t="str">
        <f t="shared" si="131"/>
        <v>No Return</v>
      </c>
    </row>
    <row r="2078" spans="1:21" hidden="1" x14ac:dyDescent="0.3">
      <c r="A2078" t="s">
        <v>2131</v>
      </c>
      <c r="B2078" t="s">
        <v>15</v>
      </c>
      <c r="C2078" t="s">
        <v>53</v>
      </c>
      <c r="D2078" t="s">
        <v>17</v>
      </c>
      <c r="E2078" t="str">
        <f t="shared" si="128"/>
        <v>OS</v>
      </c>
      <c r="F2078" t="s">
        <v>18</v>
      </c>
      <c r="G2078" t="s">
        <v>46</v>
      </c>
      <c r="H2078" s="8">
        <v>103.92</v>
      </c>
      <c r="I2078" s="3">
        <f t="shared" si="129"/>
        <v>0</v>
      </c>
      <c r="J2078" s="4">
        <v>0</v>
      </c>
      <c r="K2078" s="11">
        <f>Table1[[#This Row],[original_price]]* (Table1[[#This Row],[Markdown percentage updated]])</f>
        <v>0</v>
      </c>
      <c r="L207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78" s="6">
        <v>103.92</v>
      </c>
      <c r="N207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78" s="7">
        <v>45589</v>
      </c>
      <c r="P2078">
        <v>5</v>
      </c>
      <c r="Q2078" s="17" t="str">
        <f>IF(Table1[[#This Row],[stock_quantity]]=0,"NO STOCK",
IF(Table1[[#This Row],[stock_quantity]]&lt;=10,"LOW STOCK",
"IN STOCK"))</f>
        <v>LOW STOCK</v>
      </c>
      <c r="R2078" s="1">
        <f t="shared" si="130"/>
        <v>0</v>
      </c>
      <c r="T2078" t="b">
        <v>0</v>
      </c>
      <c r="U2078" t="str">
        <f t="shared" si="131"/>
        <v>No Return</v>
      </c>
    </row>
    <row r="2079" spans="1:21" hidden="1" x14ac:dyDescent="0.3">
      <c r="A2079" t="s">
        <v>2132</v>
      </c>
      <c r="B2079" t="s">
        <v>30</v>
      </c>
      <c r="C2079" t="s">
        <v>22</v>
      </c>
      <c r="D2079" t="s">
        <v>62</v>
      </c>
      <c r="E2079" t="str">
        <f t="shared" si="128"/>
        <v>OS</v>
      </c>
      <c r="F2079" t="s">
        <v>18</v>
      </c>
      <c r="G2079" t="s">
        <v>28</v>
      </c>
      <c r="H2079" s="8">
        <v>116.76</v>
      </c>
      <c r="I2079" s="3">
        <f t="shared" si="129"/>
        <v>0</v>
      </c>
      <c r="J2079" s="4">
        <v>0</v>
      </c>
      <c r="K2079" s="11">
        <f>Table1[[#This Row],[original_price]]* (Table1[[#This Row],[Markdown percentage updated]])</f>
        <v>0</v>
      </c>
      <c r="L207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79" s="6">
        <v>116.76</v>
      </c>
      <c r="N207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79" s="7">
        <v>45875</v>
      </c>
      <c r="P2079">
        <v>13</v>
      </c>
      <c r="Q2079" s="16" t="str">
        <f>IF(Table1[[#This Row],[stock_quantity]]=0,"NO STOCK",
IF(Table1[[#This Row],[stock_quantity]]&lt;=10,"LOW STOCK",
"IN STOCK"))</f>
        <v>IN STOCK</v>
      </c>
      <c r="R2079" s="1">
        <f t="shared" si="130"/>
        <v>0</v>
      </c>
      <c r="T2079" t="b">
        <v>0</v>
      </c>
      <c r="U2079" t="str">
        <f t="shared" si="131"/>
        <v>No Return</v>
      </c>
    </row>
    <row r="2080" spans="1:21" hidden="1" x14ac:dyDescent="0.3">
      <c r="A2080" t="s">
        <v>2133</v>
      </c>
      <c r="B2080" t="s">
        <v>30</v>
      </c>
      <c r="C2080" t="s">
        <v>61</v>
      </c>
      <c r="D2080" t="s">
        <v>23</v>
      </c>
      <c r="E2080" t="str">
        <f t="shared" si="128"/>
        <v>S</v>
      </c>
      <c r="F2080" t="s">
        <v>49</v>
      </c>
      <c r="G2080" t="s">
        <v>35</v>
      </c>
      <c r="H2080" s="8">
        <v>102.61</v>
      </c>
      <c r="I2080" s="3">
        <f t="shared" si="129"/>
        <v>0</v>
      </c>
      <c r="J2080" s="4">
        <v>0</v>
      </c>
      <c r="K2080" s="11">
        <f>Table1[[#This Row],[original_price]]* (Table1[[#This Row],[Markdown percentage updated]])</f>
        <v>0</v>
      </c>
      <c r="L208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80" s="6">
        <v>102.61</v>
      </c>
      <c r="N208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80" s="7">
        <v>45875</v>
      </c>
      <c r="P2080">
        <v>47</v>
      </c>
      <c r="Q2080" s="16" t="str">
        <f>IF(Table1[[#This Row],[stock_quantity]]=0,"NO STOCK",
IF(Table1[[#This Row],[stock_quantity]]&lt;=10,"LOW STOCK",
"IN STOCK"))</f>
        <v>IN STOCK</v>
      </c>
      <c r="R2080" s="1">
        <f t="shared" si="130"/>
        <v>3.5</v>
      </c>
      <c r="S2080">
        <v>3.5</v>
      </c>
      <c r="T2080" t="b">
        <v>0</v>
      </c>
      <c r="U2080" t="str">
        <f t="shared" si="131"/>
        <v>No Return</v>
      </c>
    </row>
    <row r="2081" spans="1:22" hidden="1" x14ac:dyDescent="0.3">
      <c r="A2081" t="s">
        <v>2134</v>
      </c>
      <c r="B2081" t="s">
        <v>27</v>
      </c>
      <c r="C2081" t="s">
        <v>53</v>
      </c>
      <c r="D2081" t="s">
        <v>17</v>
      </c>
      <c r="E2081" t="str">
        <f t="shared" si="128"/>
        <v>XXL</v>
      </c>
      <c r="G2081" t="s">
        <v>25</v>
      </c>
      <c r="H2081" s="8">
        <v>43.48</v>
      </c>
      <c r="I2081" s="3">
        <f t="shared" si="129"/>
        <v>0</v>
      </c>
      <c r="J2081" s="4">
        <v>0</v>
      </c>
      <c r="K2081" s="11">
        <f>Table1[[#This Row],[original_price]]* (Table1[[#This Row],[Markdown percentage updated]])</f>
        <v>0</v>
      </c>
      <c r="L208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81" s="6">
        <v>43.48</v>
      </c>
      <c r="N208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81" s="7">
        <v>45527</v>
      </c>
      <c r="P2081">
        <v>11</v>
      </c>
      <c r="Q2081" s="16" t="str">
        <f>IF(Table1[[#This Row],[stock_quantity]]=0,"NO STOCK",
IF(Table1[[#This Row],[stock_quantity]]&lt;=10,"LOW STOCK",
"IN STOCK"))</f>
        <v>IN STOCK</v>
      </c>
      <c r="R2081" s="1">
        <f t="shared" si="130"/>
        <v>4.7</v>
      </c>
      <c r="S2081">
        <v>4.7</v>
      </c>
      <c r="T2081" t="b">
        <v>0</v>
      </c>
      <c r="U2081" t="str">
        <f t="shared" si="131"/>
        <v>No Return</v>
      </c>
    </row>
    <row r="2082" spans="1:22" hidden="1" x14ac:dyDescent="0.3">
      <c r="A2082" t="s">
        <v>2135</v>
      </c>
      <c r="B2082" t="s">
        <v>27</v>
      </c>
      <c r="C2082" t="s">
        <v>75</v>
      </c>
      <c r="D2082" t="s">
        <v>23</v>
      </c>
      <c r="E2082" t="str">
        <f t="shared" si="128"/>
        <v>S</v>
      </c>
      <c r="G2082" t="s">
        <v>25</v>
      </c>
      <c r="H2082" s="8">
        <v>39.9</v>
      </c>
      <c r="I2082" s="3">
        <f t="shared" si="129"/>
        <v>0</v>
      </c>
      <c r="J2082" s="4">
        <v>0</v>
      </c>
      <c r="K2082" s="11">
        <f>Table1[[#This Row],[original_price]]* (Table1[[#This Row],[Markdown percentage updated]])</f>
        <v>0</v>
      </c>
      <c r="L208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82" s="6">
        <v>39.9</v>
      </c>
      <c r="N208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82" s="7">
        <v>45875</v>
      </c>
      <c r="P2082">
        <v>6</v>
      </c>
      <c r="Q2082" s="17" t="str">
        <f>IF(Table1[[#This Row],[stock_quantity]]=0,"NO STOCK",
IF(Table1[[#This Row],[stock_quantity]]&lt;=10,"LOW STOCK",
"IN STOCK"))</f>
        <v>LOW STOCK</v>
      </c>
      <c r="R2082" s="1">
        <f t="shared" si="130"/>
        <v>2.4</v>
      </c>
      <c r="S2082">
        <v>2.4</v>
      </c>
      <c r="T2082" t="b">
        <v>1</v>
      </c>
      <c r="U2082" s="13" t="str">
        <f t="shared" si="131"/>
        <v>Damaged</v>
      </c>
      <c r="V2082" t="s">
        <v>78</v>
      </c>
    </row>
    <row r="2083" spans="1:22" hidden="1" x14ac:dyDescent="0.3">
      <c r="A2083" t="s">
        <v>2136</v>
      </c>
      <c r="B2083" t="s">
        <v>38</v>
      </c>
      <c r="C2083" t="s">
        <v>16</v>
      </c>
      <c r="D2083" t="s">
        <v>17</v>
      </c>
      <c r="E2083" t="str">
        <f t="shared" si="128"/>
        <v>XS</v>
      </c>
      <c r="F2083" t="s">
        <v>39</v>
      </c>
      <c r="G2083" t="s">
        <v>25</v>
      </c>
      <c r="H2083" s="8">
        <v>86</v>
      </c>
      <c r="I2083" s="3">
        <f t="shared" si="129"/>
        <v>0.36700000000000005</v>
      </c>
      <c r="J2083" s="4">
        <v>36.700000000000003</v>
      </c>
      <c r="K2083" s="11">
        <f>Table1[[#This Row],[original_price]]* (Table1[[#This Row],[Markdown percentage updated]])</f>
        <v>31.562000000000005</v>
      </c>
      <c r="L208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83" s="6">
        <v>54.44</v>
      </c>
      <c r="N208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83" s="7">
        <v>45770</v>
      </c>
      <c r="P2083">
        <v>18</v>
      </c>
      <c r="Q2083" s="16" t="str">
        <f>IF(Table1[[#This Row],[stock_quantity]]=0,"NO STOCK",
IF(Table1[[#This Row],[stock_quantity]]&lt;=10,"LOW STOCK",
"IN STOCK"))</f>
        <v>IN STOCK</v>
      </c>
      <c r="R2083" s="1">
        <f t="shared" si="130"/>
        <v>2.4</v>
      </c>
      <c r="S2083">
        <v>2.4</v>
      </c>
      <c r="T2083" t="b">
        <v>1</v>
      </c>
      <c r="U2083" s="13" t="str">
        <f t="shared" si="131"/>
        <v>Size Issue</v>
      </c>
      <c r="V2083" t="s">
        <v>73</v>
      </c>
    </row>
    <row r="2084" spans="1:22" hidden="1" x14ac:dyDescent="0.3">
      <c r="A2084" t="s">
        <v>2137</v>
      </c>
      <c r="B2084" t="s">
        <v>30</v>
      </c>
      <c r="C2084" t="s">
        <v>61</v>
      </c>
      <c r="D2084" t="s">
        <v>62</v>
      </c>
      <c r="E2084" t="str">
        <f t="shared" si="128"/>
        <v>OS</v>
      </c>
      <c r="F2084" t="s">
        <v>49</v>
      </c>
      <c r="G2084" t="s">
        <v>44</v>
      </c>
      <c r="H2084" s="8">
        <v>154.47999999999999</v>
      </c>
      <c r="I2084" s="3">
        <f t="shared" si="129"/>
        <v>0.58499999999999996</v>
      </c>
      <c r="J2084" s="4">
        <v>58.5</v>
      </c>
      <c r="K2084" s="11">
        <f>Table1[[#This Row],[original_price]]* (Table1[[#This Row],[Markdown percentage updated]])</f>
        <v>90.370799999999988</v>
      </c>
      <c r="L208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84" s="6">
        <v>64.11</v>
      </c>
      <c r="N208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84" s="7">
        <v>45875</v>
      </c>
      <c r="P2084">
        <v>19</v>
      </c>
      <c r="Q2084" s="16" t="str">
        <f>IF(Table1[[#This Row],[stock_quantity]]=0,"NO STOCK",
IF(Table1[[#This Row],[stock_quantity]]&lt;=10,"LOW STOCK",
"IN STOCK"))</f>
        <v>IN STOCK</v>
      </c>
      <c r="R2084" s="1">
        <f t="shared" si="130"/>
        <v>3.2</v>
      </c>
      <c r="S2084">
        <v>3.2</v>
      </c>
      <c r="T2084" t="b">
        <v>0</v>
      </c>
      <c r="U2084" t="str">
        <f t="shared" si="131"/>
        <v>No Return</v>
      </c>
    </row>
    <row r="2085" spans="1:22" hidden="1" x14ac:dyDescent="0.3">
      <c r="A2085" t="s">
        <v>2138</v>
      </c>
      <c r="B2085" t="s">
        <v>42</v>
      </c>
      <c r="C2085" t="s">
        <v>61</v>
      </c>
      <c r="D2085" t="s">
        <v>62</v>
      </c>
      <c r="E2085" t="str">
        <f t="shared" si="128"/>
        <v>M</v>
      </c>
      <c r="F2085" t="s">
        <v>39</v>
      </c>
      <c r="G2085" t="s">
        <v>19</v>
      </c>
      <c r="H2085" s="8">
        <v>141.97</v>
      </c>
      <c r="I2085" s="3">
        <f t="shared" si="129"/>
        <v>0.35299999999999998</v>
      </c>
      <c r="J2085" s="4">
        <v>35.299999999999997</v>
      </c>
      <c r="K2085" s="11">
        <f>Table1[[#This Row],[original_price]]* (Table1[[#This Row],[Markdown percentage updated]])</f>
        <v>50.115409999999997</v>
      </c>
      <c r="L208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85" s="6">
        <v>91.85</v>
      </c>
      <c r="N208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85" s="7">
        <v>45875</v>
      </c>
      <c r="P2085">
        <v>12</v>
      </c>
      <c r="Q2085" s="16" t="str">
        <f>IF(Table1[[#This Row],[stock_quantity]]=0,"NO STOCK",
IF(Table1[[#This Row],[stock_quantity]]&lt;=10,"LOW STOCK",
"IN STOCK"))</f>
        <v>IN STOCK</v>
      </c>
      <c r="R2085" s="1">
        <f t="shared" si="130"/>
        <v>2.6</v>
      </c>
      <c r="S2085">
        <v>2.6</v>
      </c>
      <c r="T2085" t="b">
        <v>0</v>
      </c>
      <c r="U2085" t="str">
        <f t="shared" si="131"/>
        <v>No Return</v>
      </c>
    </row>
    <row r="2086" spans="1:22" hidden="1" x14ac:dyDescent="0.3">
      <c r="A2086" t="s">
        <v>2139</v>
      </c>
      <c r="B2086" t="s">
        <v>15</v>
      </c>
      <c r="C2086" t="s">
        <v>61</v>
      </c>
      <c r="D2086" t="s">
        <v>17</v>
      </c>
      <c r="E2086" t="str">
        <f t="shared" si="128"/>
        <v>S</v>
      </c>
      <c r="F2086" t="s">
        <v>55</v>
      </c>
      <c r="G2086" t="s">
        <v>19</v>
      </c>
      <c r="H2086" s="8">
        <v>119.36</v>
      </c>
      <c r="I2086" s="3">
        <f t="shared" si="129"/>
        <v>0</v>
      </c>
      <c r="J2086" s="4">
        <v>0</v>
      </c>
      <c r="K2086" s="11">
        <f>Table1[[#This Row],[original_price]]* (Table1[[#This Row],[Markdown percentage updated]])</f>
        <v>0</v>
      </c>
      <c r="L208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86" s="6">
        <v>119.36</v>
      </c>
      <c r="N208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86" s="7">
        <v>45840</v>
      </c>
      <c r="P2086">
        <v>30</v>
      </c>
      <c r="Q2086" s="16" t="str">
        <f>IF(Table1[[#This Row],[stock_quantity]]=0,"NO STOCK",
IF(Table1[[#This Row],[stock_quantity]]&lt;=10,"LOW STOCK",
"IN STOCK"))</f>
        <v>IN STOCK</v>
      </c>
      <c r="R2086" s="1">
        <f t="shared" si="130"/>
        <v>2.7</v>
      </c>
      <c r="S2086">
        <v>2.7</v>
      </c>
      <c r="T2086" t="b">
        <v>1</v>
      </c>
      <c r="U2086" s="13" t="str">
        <f t="shared" si="131"/>
        <v>Size Issue</v>
      </c>
      <c r="V2086" t="s">
        <v>73</v>
      </c>
    </row>
    <row r="2087" spans="1:22" hidden="1" x14ac:dyDescent="0.3">
      <c r="A2087" t="s">
        <v>2140</v>
      </c>
      <c r="B2087" t="s">
        <v>27</v>
      </c>
      <c r="C2087" t="s">
        <v>75</v>
      </c>
      <c r="D2087" t="s">
        <v>62</v>
      </c>
      <c r="E2087" t="str">
        <f t="shared" si="128"/>
        <v>XS</v>
      </c>
      <c r="G2087" t="s">
        <v>64</v>
      </c>
      <c r="H2087" s="8">
        <v>15.71</v>
      </c>
      <c r="I2087" s="3">
        <f t="shared" si="129"/>
        <v>0.47600000000000003</v>
      </c>
      <c r="J2087" s="4">
        <v>47.6</v>
      </c>
      <c r="K2087" s="11">
        <f>Table1[[#This Row],[original_price]]* (Table1[[#This Row],[Markdown percentage updated]])</f>
        <v>7.4779600000000013</v>
      </c>
      <c r="L208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87" s="6">
        <v>8.23</v>
      </c>
      <c r="N208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087" s="7">
        <v>45875</v>
      </c>
      <c r="P2087">
        <v>42</v>
      </c>
      <c r="Q2087" s="16" t="str">
        <f>IF(Table1[[#This Row],[stock_quantity]]=0,"NO STOCK",
IF(Table1[[#This Row],[stock_quantity]]&lt;=10,"LOW STOCK",
"IN STOCK"))</f>
        <v>IN STOCK</v>
      </c>
      <c r="R2087" s="1">
        <f t="shared" si="130"/>
        <v>2</v>
      </c>
      <c r="S2087">
        <v>2</v>
      </c>
      <c r="T2087" t="b">
        <v>0</v>
      </c>
      <c r="U2087" t="str">
        <f t="shared" si="131"/>
        <v>No Return</v>
      </c>
    </row>
    <row r="2088" spans="1:22" hidden="1" x14ac:dyDescent="0.3">
      <c r="A2088" t="s">
        <v>2141</v>
      </c>
      <c r="B2088" t="s">
        <v>30</v>
      </c>
      <c r="C2088" t="s">
        <v>43</v>
      </c>
      <c r="D2088" t="s">
        <v>23</v>
      </c>
      <c r="E2088" t="str">
        <f t="shared" si="128"/>
        <v>S</v>
      </c>
      <c r="F2088" t="s">
        <v>58</v>
      </c>
      <c r="G2088" t="s">
        <v>28</v>
      </c>
      <c r="H2088" s="8">
        <v>89.12</v>
      </c>
      <c r="I2088" s="3">
        <f t="shared" si="129"/>
        <v>0</v>
      </c>
      <c r="J2088" s="4">
        <v>0</v>
      </c>
      <c r="K2088" s="11">
        <f>Table1[[#This Row],[original_price]]* (Table1[[#This Row],[Markdown percentage updated]])</f>
        <v>0</v>
      </c>
      <c r="L208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88" s="6">
        <v>89.12</v>
      </c>
      <c r="N208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88" s="7">
        <v>45875</v>
      </c>
      <c r="P2088">
        <v>27</v>
      </c>
      <c r="Q2088" s="16" t="str">
        <f>IF(Table1[[#This Row],[stock_quantity]]=0,"NO STOCK",
IF(Table1[[#This Row],[stock_quantity]]&lt;=10,"LOW STOCK",
"IN STOCK"))</f>
        <v>IN STOCK</v>
      </c>
      <c r="R2088" s="1">
        <f t="shared" si="130"/>
        <v>0</v>
      </c>
      <c r="T2088" t="b">
        <v>1</v>
      </c>
      <c r="U2088" s="13" t="str">
        <f t="shared" si="131"/>
        <v>Damaged</v>
      </c>
      <c r="V2088" t="s">
        <v>78</v>
      </c>
    </row>
    <row r="2089" spans="1:22" hidden="1" x14ac:dyDescent="0.3">
      <c r="A2089" t="s">
        <v>2142</v>
      </c>
      <c r="B2089" t="s">
        <v>38</v>
      </c>
      <c r="C2089" t="s">
        <v>48</v>
      </c>
      <c r="D2089" t="s">
        <v>34</v>
      </c>
      <c r="E2089" t="str">
        <f t="shared" si="128"/>
        <v>L</v>
      </c>
      <c r="F2089" t="s">
        <v>39</v>
      </c>
      <c r="G2089" t="s">
        <v>44</v>
      </c>
      <c r="H2089" s="8">
        <v>30.43</v>
      </c>
      <c r="I2089" s="3">
        <f t="shared" si="129"/>
        <v>0</v>
      </c>
      <c r="J2089" s="4">
        <v>0</v>
      </c>
      <c r="K2089" s="11">
        <f>Table1[[#This Row],[original_price]]* (Table1[[#This Row],[Markdown percentage updated]])</f>
        <v>0</v>
      </c>
      <c r="L208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89" s="6">
        <v>30.43</v>
      </c>
      <c r="N208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89" s="7">
        <v>45875</v>
      </c>
      <c r="P2089">
        <v>32</v>
      </c>
      <c r="Q2089" s="16" t="str">
        <f>IF(Table1[[#This Row],[stock_quantity]]=0,"NO STOCK",
IF(Table1[[#This Row],[stock_quantity]]&lt;=10,"LOW STOCK",
"IN STOCK"))</f>
        <v>IN STOCK</v>
      </c>
      <c r="R2089" s="1">
        <f t="shared" si="130"/>
        <v>3.1</v>
      </c>
      <c r="S2089">
        <v>3.1</v>
      </c>
      <c r="T2089" t="b">
        <v>0</v>
      </c>
      <c r="U2089" t="str">
        <f t="shared" si="131"/>
        <v>No Return</v>
      </c>
    </row>
    <row r="2090" spans="1:22" hidden="1" x14ac:dyDescent="0.3">
      <c r="A2090" t="s">
        <v>2143</v>
      </c>
      <c r="B2090" t="s">
        <v>42</v>
      </c>
      <c r="C2090" t="s">
        <v>75</v>
      </c>
      <c r="D2090" t="s">
        <v>23</v>
      </c>
      <c r="E2090" t="str">
        <f t="shared" si="128"/>
        <v>OS</v>
      </c>
      <c r="F2090" t="s">
        <v>55</v>
      </c>
      <c r="G2090" t="s">
        <v>25</v>
      </c>
      <c r="H2090" s="8">
        <v>115.4</v>
      </c>
      <c r="I2090" s="3">
        <f t="shared" si="129"/>
        <v>0</v>
      </c>
      <c r="J2090" s="4">
        <v>0</v>
      </c>
      <c r="K2090" s="11">
        <f>Table1[[#This Row],[original_price]]* (Table1[[#This Row],[Markdown percentage updated]])</f>
        <v>0</v>
      </c>
      <c r="L209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90" s="6">
        <v>115.4</v>
      </c>
      <c r="N209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90" s="7">
        <v>45875</v>
      </c>
      <c r="P2090">
        <v>7</v>
      </c>
      <c r="Q2090" s="17" t="str">
        <f>IF(Table1[[#This Row],[stock_quantity]]=0,"NO STOCK",
IF(Table1[[#This Row],[stock_quantity]]&lt;=10,"LOW STOCK",
"IN STOCK"))</f>
        <v>LOW STOCK</v>
      </c>
      <c r="R2090" s="1">
        <f t="shared" si="130"/>
        <v>4.5</v>
      </c>
      <c r="S2090">
        <v>4.5</v>
      </c>
      <c r="T2090" t="b">
        <v>0</v>
      </c>
      <c r="U2090" t="str">
        <f t="shared" si="131"/>
        <v>No Return</v>
      </c>
    </row>
    <row r="2091" spans="1:22" hidden="1" x14ac:dyDescent="0.3">
      <c r="A2091" t="s">
        <v>2144</v>
      </c>
      <c r="B2091" t="s">
        <v>15</v>
      </c>
      <c r="C2091" t="s">
        <v>61</v>
      </c>
      <c r="D2091" t="s">
        <v>23</v>
      </c>
      <c r="E2091" t="str">
        <f t="shared" si="128"/>
        <v>M</v>
      </c>
      <c r="F2091" t="s">
        <v>39</v>
      </c>
      <c r="G2091" t="s">
        <v>19</v>
      </c>
      <c r="H2091" s="8">
        <v>155.19999999999999</v>
      </c>
      <c r="I2091" s="3">
        <f t="shared" si="129"/>
        <v>0</v>
      </c>
      <c r="J2091" s="4">
        <v>0</v>
      </c>
      <c r="K2091" s="11">
        <f>Table1[[#This Row],[original_price]]* (Table1[[#This Row],[Markdown percentage updated]])</f>
        <v>0</v>
      </c>
      <c r="L209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91" s="6">
        <v>155.19999999999999</v>
      </c>
      <c r="N209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91" s="7">
        <v>45875</v>
      </c>
      <c r="P2091">
        <v>5</v>
      </c>
      <c r="Q2091" s="17" t="str">
        <f>IF(Table1[[#This Row],[stock_quantity]]=0,"NO STOCK",
IF(Table1[[#This Row],[stock_quantity]]&lt;=10,"LOW STOCK",
"IN STOCK"))</f>
        <v>LOW STOCK</v>
      </c>
      <c r="R2091" s="1">
        <f t="shared" si="130"/>
        <v>4.8</v>
      </c>
      <c r="S2091">
        <v>4.8</v>
      </c>
      <c r="T2091" t="b">
        <v>0</v>
      </c>
      <c r="U2091" t="str">
        <f t="shared" si="131"/>
        <v>No Return</v>
      </c>
    </row>
    <row r="2092" spans="1:22" hidden="1" x14ac:dyDescent="0.3">
      <c r="A2092" t="s">
        <v>2145</v>
      </c>
      <c r="B2092" t="s">
        <v>38</v>
      </c>
      <c r="C2092" t="s">
        <v>75</v>
      </c>
      <c r="D2092" t="s">
        <v>34</v>
      </c>
      <c r="E2092" t="str">
        <f t="shared" si="128"/>
        <v>XXL</v>
      </c>
      <c r="F2092" t="s">
        <v>24</v>
      </c>
      <c r="G2092" t="s">
        <v>40</v>
      </c>
      <c r="H2092" s="8">
        <v>104.83</v>
      </c>
      <c r="I2092" s="3">
        <f t="shared" si="129"/>
        <v>0</v>
      </c>
      <c r="J2092" s="4">
        <v>0</v>
      </c>
      <c r="K2092" s="11">
        <f>Table1[[#This Row],[original_price]]* (Table1[[#This Row],[Markdown percentage updated]])</f>
        <v>0</v>
      </c>
      <c r="L209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92" s="6">
        <v>104.83</v>
      </c>
      <c r="N209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92" s="7">
        <v>45875</v>
      </c>
      <c r="P2092">
        <v>26</v>
      </c>
      <c r="Q2092" s="16" t="str">
        <f>IF(Table1[[#This Row],[stock_quantity]]=0,"NO STOCK",
IF(Table1[[#This Row],[stock_quantity]]&lt;=10,"LOW STOCK",
"IN STOCK"))</f>
        <v>IN STOCK</v>
      </c>
      <c r="R2092" s="1">
        <f t="shared" si="130"/>
        <v>4</v>
      </c>
      <c r="S2092">
        <v>4</v>
      </c>
      <c r="T2092" t="b">
        <v>0</v>
      </c>
      <c r="U2092" t="str">
        <f t="shared" si="131"/>
        <v>No Return</v>
      </c>
    </row>
    <row r="2093" spans="1:22" hidden="1" x14ac:dyDescent="0.3">
      <c r="A2093" t="s">
        <v>2146</v>
      </c>
      <c r="B2093" t="s">
        <v>27</v>
      </c>
      <c r="C2093" t="s">
        <v>61</v>
      </c>
      <c r="D2093" t="s">
        <v>62</v>
      </c>
      <c r="E2093" t="str">
        <f t="shared" si="128"/>
        <v>OS</v>
      </c>
      <c r="G2093" t="s">
        <v>40</v>
      </c>
      <c r="H2093" s="8">
        <v>41.62</v>
      </c>
      <c r="I2093" s="3">
        <f t="shared" si="129"/>
        <v>0</v>
      </c>
      <c r="J2093" s="4">
        <v>0</v>
      </c>
      <c r="K2093" s="11">
        <f>Table1[[#This Row],[original_price]]* (Table1[[#This Row],[Markdown percentage updated]])</f>
        <v>0</v>
      </c>
      <c r="L209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93" s="6">
        <v>41.62</v>
      </c>
      <c r="N209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93" s="7">
        <v>45875</v>
      </c>
      <c r="P2093">
        <v>33</v>
      </c>
      <c r="Q2093" s="16" t="str">
        <f>IF(Table1[[#This Row],[stock_quantity]]=0,"NO STOCK",
IF(Table1[[#This Row],[stock_quantity]]&lt;=10,"LOW STOCK",
"IN STOCK"))</f>
        <v>IN STOCK</v>
      </c>
      <c r="R2093" s="1">
        <f t="shared" si="130"/>
        <v>0</v>
      </c>
      <c r="T2093" t="b">
        <v>0</v>
      </c>
      <c r="U2093" t="str">
        <f t="shared" si="131"/>
        <v>No Return</v>
      </c>
    </row>
    <row r="2094" spans="1:22" hidden="1" x14ac:dyDescent="0.3">
      <c r="A2094" t="s">
        <v>2147</v>
      </c>
      <c r="B2094" t="s">
        <v>38</v>
      </c>
      <c r="C2094" t="s">
        <v>53</v>
      </c>
      <c r="D2094" t="s">
        <v>17</v>
      </c>
      <c r="E2094" t="str">
        <f t="shared" si="128"/>
        <v>M</v>
      </c>
      <c r="F2094" t="s">
        <v>58</v>
      </c>
      <c r="G2094" t="s">
        <v>56</v>
      </c>
      <c r="H2094" s="8">
        <v>94.92</v>
      </c>
      <c r="I2094" s="3">
        <f t="shared" si="129"/>
        <v>0</v>
      </c>
      <c r="J2094" s="4">
        <v>0</v>
      </c>
      <c r="K2094" s="11">
        <f>Table1[[#This Row],[original_price]]* (Table1[[#This Row],[Markdown percentage updated]])</f>
        <v>0</v>
      </c>
      <c r="L209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94" s="6">
        <v>94.92</v>
      </c>
      <c r="N209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94" s="7">
        <v>45564</v>
      </c>
      <c r="P2094">
        <v>20</v>
      </c>
      <c r="Q2094" s="16" t="str">
        <f>IF(Table1[[#This Row],[stock_quantity]]=0,"NO STOCK",
IF(Table1[[#This Row],[stock_quantity]]&lt;=10,"LOW STOCK",
"IN STOCK"))</f>
        <v>IN STOCK</v>
      </c>
      <c r="R2094" s="1">
        <f t="shared" si="130"/>
        <v>2.2999999999999998</v>
      </c>
      <c r="S2094">
        <v>2.2999999999999998</v>
      </c>
      <c r="T2094" t="b">
        <v>0</v>
      </c>
      <c r="U2094" t="str">
        <f t="shared" si="131"/>
        <v>No Return</v>
      </c>
    </row>
    <row r="2095" spans="1:22" hidden="1" x14ac:dyDescent="0.3">
      <c r="A2095" t="s">
        <v>2148</v>
      </c>
      <c r="B2095" t="s">
        <v>38</v>
      </c>
      <c r="C2095" t="s">
        <v>43</v>
      </c>
      <c r="D2095" t="s">
        <v>34</v>
      </c>
      <c r="E2095" t="str">
        <f t="shared" si="128"/>
        <v>L</v>
      </c>
      <c r="F2095" t="s">
        <v>49</v>
      </c>
      <c r="G2095" t="s">
        <v>19</v>
      </c>
      <c r="H2095" s="8">
        <v>107.92</v>
      </c>
      <c r="I2095" s="3">
        <f t="shared" si="129"/>
        <v>0.222</v>
      </c>
      <c r="J2095" s="4">
        <v>22.2</v>
      </c>
      <c r="K2095" s="11">
        <f>Table1[[#This Row],[original_price]]* (Table1[[#This Row],[Markdown percentage updated]])</f>
        <v>23.95824</v>
      </c>
      <c r="L209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095" s="6">
        <v>83.96</v>
      </c>
      <c r="N209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95" s="7">
        <v>45875</v>
      </c>
      <c r="P2095">
        <v>35</v>
      </c>
      <c r="Q2095" s="16" t="str">
        <f>IF(Table1[[#This Row],[stock_quantity]]=0,"NO STOCK",
IF(Table1[[#This Row],[stock_quantity]]&lt;=10,"LOW STOCK",
"IN STOCK"))</f>
        <v>IN STOCK</v>
      </c>
      <c r="R2095" s="1">
        <f t="shared" si="130"/>
        <v>3.7</v>
      </c>
      <c r="S2095">
        <v>3.7</v>
      </c>
      <c r="T2095" t="b">
        <v>0</v>
      </c>
      <c r="U2095" t="str">
        <f t="shared" si="131"/>
        <v>No Return</v>
      </c>
    </row>
    <row r="2096" spans="1:22" hidden="1" x14ac:dyDescent="0.3">
      <c r="A2096" t="s">
        <v>2149</v>
      </c>
      <c r="B2096" t="s">
        <v>27</v>
      </c>
      <c r="C2096" t="s">
        <v>75</v>
      </c>
      <c r="D2096" t="s">
        <v>62</v>
      </c>
      <c r="E2096" t="str">
        <f t="shared" si="128"/>
        <v>L</v>
      </c>
      <c r="G2096" t="s">
        <v>46</v>
      </c>
      <c r="H2096" s="8">
        <v>45.52</v>
      </c>
      <c r="I2096" s="3">
        <f t="shared" si="129"/>
        <v>0</v>
      </c>
      <c r="J2096" s="4">
        <v>0</v>
      </c>
      <c r="K2096" s="11">
        <f>Table1[[#This Row],[original_price]]* (Table1[[#This Row],[Markdown percentage updated]])</f>
        <v>0</v>
      </c>
      <c r="L209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96" s="6">
        <v>45.52</v>
      </c>
      <c r="N209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96" s="7">
        <v>45875</v>
      </c>
      <c r="P2096">
        <v>41</v>
      </c>
      <c r="Q2096" s="16" t="str">
        <f>IF(Table1[[#This Row],[stock_quantity]]=0,"NO STOCK",
IF(Table1[[#This Row],[stock_quantity]]&lt;=10,"LOW STOCK",
"IN STOCK"))</f>
        <v>IN STOCK</v>
      </c>
      <c r="R2096" s="1">
        <f t="shared" si="130"/>
        <v>1.6</v>
      </c>
      <c r="S2096">
        <v>1.6</v>
      </c>
      <c r="T2096" t="b">
        <v>0</v>
      </c>
      <c r="U2096" t="str">
        <f t="shared" si="131"/>
        <v>No Return</v>
      </c>
    </row>
    <row r="2097" spans="1:22" hidden="1" x14ac:dyDescent="0.3">
      <c r="A2097" t="s">
        <v>2150</v>
      </c>
      <c r="B2097" t="s">
        <v>38</v>
      </c>
      <c r="C2097" t="s">
        <v>61</v>
      </c>
      <c r="D2097" t="s">
        <v>23</v>
      </c>
      <c r="E2097" t="str">
        <f t="shared" si="128"/>
        <v>M</v>
      </c>
      <c r="F2097" t="s">
        <v>58</v>
      </c>
      <c r="G2097" t="s">
        <v>46</v>
      </c>
      <c r="H2097" s="8">
        <v>112.1</v>
      </c>
      <c r="I2097" s="3">
        <f t="shared" si="129"/>
        <v>0.307</v>
      </c>
      <c r="J2097" s="4">
        <v>30.7</v>
      </c>
      <c r="K2097" s="11">
        <f>Table1[[#This Row],[original_price]]* (Table1[[#This Row],[Markdown percentage updated]])</f>
        <v>34.414699999999996</v>
      </c>
      <c r="L209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097" s="6">
        <v>77.69</v>
      </c>
      <c r="N209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097" s="7">
        <v>45875</v>
      </c>
      <c r="P2097">
        <v>10</v>
      </c>
      <c r="Q2097" s="17" t="str">
        <f>IF(Table1[[#This Row],[stock_quantity]]=0,"NO STOCK",
IF(Table1[[#This Row],[stock_quantity]]&lt;=10,"LOW STOCK",
"IN STOCK"))</f>
        <v>LOW STOCK</v>
      </c>
      <c r="R2097" s="1">
        <f t="shared" si="130"/>
        <v>1</v>
      </c>
      <c r="S2097">
        <v>1</v>
      </c>
      <c r="T2097" t="b">
        <v>0</v>
      </c>
      <c r="U2097" t="str">
        <f t="shared" si="131"/>
        <v>No Return</v>
      </c>
    </row>
    <row r="2098" spans="1:22" hidden="1" x14ac:dyDescent="0.3">
      <c r="A2098" t="s">
        <v>2151</v>
      </c>
      <c r="B2098" t="s">
        <v>30</v>
      </c>
      <c r="C2098" t="s">
        <v>22</v>
      </c>
      <c r="D2098" t="s">
        <v>17</v>
      </c>
      <c r="E2098" t="str">
        <f t="shared" si="128"/>
        <v>XL</v>
      </c>
      <c r="F2098" t="s">
        <v>24</v>
      </c>
      <c r="G2098" t="s">
        <v>66</v>
      </c>
      <c r="H2098" s="8">
        <v>103.9</v>
      </c>
      <c r="I2098" s="3">
        <f t="shared" si="129"/>
        <v>0</v>
      </c>
      <c r="J2098" s="4">
        <v>0</v>
      </c>
      <c r="K2098" s="11">
        <f>Table1[[#This Row],[original_price]]* (Table1[[#This Row],[Markdown percentage updated]])</f>
        <v>0</v>
      </c>
      <c r="L209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98" s="6">
        <v>103.9</v>
      </c>
      <c r="N209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98" s="7">
        <v>45861</v>
      </c>
      <c r="P2098">
        <v>27</v>
      </c>
      <c r="Q2098" s="16" t="str">
        <f>IF(Table1[[#This Row],[stock_quantity]]=0,"NO STOCK",
IF(Table1[[#This Row],[stock_quantity]]&lt;=10,"LOW STOCK",
"IN STOCK"))</f>
        <v>IN STOCK</v>
      </c>
      <c r="R2098" s="1">
        <f t="shared" si="130"/>
        <v>2.1</v>
      </c>
      <c r="S2098">
        <v>2.1</v>
      </c>
      <c r="T2098" t="b">
        <v>0</v>
      </c>
      <c r="U2098" t="str">
        <f t="shared" si="131"/>
        <v>No Return</v>
      </c>
    </row>
    <row r="2099" spans="1:22" hidden="1" x14ac:dyDescent="0.3">
      <c r="A2099" t="s">
        <v>2152</v>
      </c>
      <c r="B2099" t="s">
        <v>15</v>
      </c>
      <c r="C2099" t="s">
        <v>32</v>
      </c>
      <c r="D2099" t="s">
        <v>23</v>
      </c>
      <c r="E2099" t="str">
        <f t="shared" si="128"/>
        <v>XXL</v>
      </c>
      <c r="F2099" t="s">
        <v>24</v>
      </c>
      <c r="G2099" t="s">
        <v>25</v>
      </c>
      <c r="H2099" s="8">
        <v>168.02</v>
      </c>
      <c r="I2099" s="3">
        <f t="shared" si="129"/>
        <v>0</v>
      </c>
      <c r="J2099" s="4">
        <v>0</v>
      </c>
      <c r="K2099" s="11">
        <f>Table1[[#This Row],[original_price]]* (Table1[[#This Row],[Markdown percentage updated]])</f>
        <v>0</v>
      </c>
      <c r="L209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099" s="6">
        <v>168.02</v>
      </c>
      <c r="N209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099" s="7">
        <v>45875</v>
      </c>
      <c r="P2099">
        <v>30</v>
      </c>
      <c r="Q2099" s="16" t="str">
        <f>IF(Table1[[#This Row],[stock_quantity]]=0,"NO STOCK",
IF(Table1[[#This Row],[stock_quantity]]&lt;=10,"LOW STOCK",
"IN STOCK"))</f>
        <v>IN STOCK</v>
      </c>
      <c r="R2099" s="1">
        <f t="shared" si="130"/>
        <v>1.6</v>
      </c>
      <c r="S2099">
        <v>1.6</v>
      </c>
      <c r="T2099" t="b">
        <v>1</v>
      </c>
      <c r="U2099" s="13" t="str">
        <f t="shared" si="131"/>
        <v>Size Issue</v>
      </c>
      <c r="V2099" t="s">
        <v>73</v>
      </c>
    </row>
    <row r="2100" spans="1:22" hidden="1" x14ac:dyDescent="0.3">
      <c r="A2100" t="s">
        <v>2153</v>
      </c>
      <c r="B2100" t="s">
        <v>30</v>
      </c>
      <c r="C2100" t="s">
        <v>43</v>
      </c>
      <c r="D2100" t="s">
        <v>34</v>
      </c>
      <c r="E2100" t="str">
        <f t="shared" si="128"/>
        <v>OS</v>
      </c>
      <c r="F2100" t="s">
        <v>58</v>
      </c>
      <c r="G2100" t="s">
        <v>70</v>
      </c>
      <c r="H2100" s="8">
        <v>80.41</v>
      </c>
      <c r="I2100" s="3">
        <f t="shared" si="129"/>
        <v>0</v>
      </c>
      <c r="J2100" s="4">
        <v>0</v>
      </c>
      <c r="K2100" s="11">
        <f>Table1[[#This Row],[original_price]]* (Table1[[#This Row],[Markdown percentage updated]])</f>
        <v>0</v>
      </c>
      <c r="L210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00" s="6">
        <v>80.41</v>
      </c>
      <c r="N210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00" s="7">
        <v>45875</v>
      </c>
      <c r="P2100">
        <v>46</v>
      </c>
      <c r="Q2100" s="16" t="str">
        <f>IF(Table1[[#This Row],[stock_quantity]]=0,"NO STOCK",
IF(Table1[[#This Row],[stock_quantity]]&lt;=10,"LOW STOCK",
"IN STOCK"))</f>
        <v>IN STOCK</v>
      </c>
      <c r="R2100" s="1">
        <f t="shared" si="130"/>
        <v>2.8</v>
      </c>
      <c r="S2100">
        <v>2.8</v>
      </c>
      <c r="T2100" t="b">
        <v>0</v>
      </c>
      <c r="U2100" t="str">
        <f t="shared" si="131"/>
        <v>No Return</v>
      </c>
    </row>
    <row r="2101" spans="1:22" hidden="1" x14ac:dyDescent="0.3">
      <c r="A2101" t="s">
        <v>2154</v>
      </c>
      <c r="B2101" t="s">
        <v>38</v>
      </c>
      <c r="C2101" t="s">
        <v>75</v>
      </c>
      <c r="D2101" t="s">
        <v>17</v>
      </c>
      <c r="E2101" t="str">
        <f t="shared" si="128"/>
        <v>XS</v>
      </c>
      <c r="F2101" t="s">
        <v>18</v>
      </c>
      <c r="G2101" t="s">
        <v>46</v>
      </c>
      <c r="H2101" s="8">
        <v>102.76</v>
      </c>
      <c r="I2101" s="3">
        <f t="shared" si="129"/>
        <v>0</v>
      </c>
      <c r="J2101" s="4">
        <v>0</v>
      </c>
      <c r="K2101" s="11">
        <f>Table1[[#This Row],[original_price]]* (Table1[[#This Row],[Markdown percentage updated]])</f>
        <v>0</v>
      </c>
      <c r="L210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01" s="6">
        <v>102.76</v>
      </c>
      <c r="N210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01" s="7">
        <v>45612</v>
      </c>
      <c r="P2101">
        <v>35</v>
      </c>
      <c r="Q2101" s="16" t="str">
        <f>IF(Table1[[#This Row],[stock_quantity]]=0,"NO STOCK",
IF(Table1[[#This Row],[stock_quantity]]&lt;=10,"LOW STOCK",
"IN STOCK"))</f>
        <v>IN STOCK</v>
      </c>
      <c r="R2101" s="1">
        <f t="shared" si="130"/>
        <v>2.2000000000000002</v>
      </c>
      <c r="S2101">
        <v>2.2000000000000002</v>
      </c>
      <c r="T2101" t="b">
        <v>0</v>
      </c>
      <c r="U2101" t="str">
        <f t="shared" si="131"/>
        <v>No Return</v>
      </c>
    </row>
    <row r="2102" spans="1:22" hidden="1" x14ac:dyDescent="0.3">
      <c r="A2102" t="s">
        <v>2155</v>
      </c>
      <c r="B2102" t="s">
        <v>21</v>
      </c>
      <c r="C2102" t="s">
        <v>75</v>
      </c>
      <c r="D2102" t="s">
        <v>34</v>
      </c>
      <c r="E2102" t="str">
        <f t="shared" si="128"/>
        <v>XS</v>
      </c>
      <c r="F2102" t="s">
        <v>49</v>
      </c>
      <c r="G2102" t="s">
        <v>28</v>
      </c>
      <c r="H2102" s="8">
        <v>81.2</v>
      </c>
      <c r="I2102" s="3">
        <f t="shared" si="129"/>
        <v>0</v>
      </c>
      <c r="J2102" s="4">
        <v>0</v>
      </c>
      <c r="K2102" s="11">
        <f>Table1[[#This Row],[original_price]]* (Table1[[#This Row],[Markdown percentage updated]])</f>
        <v>0</v>
      </c>
      <c r="L210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02" s="6">
        <v>81.2</v>
      </c>
      <c r="N210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02" s="7">
        <v>45875</v>
      </c>
      <c r="P2102">
        <v>27</v>
      </c>
      <c r="Q2102" s="16" t="str">
        <f>IF(Table1[[#This Row],[stock_quantity]]=0,"NO STOCK",
IF(Table1[[#This Row],[stock_quantity]]&lt;=10,"LOW STOCK",
"IN STOCK"))</f>
        <v>IN STOCK</v>
      </c>
      <c r="R2102" s="1">
        <f t="shared" si="130"/>
        <v>1.7</v>
      </c>
      <c r="S2102">
        <v>1.7</v>
      </c>
      <c r="T2102" t="b">
        <v>0</v>
      </c>
      <c r="U2102" t="str">
        <f t="shared" si="131"/>
        <v>No Return</v>
      </c>
    </row>
    <row r="2103" spans="1:22" hidden="1" x14ac:dyDescent="0.3">
      <c r="A2103" t="s">
        <v>2156</v>
      </c>
      <c r="B2103" t="s">
        <v>27</v>
      </c>
      <c r="C2103" t="s">
        <v>22</v>
      </c>
      <c r="D2103" t="s">
        <v>34</v>
      </c>
      <c r="E2103" t="str">
        <f t="shared" si="128"/>
        <v>OS</v>
      </c>
      <c r="G2103" t="s">
        <v>40</v>
      </c>
      <c r="H2103" s="8">
        <v>68.95</v>
      </c>
      <c r="I2103" s="3">
        <f t="shared" si="129"/>
        <v>0</v>
      </c>
      <c r="J2103" s="4">
        <v>0</v>
      </c>
      <c r="K2103" s="11">
        <f>Table1[[#This Row],[original_price]]* (Table1[[#This Row],[Markdown percentage updated]])</f>
        <v>0</v>
      </c>
      <c r="L210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03" s="6">
        <v>68.95</v>
      </c>
      <c r="N210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03" s="7">
        <v>45875</v>
      </c>
      <c r="P2103">
        <v>47</v>
      </c>
      <c r="Q2103" s="16" t="str">
        <f>IF(Table1[[#This Row],[stock_quantity]]=0,"NO STOCK",
IF(Table1[[#This Row],[stock_quantity]]&lt;=10,"LOW STOCK",
"IN STOCK"))</f>
        <v>IN STOCK</v>
      </c>
      <c r="R2103" s="1">
        <f t="shared" si="130"/>
        <v>3.6</v>
      </c>
      <c r="S2103">
        <v>3.6</v>
      </c>
      <c r="T2103" t="b">
        <v>0</v>
      </c>
      <c r="U2103" t="str">
        <f t="shared" si="131"/>
        <v>No Return</v>
      </c>
    </row>
    <row r="2104" spans="1:22" hidden="1" x14ac:dyDescent="0.3">
      <c r="A2104" t="s">
        <v>2157</v>
      </c>
      <c r="B2104" t="s">
        <v>38</v>
      </c>
      <c r="C2104" t="s">
        <v>16</v>
      </c>
      <c r="D2104" t="s">
        <v>62</v>
      </c>
      <c r="E2104" t="str">
        <f t="shared" si="128"/>
        <v>L</v>
      </c>
      <c r="F2104" t="s">
        <v>55</v>
      </c>
      <c r="G2104" t="s">
        <v>66</v>
      </c>
      <c r="H2104" s="8">
        <v>43.04</v>
      </c>
      <c r="I2104" s="3">
        <f t="shared" si="129"/>
        <v>0</v>
      </c>
      <c r="J2104" s="4">
        <v>0</v>
      </c>
      <c r="K2104" s="11">
        <f>Table1[[#This Row],[original_price]]* (Table1[[#This Row],[Markdown percentage updated]])</f>
        <v>0</v>
      </c>
      <c r="L210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04" s="6">
        <v>43.04</v>
      </c>
      <c r="N210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04" s="7">
        <v>45875</v>
      </c>
      <c r="P2104">
        <v>26</v>
      </c>
      <c r="Q2104" s="16" t="str">
        <f>IF(Table1[[#This Row],[stock_quantity]]=0,"NO STOCK",
IF(Table1[[#This Row],[stock_quantity]]&lt;=10,"LOW STOCK",
"IN STOCK"))</f>
        <v>IN STOCK</v>
      </c>
      <c r="R2104" s="1">
        <f t="shared" si="130"/>
        <v>4.8</v>
      </c>
      <c r="S2104">
        <v>4.8</v>
      </c>
      <c r="T2104" t="b">
        <v>1</v>
      </c>
      <c r="U2104" s="13" t="str">
        <f t="shared" si="131"/>
        <v>Wrong Item</v>
      </c>
      <c r="V2104" t="s">
        <v>125</v>
      </c>
    </row>
    <row r="2105" spans="1:22" hidden="1" x14ac:dyDescent="0.3">
      <c r="A2105" t="s">
        <v>2158</v>
      </c>
      <c r="B2105" t="s">
        <v>21</v>
      </c>
      <c r="C2105" t="s">
        <v>16</v>
      </c>
      <c r="D2105" t="s">
        <v>17</v>
      </c>
      <c r="E2105" t="str">
        <f t="shared" si="128"/>
        <v>OS</v>
      </c>
      <c r="F2105" t="s">
        <v>55</v>
      </c>
      <c r="G2105" t="s">
        <v>56</v>
      </c>
      <c r="H2105" s="8">
        <v>81.819999999999993</v>
      </c>
      <c r="I2105" s="3">
        <f t="shared" si="129"/>
        <v>0</v>
      </c>
      <c r="J2105" s="4">
        <v>0</v>
      </c>
      <c r="K2105" s="11">
        <f>Table1[[#This Row],[original_price]]* (Table1[[#This Row],[Markdown percentage updated]])</f>
        <v>0</v>
      </c>
      <c r="L210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05" s="6">
        <v>81.819999999999993</v>
      </c>
      <c r="N210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05" s="7">
        <v>45786</v>
      </c>
      <c r="P2105">
        <v>1</v>
      </c>
      <c r="Q2105" s="17" t="str">
        <f>IF(Table1[[#This Row],[stock_quantity]]=0,"NO STOCK",
IF(Table1[[#This Row],[stock_quantity]]&lt;=10,"LOW STOCK",
"IN STOCK"))</f>
        <v>LOW STOCK</v>
      </c>
      <c r="R2105" s="1">
        <f t="shared" si="130"/>
        <v>3.5</v>
      </c>
      <c r="S2105">
        <v>3.5</v>
      </c>
      <c r="T2105" t="b">
        <v>0</v>
      </c>
      <c r="U2105" t="str">
        <f t="shared" si="131"/>
        <v>No Return</v>
      </c>
    </row>
    <row r="2106" spans="1:22" hidden="1" x14ac:dyDescent="0.3">
      <c r="A2106" t="s">
        <v>2159</v>
      </c>
      <c r="B2106" t="s">
        <v>27</v>
      </c>
      <c r="C2106" t="s">
        <v>43</v>
      </c>
      <c r="D2106" t="s">
        <v>62</v>
      </c>
      <c r="E2106" t="str">
        <f t="shared" si="128"/>
        <v>OS</v>
      </c>
      <c r="G2106" t="s">
        <v>44</v>
      </c>
      <c r="H2106" s="8">
        <v>53.7</v>
      </c>
      <c r="I2106" s="3">
        <f t="shared" si="129"/>
        <v>0</v>
      </c>
      <c r="J2106" s="4">
        <v>0</v>
      </c>
      <c r="K2106" s="11">
        <f>Table1[[#This Row],[original_price]]* (Table1[[#This Row],[Markdown percentage updated]])</f>
        <v>0</v>
      </c>
      <c r="L210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06" s="6">
        <v>53.7</v>
      </c>
      <c r="N210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06" s="7">
        <v>45875</v>
      </c>
      <c r="P2106">
        <v>16</v>
      </c>
      <c r="Q2106" s="16" t="str">
        <f>IF(Table1[[#This Row],[stock_quantity]]=0,"NO STOCK",
IF(Table1[[#This Row],[stock_quantity]]&lt;=10,"LOW STOCK",
"IN STOCK"))</f>
        <v>IN STOCK</v>
      </c>
      <c r="R2106" s="1">
        <f t="shared" si="130"/>
        <v>1.4</v>
      </c>
      <c r="S2106">
        <v>1.4</v>
      </c>
      <c r="T2106" t="b">
        <v>1</v>
      </c>
      <c r="U2106" s="13" t="str">
        <f t="shared" si="131"/>
        <v>Damaged</v>
      </c>
      <c r="V2106" t="s">
        <v>78</v>
      </c>
    </row>
    <row r="2107" spans="1:22" hidden="1" x14ac:dyDescent="0.3">
      <c r="A2107" t="s">
        <v>2160</v>
      </c>
      <c r="B2107" t="s">
        <v>21</v>
      </c>
      <c r="C2107" t="s">
        <v>43</v>
      </c>
      <c r="D2107" t="s">
        <v>62</v>
      </c>
      <c r="E2107" t="str">
        <f t="shared" si="128"/>
        <v>XL</v>
      </c>
      <c r="F2107" t="s">
        <v>24</v>
      </c>
      <c r="G2107" t="s">
        <v>19</v>
      </c>
      <c r="H2107" s="8">
        <v>100.11</v>
      </c>
      <c r="I2107" s="3">
        <f t="shared" si="129"/>
        <v>0</v>
      </c>
      <c r="J2107" s="4">
        <v>0</v>
      </c>
      <c r="K2107" s="11">
        <f>Table1[[#This Row],[original_price]]* (Table1[[#This Row],[Markdown percentage updated]])</f>
        <v>0</v>
      </c>
      <c r="L210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07" s="6">
        <v>100.11</v>
      </c>
      <c r="N210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07" s="7">
        <v>45875</v>
      </c>
      <c r="P2107">
        <v>41</v>
      </c>
      <c r="Q2107" s="16" t="str">
        <f>IF(Table1[[#This Row],[stock_quantity]]=0,"NO STOCK",
IF(Table1[[#This Row],[stock_quantity]]&lt;=10,"LOW STOCK",
"IN STOCK"))</f>
        <v>IN STOCK</v>
      </c>
      <c r="R2107" s="1">
        <f t="shared" si="130"/>
        <v>4.7</v>
      </c>
      <c r="S2107">
        <v>4.7</v>
      </c>
      <c r="T2107" t="b">
        <v>0</v>
      </c>
      <c r="U2107" t="str">
        <f t="shared" si="131"/>
        <v>No Return</v>
      </c>
    </row>
    <row r="2108" spans="1:22" hidden="1" x14ac:dyDescent="0.3">
      <c r="A2108" t="s">
        <v>2161</v>
      </c>
      <c r="B2108" t="s">
        <v>27</v>
      </c>
      <c r="C2108" t="s">
        <v>53</v>
      </c>
      <c r="D2108" t="s">
        <v>23</v>
      </c>
      <c r="E2108" t="str">
        <f t="shared" si="128"/>
        <v>L</v>
      </c>
      <c r="G2108" t="s">
        <v>40</v>
      </c>
      <c r="H2108" s="8">
        <v>24.08</v>
      </c>
      <c r="I2108" s="3">
        <f t="shared" si="129"/>
        <v>0.38500000000000001</v>
      </c>
      <c r="J2108" s="4">
        <v>38.5</v>
      </c>
      <c r="K2108" s="11">
        <f>Table1[[#This Row],[original_price]]* (Table1[[#This Row],[Markdown percentage updated]])</f>
        <v>9.2707999999999995</v>
      </c>
      <c r="L210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08" s="6">
        <v>14.81</v>
      </c>
      <c r="N210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108" s="7">
        <v>45875</v>
      </c>
      <c r="P2108">
        <v>43</v>
      </c>
      <c r="Q2108" s="16" t="str">
        <f>IF(Table1[[#This Row],[stock_quantity]]=0,"NO STOCK",
IF(Table1[[#This Row],[stock_quantity]]&lt;=10,"LOW STOCK",
"IN STOCK"))</f>
        <v>IN STOCK</v>
      </c>
      <c r="R2108" s="1">
        <f t="shared" si="130"/>
        <v>4.0999999999999996</v>
      </c>
      <c r="S2108">
        <v>4.0999999999999996</v>
      </c>
      <c r="T2108" t="b">
        <v>0</v>
      </c>
      <c r="U2108" t="str">
        <f t="shared" si="131"/>
        <v>No Return</v>
      </c>
    </row>
    <row r="2109" spans="1:22" hidden="1" x14ac:dyDescent="0.3">
      <c r="A2109" t="s">
        <v>2162</v>
      </c>
      <c r="B2109" t="s">
        <v>27</v>
      </c>
      <c r="C2109" t="s">
        <v>53</v>
      </c>
      <c r="D2109" t="s">
        <v>17</v>
      </c>
      <c r="E2109" t="str">
        <f t="shared" si="128"/>
        <v>S</v>
      </c>
      <c r="G2109" t="s">
        <v>19</v>
      </c>
      <c r="H2109" s="8">
        <v>74.77</v>
      </c>
      <c r="I2109" s="3">
        <f t="shared" si="129"/>
        <v>0</v>
      </c>
      <c r="J2109" s="4">
        <v>0</v>
      </c>
      <c r="K2109" s="11">
        <f>Table1[[#This Row],[original_price]]* (Table1[[#This Row],[Markdown percentage updated]])</f>
        <v>0</v>
      </c>
      <c r="L210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09" s="6">
        <v>74.77</v>
      </c>
      <c r="N210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09" s="7">
        <v>45734</v>
      </c>
      <c r="P2109">
        <v>26</v>
      </c>
      <c r="Q2109" s="16" t="str">
        <f>IF(Table1[[#This Row],[stock_quantity]]=0,"NO STOCK",
IF(Table1[[#This Row],[stock_quantity]]&lt;=10,"LOW STOCK",
"IN STOCK"))</f>
        <v>IN STOCK</v>
      </c>
      <c r="R2109" s="1">
        <f t="shared" si="130"/>
        <v>2.9</v>
      </c>
      <c r="S2109">
        <v>2.9</v>
      </c>
      <c r="T2109" t="b">
        <v>0</v>
      </c>
      <c r="U2109" t="str">
        <f t="shared" si="131"/>
        <v>No Return</v>
      </c>
    </row>
    <row r="2110" spans="1:22" hidden="1" x14ac:dyDescent="0.3">
      <c r="A2110" t="s">
        <v>2163</v>
      </c>
      <c r="B2110" t="s">
        <v>42</v>
      </c>
      <c r="C2110" t="s">
        <v>48</v>
      </c>
      <c r="D2110" t="s">
        <v>17</v>
      </c>
      <c r="E2110" t="str">
        <f t="shared" si="128"/>
        <v>OS</v>
      </c>
      <c r="F2110" t="s">
        <v>18</v>
      </c>
      <c r="G2110" t="s">
        <v>64</v>
      </c>
      <c r="H2110" s="8">
        <v>105.98</v>
      </c>
      <c r="I2110" s="3">
        <f t="shared" si="129"/>
        <v>0</v>
      </c>
      <c r="J2110" s="4">
        <v>0</v>
      </c>
      <c r="K2110" s="11">
        <f>Table1[[#This Row],[original_price]]* (Table1[[#This Row],[Markdown percentage updated]])</f>
        <v>0</v>
      </c>
      <c r="L211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10" s="6">
        <v>105.98</v>
      </c>
      <c r="N211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10" s="7">
        <v>45567</v>
      </c>
      <c r="P2110">
        <v>32</v>
      </c>
      <c r="Q2110" s="16" t="str">
        <f>IF(Table1[[#This Row],[stock_quantity]]=0,"NO STOCK",
IF(Table1[[#This Row],[stock_quantity]]&lt;=10,"LOW STOCK",
"IN STOCK"))</f>
        <v>IN STOCK</v>
      </c>
      <c r="R2110" s="1">
        <f t="shared" si="130"/>
        <v>2.5</v>
      </c>
      <c r="S2110">
        <v>2.5</v>
      </c>
      <c r="T2110" t="b">
        <v>1</v>
      </c>
      <c r="U2110" s="13" t="str">
        <f t="shared" si="131"/>
        <v>Size Issue</v>
      </c>
      <c r="V2110" t="s">
        <v>73</v>
      </c>
    </row>
    <row r="2111" spans="1:22" hidden="1" x14ac:dyDescent="0.3">
      <c r="A2111" t="s">
        <v>2164</v>
      </c>
      <c r="B2111" t="s">
        <v>30</v>
      </c>
      <c r="C2111" t="s">
        <v>16</v>
      </c>
      <c r="D2111" t="s">
        <v>62</v>
      </c>
      <c r="E2111" t="str">
        <f t="shared" si="128"/>
        <v>M</v>
      </c>
      <c r="F2111" t="s">
        <v>24</v>
      </c>
      <c r="G2111" t="s">
        <v>35</v>
      </c>
      <c r="H2111" s="8">
        <v>81.650000000000006</v>
      </c>
      <c r="I2111" s="3">
        <f t="shared" si="129"/>
        <v>7.6999999999999999E-2</v>
      </c>
      <c r="J2111" s="4">
        <v>7.7</v>
      </c>
      <c r="K2111" s="11">
        <f>Table1[[#This Row],[original_price]]* (Table1[[#This Row],[Markdown percentage updated]])</f>
        <v>6.2870500000000007</v>
      </c>
      <c r="L211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11" s="6">
        <v>75.36</v>
      </c>
      <c r="N211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111" s="7">
        <v>45875</v>
      </c>
      <c r="P2111">
        <v>23</v>
      </c>
      <c r="Q2111" s="16" t="str">
        <f>IF(Table1[[#This Row],[stock_quantity]]=0,"NO STOCK",
IF(Table1[[#This Row],[stock_quantity]]&lt;=10,"LOW STOCK",
"IN STOCK"))</f>
        <v>IN STOCK</v>
      </c>
      <c r="R2111" s="1">
        <f t="shared" si="130"/>
        <v>2.6</v>
      </c>
      <c r="S2111">
        <v>2.6</v>
      </c>
      <c r="T2111" t="b">
        <v>0</v>
      </c>
      <c r="U2111" t="str">
        <f t="shared" si="131"/>
        <v>No Return</v>
      </c>
    </row>
    <row r="2112" spans="1:22" hidden="1" x14ac:dyDescent="0.3">
      <c r="A2112" t="s">
        <v>2165</v>
      </c>
      <c r="B2112" t="s">
        <v>30</v>
      </c>
      <c r="C2112" t="s">
        <v>75</v>
      </c>
      <c r="D2112" t="s">
        <v>34</v>
      </c>
      <c r="E2112" t="str">
        <f t="shared" si="128"/>
        <v>OS</v>
      </c>
      <c r="F2112" t="s">
        <v>39</v>
      </c>
      <c r="G2112" t="s">
        <v>28</v>
      </c>
      <c r="H2112" s="8">
        <v>92.66</v>
      </c>
      <c r="I2112" s="3">
        <f t="shared" si="129"/>
        <v>8.3000000000000004E-2</v>
      </c>
      <c r="J2112" s="4">
        <v>8.3000000000000007</v>
      </c>
      <c r="K2112" s="11">
        <f>Table1[[#This Row],[original_price]]* (Table1[[#This Row],[Markdown percentage updated]])</f>
        <v>7.6907800000000002</v>
      </c>
      <c r="L211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12" s="6">
        <v>84.97</v>
      </c>
      <c r="N211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112" s="7">
        <v>45875</v>
      </c>
      <c r="P2112">
        <v>5</v>
      </c>
      <c r="Q2112" s="17" t="str">
        <f>IF(Table1[[#This Row],[stock_quantity]]=0,"NO STOCK",
IF(Table1[[#This Row],[stock_quantity]]&lt;=10,"LOW STOCK",
"IN STOCK"))</f>
        <v>LOW STOCK</v>
      </c>
      <c r="R2112" s="1">
        <f t="shared" si="130"/>
        <v>3.3</v>
      </c>
      <c r="S2112">
        <v>3.3</v>
      </c>
      <c r="T2112" t="b">
        <v>0</v>
      </c>
      <c r="U2112" t="str">
        <f t="shared" si="131"/>
        <v>No Return</v>
      </c>
    </row>
    <row r="2113" spans="1:22" hidden="1" x14ac:dyDescent="0.3">
      <c r="A2113" t="s">
        <v>2166</v>
      </c>
      <c r="B2113" t="s">
        <v>27</v>
      </c>
      <c r="C2113" t="s">
        <v>43</v>
      </c>
      <c r="D2113" t="s">
        <v>62</v>
      </c>
      <c r="E2113" t="str">
        <f t="shared" si="128"/>
        <v>S</v>
      </c>
      <c r="G2113" t="s">
        <v>70</v>
      </c>
      <c r="H2113" s="8">
        <v>41.04</v>
      </c>
      <c r="I2113" s="3">
        <f t="shared" si="129"/>
        <v>0</v>
      </c>
      <c r="J2113" s="4">
        <v>0</v>
      </c>
      <c r="K2113" s="11">
        <f>Table1[[#This Row],[original_price]]* (Table1[[#This Row],[Markdown percentage updated]])</f>
        <v>0</v>
      </c>
      <c r="L211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13" s="6">
        <v>41.04</v>
      </c>
      <c r="N211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13" s="7">
        <v>45875</v>
      </c>
      <c r="P2113">
        <v>43</v>
      </c>
      <c r="Q2113" s="16" t="str">
        <f>IF(Table1[[#This Row],[stock_quantity]]=0,"NO STOCK",
IF(Table1[[#This Row],[stock_quantity]]&lt;=10,"LOW STOCK",
"IN STOCK"))</f>
        <v>IN STOCK</v>
      </c>
      <c r="R2113" s="1">
        <f t="shared" si="130"/>
        <v>0</v>
      </c>
      <c r="T2113" t="b">
        <v>0</v>
      </c>
      <c r="U2113" t="str">
        <f t="shared" si="131"/>
        <v>No Return</v>
      </c>
    </row>
    <row r="2114" spans="1:22" hidden="1" x14ac:dyDescent="0.3">
      <c r="A2114" t="s">
        <v>2167</v>
      </c>
      <c r="B2114" t="s">
        <v>15</v>
      </c>
      <c r="C2114" t="s">
        <v>75</v>
      </c>
      <c r="D2114" t="s">
        <v>34</v>
      </c>
      <c r="E2114" t="str">
        <f t="shared" ref="E2114:E2177" si="132">IF(ISBLANK(F2117),"OS",F2117)</f>
        <v>OS</v>
      </c>
      <c r="F2114" t="s">
        <v>58</v>
      </c>
      <c r="G2114" t="s">
        <v>25</v>
      </c>
      <c r="H2114" s="8">
        <v>169.98</v>
      </c>
      <c r="I2114" s="3">
        <f t="shared" ref="I2114:I2177" si="133">J2114/100</f>
        <v>5.7999999999999996E-2</v>
      </c>
      <c r="J2114" s="4">
        <v>5.8</v>
      </c>
      <c r="K2114" s="11">
        <f>Table1[[#This Row],[original_price]]* (Table1[[#This Row],[Markdown percentage updated]])</f>
        <v>9.8588399999999989</v>
      </c>
      <c r="L211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14" s="6">
        <v>160.12</v>
      </c>
      <c r="N211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114" s="7">
        <v>45875</v>
      </c>
      <c r="P2114">
        <v>12</v>
      </c>
      <c r="Q2114" s="16" t="str">
        <f>IF(Table1[[#This Row],[stock_quantity]]=0,"NO STOCK",
IF(Table1[[#This Row],[stock_quantity]]&lt;=10,"LOW STOCK",
"IN STOCK"))</f>
        <v>IN STOCK</v>
      </c>
      <c r="R2114" s="1">
        <f t="shared" si="130"/>
        <v>2.1</v>
      </c>
      <c r="S2114">
        <v>2.1</v>
      </c>
      <c r="T2114" t="b">
        <v>0</v>
      </c>
      <c r="U2114" t="str">
        <f t="shared" si="131"/>
        <v>No Return</v>
      </c>
    </row>
    <row r="2115" spans="1:22" hidden="1" x14ac:dyDescent="0.3">
      <c r="A2115" t="s">
        <v>2168</v>
      </c>
      <c r="B2115" t="s">
        <v>27</v>
      </c>
      <c r="C2115" t="s">
        <v>43</v>
      </c>
      <c r="D2115" t="s">
        <v>23</v>
      </c>
      <c r="E2115" t="str">
        <f t="shared" si="132"/>
        <v>XL</v>
      </c>
      <c r="G2115" t="s">
        <v>19</v>
      </c>
      <c r="H2115" s="8">
        <v>66.12</v>
      </c>
      <c r="I2115" s="3">
        <f t="shared" si="133"/>
        <v>0.51</v>
      </c>
      <c r="J2115" s="4">
        <v>51</v>
      </c>
      <c r="K2115" s="11">
        <f>Table1[[#This Row],[original_price]]* (Table1[[#This Row],[Markdown percentage updated]])</f>
        <v>33.721200000000003</v>
      </c>
      <c r="L211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15" s="6">
        <v>32.4</v>
      </c>
      <c r="N211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15" s="7">
        <v>45875</v>
      </c>
      <c r="P2115">
        <v>17</v>
      </c>
      <c r="Q2115" s="16" t="str">
        <f>IF(Table1[[#This Row],[stock_quantity]]=0,"NO STOCK",
IF(Table1[[#This Row],[stock_quantity]]&lt;=10,"LOW STOCK",
"IN STOCK"))</f>
        <v>IN STOCK</v>
      </c>
      <c r="R2115" s="1">
        <f t="shared" ref="R2115:R2177" si="134">IF(ISBLANK(S2115), 0, S2115)</f>
        <v>2.2000000000000002</v>
      </c>
      <c r="S2115">
        <v>2.2000000000000002</v>
      </c>
      <c r="T2115" t="b">
        <v>0</v>
      </c>
      <c r="U2115" t="str">
        <f t="shared" ref="U2115:U2177" si="135">IF(V2115="","No Return",V2115)</f>
        <v>No Return</v>
      </c>
    </row>
    <row r="2116" spans="1:22" hidden="1" x14ac:dyDescent="0.3">
      <c r="A2116" t="s">
        <v>2169</v>
      </c>
      <c r="B2116" t="s">
        <v>42</v>
      </c>
      <c r="C2116" t="s">
        <v>32</v>
      </c>
      <c r="D2116" t="s">
        <v>17</v>
      </c>
      <c r="E2116" t="str">
        <f t="shared" si="132"/>
        <v>L</v>
      </c>
      <c r="F2116" t="s">
        <v>39</v>
      </c>
      <c r="G2116" t="s">
        <v>66</v>
      </c>
      <c r="H2116" s="8">
        <v>139.87</v>
      </c>
      <c r="I2116" s="3">
        <f t="shared" si="133"/>
        <v>0.14499999999999999</v>
      </c>
      <c r="J2116" s="4">
        <v>14.5</v>
      </c>
      <c r="K2116" s="11">
        <f>Table1[[#This Row],[original_price]]* (Table1[[#This Row],[Markdown percentage updated]])</f>
        <v>20.28115</v>
      </c>
      <c r="L211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16" s="6">
        <v>119.59</v>
      </c>
      <c r="N211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16" s="7">
        <v>45548</v>
      </c>
      <c r="P2116">
        <v>13</v>
      </c>
      <c r="Q2116" s="16" t="str">
        <f>IF(Table1[[#This Row],[stock_quantity]]=0,"NO STOCK",
IF(Table1[[#This Row],[stock_quantity]]&lt;=10,"LOW STOCK",
"IN STOCK"))</f>
        <v>IN STOCK</v>
      </c>
      <c r="R2116" s="1">
        <f t="shared" si="134"/>
        <v>1.3</v>
      </c>
      <c r="S2116">
        <v>1.3</v>
      </c>
      <c r="T2116" t="b">
        <v>0</v>
      </c>
      <c r="U2116" t="str">
        <f t="shared" si="135"/>
        <v>No Return</v>
      </c>
    </row>
    <row r="2117" spans="1:22" hidden="1" x14ac:dyDescent="0.3">
      <c r="A2117" t="s">
        <v>2170</v>
      </c>
      <c r="B2117" t="s">
        <v>27</v>
      </c>
      <c r="C2117" t="s">
        <v>16</v>
      </c>
      <c r="D2117" t="s">
        <v>23</v>
      </c>
      <c r="E2117" t="str">
        <f t="shared" si="132"/>
        <v>M</v>
      </c>
      <c r="G2117" t="s">
        <v>25</v>
      </c>
      <c r="H2117" s="8">
        <v>70.23</v>
      </c>
      <c r="I2117" s="3">
        <f t="shared" si="133"/>
        <v>0.499</v>
      </c>
      <c r="J2117" s="4">
        <v>49.9</v>
      </c>
      <c r="K2117" s="11">
        <f>Table1[[#This Row],[original_price]]* (Table1[[#This Row],[Markdown percentage updated]])</f>
        <v>35.04477</v>
      </c>
      <c r="L211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17" s="6">
        <v>35.19</v>
      </c>
      <c r="N211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17" s="7">
        <v>45875</v>
      </c>
      <c r="P2117">
        <v>0</v>
      </c>
      <c r="Q2117" s="13" t="str">
        <f>IF(Table1[[#This Row],[stock_quantity]]=0,"NO STOCK",
IF(Table1[[#This Row],[stock_quantity]]&lt;=10,"LOW STOCK",
"IN STOCK"))</f>
        <v>NO STOCK</v>
      </c>
      <c r="R2117" s="1">
        <f t="shared" si="134"/>
        <v>4.5999999999999996</v>
      </c>
      <c r="S2117">
        <v>4.5999999999999996</v>
      </c>
      <c r="T2117" t="b">
        <v>1</v>
      </c>
      <c r="U2117" s="13" t="str">
        <f t="shared" si="135"/>
        <v>Damaged</v>
      </c>
      <c r="V2117" t="s">
        <v>78</v>
      </c>
    </row>
    <row r="2118" spans="1:22" hidden="1" x14ac:dyDescent="0.3">
      <c r="A2118" t="s">
        <v>2171</v>
      </c>
      <c r="B2118" t="s">
        <v>30</v>
      </c>
      <c r="C2118" t="s">
        <v>16</v>
      </c>
      <c r="D2118" t="s">
        <v>23</v>
      </c>
      <c r="E2118" t="str">
        <f t="shared" si="132"/>
        <v>L</v>
      </c>
      <c r="F2118" t="s">
        <v>18</v>
      </c>
      <c r="G2118" t="s">
        <v>44</v>
      </c>
      <c r="H2118" s="8">
        <v>129.9</v>
      </c>
      <c r="I2118" s="3">
        <f t="shared" si="133"/>
        <v>0.39899999999999997</v>
      </c>
      <c r="J2118" s="4">
        <v>39.9</v>
      </c>
      <c r="K2118" s="11">
        <f>Table1[[#This Row],[original_price]]* (Table1[[#This Row],[Markdown percentage updated]])</f>
        <v>51.830099999999995</v>
      </c>
      <c r="L211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18" s="6">
        <v>78.069999999999993</v>
      </c>
      <c r="N211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18" s="7">
        <v>45875</v>
      </c>
      <c r="P2118">
        <v>28</v>
      </c>
      <c r="Q2118" s="16" t="str">
        <f>IF(Table1[[#This Row],[stock_quantity]]=0,"NO STOCK",
IF(Table1[[#This Row],[stock_quantity]]&lt;=10,"LOW STOCK",
"IN STOCK"))</f>
        <v>IN STOCK</v>
      </c>
      <c r="R2118" s="1">
        <f t="shared" si="134"/>
        <v>1.3</v>
      </c>
      <c r="S2118">
        <v>1.3</v>
      </c>
      <c r="T2118" t="b">
        <v>0</v>
      </c>
      <c r="U2118" t="str">
        <f t="shared" si="135"/>
        <v>No Return</v>
      </c>
    </row>
    <row r="2119" spans="1:22" hidden="1" x14ac:dyDescent="0.3">
      <c r="A2119" t="s">
        <v>2172</v>
      </c>
      <c r="B2119" t="s">
        <v>38</v>
      </c>
      <c r="C2119" t="s">
        <v>16</v>
      </c>
      <c r="D2119" t="s">
        <v>17</v>
      </c>
      <c r="E2119" t="str">
        <f t="shared" si="132"/>
        <v>L</v>
      </c>
      <c r="F2119" t="s">
        <v>24</v>
      </c>
      <c r="G2119" t="s">
        <v>56</v>
      </c>
      <c r="H2119" s="8">
        <v>75.78</v>
      </c>
      <c r="I2119" s="3">
        <f t="shared" si="133"/>
        <v>0</v>
      </c>
      <c r="J2119" s="4">
        <v>0</v>
      </c>
      <c r="K2119" s="11">
        <f>Table1[[#This Row],[original_price]]* (Table1[[#This Row],[Markdown percentage updated]])</f>
        <v>0</v>
      </c>
      <c r="L211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19" s="6">
        <v>75.78</v>
      </c>
      <c r="N211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19" s="7">
        <v>45685</v>
      </c>
      <c r="P2119">
        <v>12</v>
      </c>
      <c r="Q2119" s="16" t="str">
        <f>IF(Table1[[#This Row],[stock_quantity]]=0,"NO STOCK",
IF(Table1[[#This Row],[stock_quantity]]&lt;=10,"LOW STOCK",
"IN STOCK"))</f>
        <v>IN STOCK</v>
      </c>
      <c r="R2119" s="1">
        <f t="shared" si="134"/>
        <v>3.6</v>
      </c>
      <c r="S2119">
        <v>3.6</v>
      </c>
      <c r="T2119" t="b">
        <v>0</v>
      </c>
      <c r="U2119" t="str">
        <f t="shared" si="135"/>
        <v>No Return</v>
      </c>
    </row>
    <row r="2120" spans="1:22" hidden="1" x14ac:dyDescent="0.3">
      <c r="A2120" t="s">
        <v>2173</v>
      </c>
      <c r="B2120" t="s">
        <v>38</v>
      </c>
      <c r="C2120" t="s">
        <v>48</v>
      </c>
      <c r="D2120" t="s">
        <v>23</v>
      </c>
      <c r="E2120" t="str">
        <f t="shared" si="132"/>
        <v>L</v>
      </c>
      <c r="F2120" t="s">
        <v>58</v>
      </c>
      <c r="G2120" t="s">
        <v>56</v>
      </c>
      <c r="H2120" s="8">
        <v>93.41</v>
      </c>
      <c r="I2120" s="3">
        <f t="shared" si="133"/>
        <v>0</v>
      </c>
      <c r="J2120" s="4">
        <v>0</v>
      </c>
      <c r="K2120" s="11">
        <f>Table1[[#This Row],[original_price]]* (Table1[[#This Row],[Markdown percentage updated]])</f>
        <v>0</v>
      </c>
      <c r="L212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20" s="6">
        <v>93.41</v>
      </c>
      <c r="N212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20" s="7">
        <v>45875</v>
      </c>
      <c r="P2120">
        <v>4</v>
      </c>
      <c r="Q2120" s="17" t="str">
        <f>IF(Table1[[#This Row],[stock_quantity]]=0,"NO STOCK",
IF(Table1[[#This Row],[stock_quantity]]&lt;=10,"LOW STOCK",
"IN STOCK"))</f>
        <v>LOW STOCK</v>
      </c>
      <c r="R2120" s="1">
        <f t="shared" si="134"/>
        <v>3.2</v>
      </c>
      <c r="S2120">
        <v>3.2</v>
      </c>
      <c r="T2120" t="b">
        <v>1</v>
      </c>
      <c r="U2120" s="13" t="str">
        <f t="shared" si="135"/>
        <v>Size Issue</v>
      </c>
      <c r="V2120" t="s">
        <v>73</v>
      </c>
    </row>
    <row r="2121" spans="1:22" hidden="1" x14ac:dyDescent="0.3">
      <c r="A2121" t="s">
        <v>2174</v>
      </c>
      <c r="B2121" t="s">
        <v>21</v>
      </c>
      <c r="C2121" t="s">
        <v>32</v>
      </c>
      <c r="D2121" t="s">
        <v>17</v>
      </c>
      <c r="E2121" t="str">
        <f t="shared" si="132"/>
        <v>L</v>
      </c>
      <c r="F2121" t="s">
        <v>24</v>
      </c>
      <c r="G2121" t="s">
        <v>19</v>
      </c>
      <c r="H2121" s="8">
        <v>66.900000000000006</v>
      </c>
      <c r="I2121" s="3">
        <f t="shared" si="133"/>
        <v>0</v>
      </c>
      <c r="J2121" s="4">
        <v>0</v>
      </c>
      <c r="K2121" s="11">
        <f>Table1[[#This Row],[original_price]]* (Table1[[#This Row],[Markdown percentage updated]])</f>
        <v>0</v>
      </c>
      <c r="L212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21" s="6">
        <v>66.900000000000006</v>
      </c>
      <c r="N212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21" s="7">
        <v>45784</v>
      </c>
      <c r="P2121">
        <v>1</v>
      </c>
      <c r="Q2121" s="17" t="str">
        <f>IF(Table1[[#This Row],[stock_quantity]]=0,"NO STOCK",
IF(Table1[[#This Row],[stock_quantity]]&lt;=10,"LOW STOCK",
"IN STOCK"))</f>
        <v>LOW STOCK</v>
      </c>
      <c r="R2121" s="1">
        <f t="shared" si="134"/>
        <v>2.8</v>
      </c>
      <c r="S2121">
        <v>2.8</v>
      </c>
      <c r="T2121" t="b">
        <v>0</v>
      </c>
      <c r="U2121" t="str">
        <f t="shared" si="135"/>
        <v>No Return</v>
      </c>
    </row>
    <row r="2122" spans="1:22" hidden="1" x14ac:dyDescent="0.3">
      <c r="A2122" t="s">
        <v>2175</v>
      </c>
      <c r="B2122" t="s">
        <v>21</v>
      </c>
      <c r="C2122" t="s">
        <v>43</v>
      </c>
      <c r="D2122" t="s">
        <v>34</v>
      </c>
      <c r="E2122" t="str">
        <f t="shared" si="132"/>
        <v>L</v>
      </c>
      <c r="F2122" t="s">
        <v>24</v>
      </c>
      <c r="G2122" t="s">
        <v>46</v>
      </c>
      <c r="H2122" s="8">
        <v>110.45</v>
      </c>
      <c r="I2122" s="3">
        <f t="shared" si="133"/>
        <v>6.6000000000000003E-2</v>
      </c>
      <c r="J2122" s="4">
        <v>6.6</v>
      </c>
      <c r="K2122" s="11">
        <f>Table1[[#This Row],[original_price]]* (Table1[[#This Row],[Markdown percentage updated]])</f>
        <v>7.2897000000000007</v>
      </c>
      <c r="L212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22" s="6">
        <v>103.16</v>
      </c>
      <c r="N212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122" s="7">
        <v>45875</v>
      </c>
      <c r="P2122">
        <v>6</v>
      </c>
      <c r="Q2122" s="17" t="str">
        <f>IF(Table1[[#This Row],[stock_quantity]]=0,"NO STOCK",
IF(Table1[[#This Row],[stock_quantity]]&lt;=10,"LOW STOCK",
"IN STOCK"))</f>
        <v>LOW STOCK</v>
      </c>
      <c r="R2122" s="1">
        <f t="shared" si="134"/>
        <v>0</v>
      </c>
      <c r="T2122" t="b">
        <v>0</v>
      </c>
      <c r="U2122" t="str">
        <f t="shared" si="135"/>
        <v>No Return</v>
      </c>
    </row>
    <row r="2123" spans="1:22" hidden="1" x14ac:dyDescent="0.3">
      <c r="A2123" t="s">
        <v>2176</v>
      </c>
      <c r="B2123" t="s">
        <v>38</v>
      </c>
      <c r="C2123" t="s">
        <v>16</v>
      </c>
      <c r="D2123" t="s">
        <v>34</v>
      </c>
      <c r="E2123" t="str">
        <f t="shared" si="132"/>
        <v>M</v>
      </c>
      <c r="F2123" t="s">
        <v>24</v>
      </c>
      <c r="G2123" t="s">
        <v>40</v>
      </c>
      <c r="H2123" s="8">
        <v>52.73</v>
      </c>
      <c r="I2123" s="3">
        <f t="shared" si="133"/>
        <v>0</v>
      </c>
      <c r="J2123" s="4">
        <v>0</v>
      </c>
      <c r="K2123" s="11">
        <f>Table1[[#This Row],[original_price]]* (Table1[[#This Row],[Markdown percentage updated]])</f>
        <v>0</v>
      </c>
      <c r="L212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23" s="6">
        <v>52.73</v>
      </c>
      <c r="N212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23" s="7">
        <v>45875</v>
      </c>
      <c r="P2123">
        <v>10</v>
      </c>
      <c r="Q2123" s="17" t="str">
        <f>IF(Table1[[#This Row],[stock_quantity]]=0,"NO STOCK",
IF(Table1[[#This Row],[stock_quantity]]&lt;=10,"LOW STOCK",
"IN STOCK"))</f>
        <v>LOW STOCK</v>
      </c>
      <c r="R2123" s="1">
        <f t="shared" si="134"/>
        <v>4.5</v>
      </c>
      <c r="S2123">
        <v>4.5</v>
      </c>
      <c r="T2123" t="b">
        <v>0</v>
      </c>
      <c r="U2123" t="str">
        <f t="shared" si="135"/>
        <v>No Return</v>
      </c>
    </row>
    <row r="2124" spans="1:22" hidden="1" x14ac:dyDescent="0.3">
      <c r="A2124" t="s">
        <v>2177</v>
      </c>
      <c r="B2124" t="s">
        <v>15</v>
      </c>
      <c r="C2124" t="s">
        <v>53</v>
      </c>
      <c r="D2124" t="s">
        <v>34</v>
      </c>
      <c r="E2124" t="str">
        <f t="shared" si="132"/>
        <v>XS</v>
      </c>
      <c r="F2124" t="s">
        <v>24</v>
      </c>
      <c r="G2124" t="s">
        <v>44</v>
      </c>
      <c r="H2124" s="8">
        <v>89.13</v>
      </c>
      <c r="I2124" s="3">
        <f t="shared" si="133"/>
        <v>0</v>
      </c>
      <c r="J2124" s="4">
        <v>0</v>
      </c>
      <c r="K2124" s="11">
        <f>Table1[[#This Row],[original_price]]* (Table1[[#This Row],[Markdown percentage updated]])</f>
        <v>0</v>
      </c>
      <c r="L212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24" s="6">
        <v>89.13</v>
      </c>
      <c r="N212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24" s="7">
        <v>45875</v>
      </c>
      <c r="P2124">
        <v>17</v>
      </c>
      <c r="Q2124" s="16" t="str">
        <f>IF(Table1[[#This Row],[stock_quantity]]=0,"NO STOCK",
IF(Table1[[#This Row],[stock_quantity]]&lt;=10,"LOW STOCK",
"IN STOCK"))</f>
        <v>IN STOCK</v>
      </c>
      <c r="R2124" s="1">
        <f t="shared" si="134"/>
        <v>4.0999999999999996</v>
      </c>
      <c r="S2124">
        <v>4.0999999999999996</v>
      </c>
      <c r="T2124" t="b">
        <v>0</v>
      </c>
      <c r="U2124" t="str">
        <f t="shared" si="135"/>
        <v>No Return</v>
      </c>
    </row>
    <row r="2125" spans="1:22" hidden="1" x14ac:dyDescent="0.3">
      <c r="A2125" t="s">
        <v>2178</v>
      </c>
      <c r="B2125" t="s">
        <v>15</v>
      </c>
      <c r="C2125" t="s">
        <v>32</v>
      </c>
      <c r="D2125" t="s">
        <v>62</v>
      </c>
      <c r="E2125" t="str">
        <f t="shared" si="132"/>
        <v>L</v>
      </c>
      <c r="F2125" t="s">
        <v>24</v>
      </c>
      <c r="G2125" t="s">
        <v>46</v>
      </c>
      <c r="H2125" s="8">
        <v>171.78</v>
      </c>
      <c r="I2125" s="3">
        <f t="shared" si="133"/>
        <v>0.441</v>
      </c>
      <c r="J2125" s="4">
        <v>44.1</v>
      </c>
      <c r="K2125" s="11">
        <f>Table1[[#This Row],[original_price]]* (Table1[[#This Row],[Markdown percentage updated]])</f>
        <v>75.754980000000003</v>
      </c>
      <c r="L212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25" s="6">
        <v>96.03</v>
      </c>
      <c r="N212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25" s="7">
        <v>45875</v>
      </c>
      <c r="P2125">
        <v>25</v>
      </c>
      <c r="Q2125" s="16" t="str">
        <f>IF(Table1[[#This Row],[stock_quantity]]=0,"NO STOCK",
IF(Table1[[#This Row],[stock_quantity]]&lt;=10,"LOW STOCK",
"IN STOCK"))</f>
        <v>IN STOCK</v>
      </c>
      <c r="R2125" s="1">
        <f t="shared" si="134"/>
        <v>0</v>
      </c>
      <c r="T2125" t="b">
        <v>1</v>
      </c>
      <c r="U2125" s="13" t="str">
        <f t="shared" si="135"/>
        <v>Color Mismatch</v>
      </c>
      <c r="V2125" t="s">
        <v>36</v>
      </c>
    </row>
    <row r="2126" spans="1:22" x14ac:dyDescent="0.3">
      <c r="A2126" t="s">
        <v>2179</v>
      </c>
      <c r="B2126" t="s">
        <v>30</v>
      </c>
      <c r="C2126" t="s">
        <v>61</v>
      </c>
      <c r="D2126" t="s">
        <v>23</v>
      </c>
      <c r="E2126" t="str">
        <f t="shared" si="132"/>
        <v>L</v>
      </c>
      <c r="F2126" t="s">
        <v>58</v>
      </c>
      <c r="G2126" t="s">
        <v>25</v>
      </c>
      <c r="H2126" s="8">
        <v>129</v>
      </c>
      <c r="I2126" s="3">
        <f t="shared" si="133"/>
        <v>0</v>
      </c>
      <c r="J2126" s="4">
        <v>0</v>
      </c>
      <c r="K2126" s="11">
        <f>Table1[[#This Row],[original_price]]* (Table1[[#This Row],[Markdown percentage updated]])</f>
        <v>0</v>
      </c>
      <c r="L212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26" s="6">
        <v>129</v>
      </c>
      <c r="N212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26" s="7">
        <v>45875</v>
      </c>
      <c r="P2126">
        <v>13</v>
      </c>
      <c r="Q2126" s="16" t="str">
        <f>IF(Table1[[#This Row],[stock_quantity]]=0,"NO STOCK",
IF(Table1[[#This Row],[stock_quantity]]&lt;=10,"LOW STOCK",
"IN STOCK"))</f>
        <v>IN STOCK</v>
      </c>
      <c r="R2126" s="1">
        <f t="shared" si="134"/>
        <v>3.8</v>
      </c>
      <c r="S2126">
        <v>3.8</v>
      </c>
      <c r="T2126" t="b">
        <v>1</v>
      </c>
      <c r="U2126" s="13" t="str">
        <f t="shared" si="135"/>
        <v>Changed Mind</v>
      </c>
      <c r="V2126" t="s">
        <v>115</v>
      </c>
    </row>
    <row r="2127" spans="1:22" hidden="1" x14ac:dyDescent="0.3">
      <c r="A2127" t="s">
        <v>2180</v>
      </c>
      <c r="B2127" t="s">
        <v>30</v>
      </c>
      <c r="C2127" t="s">
        <v>16</v>
      </c>
      <c r="D2127" t="s">
        <v>62</v>
      </c>
      <c r="E2127" t="str">
        <f t="shared" si="132"/>
        <v>OS</v>
      </c>
      <c r="F2127" t="s">
        <v>55</v>
      </c>
      <c r="G2127" t="s">
        <v>70</v>
      </c>
      <c r="H2127" s="8">
        <v>160.59</v>
      </c>
      <c r="I2127" s="3">
        <f t="shared" si="133"/>
        <v>0</v>
      </c>
      <c r="J2127" s="4">
        <v>0</v>
      </c>
      <c r="K2127" s="11">
        <f>Table1[[#This Row],[original_price]]* (Table1[[#This Row],[Markdown percentage updated]])</f>
        <v>0</v>
      </c>
      <c r="L212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27" s="6">
        <v>160.59</v>
      </c>
      <c r="N212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27" s="7">
        <v>45875</v>
      </c>
      <c r="P2127">
        <v>8</v>
      </c>
      <c r="Q2127" s="17" t="str">
        <f>IF(Table1[[#This Row],[stock_quantity]]=0,"NO STOCK",
IF(Table1[[#This Row],[stock_quantity]]&lt;=10,"LOW STOCK",
"IN STOCK"))</f>
        <v>LOW STOCK</v>
      </c>
      <c r="R2127" s="1">
        <f t="shared" si="134"/>
        <v>2.9</v>
      </c>
      <c r="S2127">
        <v>2.9</v>
      </c>
      <c r="T2127" t="b">
        <v>0</v>
      </c>
      <c r="U2127" t="str">
        <f t="shared" si="135"/>
        <v>No Return</v>
      </c>
    </row>
    <row r="2128" spans="1:22" hidden="1" x14ac:dyDescent="0.3">
      <c r="A2128" t="s">
        <v>2181</v>
      </c>
      <c r="B2128" t="s">
        <v>21</v>
      </c>
      <c r="C2128" t="s">
        <v>32</v>
      </c>
      <c r="D2128" t="s">
        <v>62</v>
      </c>
      <c r="E2128" t="str">
        <f t="shared" si="132"/>
        <v>M</v>
      </c>
      <c r="F2128" t="s">
        <v>24</v>
      </c>
      <c r="G2128" t="s">
        <v>19</v>
      </c>
      <c r="H2128" s="8">
        <v>56.38</v>
      </c>
      <c r="I2128" s="3">
        <f t="shared" si="133"/>
        <v>0</v>
      </c>
      <c r="J2128" s="4">
        <v>0</v>
      </c>
      <c r="K2128" s="11">
        <f>Table1[[#This Row],[original_price]]* (Table1[[#This Row],[Markdown percentage updated]])</f>
        <v>0</v>
      </c>
      <c r="L212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28" s="6">
        <v>56.38</v>
      </c>
      <c r="N212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28" s="7">
        <v>45875</v>
      </c>
      <c r="P2128">
        <v>9</v>
      </c>
      <c r="Q2128" s="17" t="str">
        <f>IF(Table1[[#This Row],[stock_quantity]]=0,"NO STOCK",
IF(Table1[[#This Row],[stock_quantity]]&lt;=10,"LOW STOCK",
"IN STOCK"))</f>
        <v>LOW STOCK</v>
      </c>
      <c r="R2128" s="1">
        <f t="shared" si="134"/>
        <v>0</v>
      </c>
      <c r="T2128" t="b">
        <v>0</v>
      </c>
      <c r="U2128" t="str">
        <f t="shared" si="135"/>
        <v>No Return</v>
      </c>
    </row>
    <row r="2129" spans="1:22" hidden="1" x14ac:dyDescent="0.3">
      <c r="A2129" t="s">
        <v>2182</v>
      </c>
      <c r="B2129" t="s">
        <v>15</v>
      </c>
      <c r="C2129" t="s">
        <v>61</v>
      </c>
      <c r="D2129" t="s">
        <v>23</v>
      </c>
      <c r="E2129" t="str">
        <f t="shared" si="132"/>
        <v>OS</v>
      </c>
      <c r="F2129" t="s">
        <v>24</v>
      </c>
      <c r="G2129" t="s">
        <v>46</v>
      </c>
      <c r="H2129" s="8">
        <v>109.2</v>
      </c>
      <c r="I2129" s="3">
        <f t="shared" si="133"/>
        <v>0.26600000000000001</v>
      </c>
      <c r="J2129" s="4">
        <v>26.6</v>
      </c>
      <c r="K2129" s="11">
        <f>Table1[[#This Row],[original_price]]* (Table1[[#This Row],[Markdown percentage updated]])</f>
        <v>29.047200000000004</v>
      </c>
      <c r="L212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Medium Discount</v>
      </c>
      <c r="M2129" s="6">
        <v>80.150000000000006</v>
      </c>
      <c r="N212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29" s="7">
        <v>45875</v>
      </c>
      <c r="P2129">
        <v>21</v>
      </c>
      <c r="Q2129" s="16" t="str">
        <f>IF(Table1[[#This Row],[stock_quantity]]=0,"NO STOCK",
IF(Table1[[#This Row],[stock_quantity]]&lt;=10,"LOW STOCK",
"IN STOCK"))</f>
        <v>IN STOCK</v>
      </c>
      <c r="R2129" s="1">
        <f t="shared" si="134"/>
        <v>3.9</v>
      </c>
      <c r="S2129">
        <v>3.9</v>
      </c>
      <c r="T2129" t="b">
        <v>1</v>
      </c>
      <c r="U2129" s="13" t="str">
        <f t="shared" si="135"/>
        <v>Quality Issue</v>
      </c>
      <c r="V2129" t="s">
        <v>83</v>
      </c>
    </row>
    <row r="2130" spans="1:22" hidden="1" x14ac:dyDescent="0.3">
      <c r="A2130" t="s">
        <v>2183</v>
      </c>
      <c r="B2130" t="s">
        <v>27</v>
      </c>
      <c r="C2130" t="s">
        <v>22</v>
      </c>
      <c r="D2130" t="s">
        <v>17</v>
      </c>
      <c r="E2130" t="str">
        <f t="shared" si="132"/>
        <v>M</v>
      </c>
      <c r="G2130" t="s">
        <v>25</v>
      </c>
      <c r="H2130" s="8">
        <v>21.43</v>
      </c>
      <c r="I2130" s="3">
        <f t="shared" si="133"/>
        <v>0</v>
      </c>
      <c r="J2130" s="4">
        <v>0</v>
      </c>
      <c r="K2130" s="11">
        <f>Table1[[#This Row],[original_price]]* (Table1[[#This Row],[Markdown percentage updated]])</f>
        <v>0</v>
      </c>
      <c r="L213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30" s="6">
        <v>21.43</v>
      </c>
      <c r="N213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30" s="7">
        <v>45691</v>
      </c>
      <c r="P2130">
        <v>38</v>
      </c>
      <c r="Q2130" s="16" t="str">
        <f>IF(Table1[[#This Row],[stock_quantity]]=0,"NO STOCK",
IF(Table1[[#This Row],[stock_quantity]]&lt;=10,"LOW STOCK",
"IN STOCK"))</f>
        <v>IN STOCK</v>
      </c>
      <c r="R2130" s="1">
        <f t="shared" si="134"/>
        <v>1.9</v>
      </c>
      <c r="S2130">
        <v>1.9</v>
      </c>
      <c r="T2130" t="b">
        <v>0</v>
      </c>
      <c r="U2130" t="str">
        <f t="shared" si="135"/>
        <v>No Return</v>
      </c>
    </row>
    <row r="2131" spans="1:22" hidden="1" x14ac:dyDescent="0.3">
      <c r="A2131" t="s">
        <v>2184</v>
      </c>
      <c r="B2131" t="s">
        <v>30</v>
      </c>
      <c r="C2131" t="s">
        <v>48</v>
      </c>
      <c r="D2131" t="s">
        <v>23</v>
      </c>
      <c r="E2131" t="str">
        <f t="shared" si="132"/>
        <v>S</v>
      </c>
      <c r="F2131" t="s">
        <v>58</v>
      </c>
      <c r="G2131" t="s">
        <v>66</v>
      </c>
      <c r="H2131" s="8">
        <v>87.11</v>
      </c>
      <c r="I2131" s="3">
        <f t="shared" si="133"/>
        <v>0</v>
      </c>
      <c r="J2131" s="4">
        <v>0</v>
      </c>
      <c r="K2131" s="11">
        <f>Table1[[#This Row],[original_price]]* (Table1[[#This Row],[Markdown percentage updated]])</f>
        <v>0</v>
      </c>
      <c r="L213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31" s="6">
        <v>87.11</v>
      </c>
      <c r="N213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31" s="7">
        <v>45875</v>
      </c>
      <c r="P2131">
        <v>36</v>
      </c>
      <c r="Q2131" s="16" t="str">
        <f>IF(Table1[[#This Row],[stock_quantity]]=0,"NO STOCK",
IF(Table1[[#This Row],[stock_quantity]]&lt;=10,"LOW STOCK",
"IN STOCK"))</f>
        <v>IN STOCK</v>
      </c>
      <c r="R2131" s="1">
        <f t="shared" si="134"/>
        <v>2.2999999999999998</v>
      </c>
      <c r="S2131">
        <v>2.2999999999999998</v>
      </c>
      <c r="T2131" t="b">
        <v>0</v>
      </c>
      <c r="U2131" t="str">
        <f t="shared" si="135"/>
        <v>No Return</v>
      </c>
    </row>
    <row r="2132" spans="1:22" hidden="1" x14ac:dyDescent="0.3">
      <c r="A2132" t="s">
        <v>2185</v>
      </c>
      <c r="B2132" t="s">
        <v>27</v>
      </c>
      <c r="C2132" t="s">
        <v>75</v>
      </c>
      <c r="D2132" t="s">
        <v>34</v>
      </c>
      <c r="E2132" t="str">
        <f t="shared" si="132"/>
        <v>OS</v>
      </c>
      <c r="G2132" t="s">
        <v>64</v>
      </c>
      <c r="H2132" s="8">
        <v>36.29</v>
      </c>
      <c r="I2132" s="3">
        <f t="shared" si="133"/>
        <v>0</v>
      </c>
      <c r="J2132" s="4">
        <v>0</v>
      </c>
      <c r="K2132" s="11">
        <f>Table1[[#This Row],[original_price]]* (Table1[[#This Row],[Markdown percentage updated]])</f>
        <v>0</v>
      </c>
      <c r="L213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32" s="6">
        <v>36.29</v>
      </c>
      <c r="N213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32" s="7">
        <v>45875</v>
      </c>
      <c r="P2132">
        <v>47</v>
      </c>
      <c r="Q2132" s="16" t="str">
        <f>IF(Table1[[#This Row],[stock_quantity]]=0,"NO STOCK",
IF(Table1[[#This Row],[stock_quantity]]&lt;=10,"LOW STOCK",
"IN STOCK"))</f>
        <v>IN STOCK</v>
      </c>
      <c r="R2132" s="1">
        <f t="shared" si="134"/>
        <v>2.8</v>
      </c>
      <c r="S2132">
        <v>2.8</v>
      </c>
      <c r="T2132" t="b">
        <v>0</v>
      </c>
      <c r="U2132" t="str">
        <f t="shared" si="135"/>
        <v>No Return</v>
      </c>
    </row>
    <row r="2133" spans="1:22" hidden="1" x14ac:dyDescent="0.3">
      <c r="A2133" t="s">
        <v>2186</v>
      </c>
      <c r="B2133" t="s">
        <v>42</v>
      </c>
      <c r="C2133" t="s">
        <v>48</v>
      </c>
      <c r="D2133" t="s">
        <v>17</v>
      </c>
      <c r="E2133" t="str">
        <f t="shared" si="132"/>
        <v>OS</v>
      </c>
      <c r="F2133" t="s">
        <v>58</v>
      </c>
      <c r="G2133" t="s">
        <v>46</v>
      </c>
      <c r="H2133" s="8">
        <v>105.59</v>
      </c>
      <c r="I2133" s="3">
        <f t="shared" si="133"/>
        <v>0</v>
      </c>
      <c r="J2133" s="4">
        <v>0</v>
      </c>
      <c r="K2133" s="11">
        <f>Table1[[#This Row],[original_price]]* (Table1[[#This Row],[Markdown percentage updated]])</f>
        <v>0</v>
      </c>
      <c r="L213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33" s="6">
        <v>105.59</v>
      </c>
      <c r="N213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33" s="7">
        <v>45835</v>
      </c>
      <c r="P2133">
        <v>37</v>
      </c>
      <c r="Q2133" s="16" t="str">
        <f>IF(Table1[[#This Row],[stock_quantity]]=0,"NO STOCK",
IF(Table1[[#This Row],[stock_quantity]]&lt;=10,"LOW STOCK",
"IN STOCK"))</f>
        <v>IN STOCK</v>
      </c>
      <c r="R2133" s="1">
        <f t="shared" si="134"/>
        <v>4.7</v>
      </c>
      <c r="S2133">
        <v>4.7</v>
      </c>
      <c r="T2133" t="b">
        <v>0</v>
      </c>
      <c r="U2133" t="str">
        <f t="shared" si="135"/>
        <v>No Return</v>
      </c>
    </row>
    <row r="2134" spans="1:22" hidden="1" x14ac:dyDescent="0.3">
      <c r="A2134" t="s">
        <v>2187</v>
      </c>
      <c r="B2134" t="s">
        <v>42</v>
      </c>
      <c r="C2134" t="s">
        <v>16</v>
      </c>
      <c r="D2134" t="s">
        <v>34</v>
      </c>
      <c r="E2134" t="str">
        <f t="shared" si="132"/>
        <v>OS</v>
      </c>
      <c r="F2134" t="s">
        <v>39</v>
      </c>
      <c r="G2134" t="s">
        <v>28</v>
      </c>
      <c r="H2134" s="8">
        <v>93.5</v>
      </c>
      <c r="I2134" s="3">
        <f t="shared" si="133"/>
        <v>0</v>
      </c>
      <c r="J2134" s="4">
        <v>0</v>
      </c>
      <c r="K2134" s="11">
        <f>Table1[[#This Row],[original_price]]* (Table1[[#This Row],[Markdown percentage updated]])</f>
        <v>0</v>
      </c>
      <c r="L213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34" s="6">
        <v>93.5</v>
      </c>
      <c r="N213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34" s="7">
        <v>45875</v>
      </c>
      <c r="P2134">
        <v>4</v>
      </c>
      <c r="Q2134" s="17" t="str">
        <f>IF(Table1[[#This Row],[stock_quantity]]=0,"NO STOCK",
IF(Table1[[#This Row],[stock_quantity]]&lt;=10,"LOW STOCK",
"IN STOCK"))</f>
        <v>LOW STOCK</v>
      </c>
      <c r="R2134" s="1">
        <f t="shared" si="134"/>
        <v>3.7</v>
      </c>
      <c r="S2134">
        <v>3.7</v>
      </c>
      <c r="T2134" t="b">
        <v>0</v>
      </c>
      <c r="U2134" t="str">
        <f t="shared" si="135"/>
        <v>No Return</v>
      </c>
    </row>
    <row r="2135" spans="1:22" hidden="1" x14ac:dyDescent="0.3">
      <c r="A2135" t="s">
        <v>2188</v>
      </c>
      <c r="B2135" t="s">
        <v>27</v>
      </c>
      <c r="C2135" t="s">
        <v>53</v>
      </c>
      <c r="D2135" t="s">
        <v>23</v>
      </c>
      <c r="E2135" t="str">
        <f t="shared" si="132"/>
        <v>M</v>
      </c>
      <c r="G2135" t="s">
        <v>28</v>
      </c>
      <c r="H2135" s="8">
        <v>41.72</v>
      </c>
      <c r="I2135" s="3">
        <f t="shared" si="133"/>
        <v>9.5000000000000001E-2</v>
      </c>
      <c r="J2135" s="4">
        <v>9.5</v>
      </c>
      <c r="K2135" s="11">
        <f>Table1[[#This Row],[original_price]]* (Table1[[#This Row],[Markdown percentage updated]])</f>
        <v>3.9634</v>
      </c>
      <c r="L213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35" s="6">
        <v>37.76</v>
      </c>
      <c r="N213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135" s="7">
        <v>45875</v>
      </c>
      <c r="P2135">
        <v>9</v>
      </c>
      <c r="Q2135" s="17" t="str">
        <f>IF(Table1[[#This Row],[stock_quantity]]=0,"NO STOCK",
IF(Table1[[#This Row],[stock_quantity]]&lt;=10,"LOW STOCK",
"IN STOCK"))</f>
        <v>LOW STOCK</v>
      </c>
      <c r="R2135" s="1">
        <f t="shared" si="134"/>
        <v>3.9</v>
      </c>
      <c r="S2135">
        <v>3.9</v>
      </c>
      <c r="T2135" t="b">
        <v>0</v>
      </c>
      <c r="U2135" t="str">
        <f t="shared" si="135"/>
        <v>No Return</v>
      </c>
    </row>
    <row r="2136" spans="1:22" hidden="1" x14ac:dyDescent="0.3">
      <c r="A2136" t="s">
        <v>2189</v>
      </c>
      <c r="B2136" t="s">
        <v>27</v>
      </c>
      <c r="C2136" t="s">
        <v>43</v>
      </c>
      <c r="D2136" t="s">
        <v>62</v>
      </c>
      <c r="E2136" t="str">
        <f t="shared" si="132"/>
        <v>XL</v>
      </c>
      <c r="G2136" t="s">
        <v>19</v>
      </c>
      <c r="H2136" s="8">
        <v>74.540000000000006</v>
      </c>
      <c r="I2136" s="3">
        <f t="shared" si="133"/>
        <v>0.58099999999999996</v>
      </c>
      <c r="J2136" s="4">
        <v>58.1</v>
      </c>
      <c r="K2136" s="11">
        <f>Table1[[#This Row],[original_price]]* (Table1[[#This Row],[Markdown percentage updated]])</f>
        <v>43.307740000000003</v>
      </c>
      <c r="L213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36" s="6">
        <v>31.23</v>
      </c>
      <c r="N213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36" s="7">
        <v>45875</v>
      </c>
      <c r="P2136">
        <v>35</v>
      </c>
      <c r="Q2136" s="16" t="str">
        <f>IF(Table1[[#This Row],[stock_quantity]]=0,"NO STOCK",
IF(Table1[[#This Row],[stock_quantity]]&lt;=10,"LOW STOCK",
"IN STOCK"))</f>
        <v>IN STOCK</v>
      </c>
      <c r="R2136" s="1">
        <f t="shared" si="134"/>
        <v>4.8</v>
      </c>
      <c r="S2136">
        <v>4.8</v>
      </c>
      <c r="T2136" t="b">
        <v>0</v>
      </c>
      <c r="U2136" t="str">
        <f t="shared" si="135"/>
        <v>No Return</v>
      </c>
    </row>
    <row r="2137" spans="1:22" hidden="1" x14ac:dyDescent="0.3">
      <c r="A2137" t="s">
        <v>2190</v>
      </c>
      <c r="B2137" t="s">
        <v>42</v>
      </c>
      <c r="C2137" t="s">
        <v>22</v>
      </c>
      <c r="D2137" t="s">
        <v>17</v>
      </c>
      <c r="E2137" t="str">
        <f t="shared" si="132"/>
        <v>M</v>
      </c>
      <c r="G2137" t="s">
        <v>44</v>
      </c>
      <c r="H2137" s="8">
        <v>85.49</v>
      </c>
      <c r="I2137" s="3">
        <f t="shared" si="133"/>
        <v>0</v>
      </c>
      <c r="J2137" s="4">
        <v>0</v>
      </c>
      <c r="K2137" s="11">
        <f>Table1[[#This Row],[original_price]]* (Table1[[#This Row],[Markdown percentage updated]])</f>
        <v>0</v>
      </c>
      <c r="L213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37" s="6">
        <v>85.49</v>
      </c>
      <c r="N213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37" s="7">
        <v>45642</v>
      </c>
      <c r="P2137">
        <v>0</v>
      </c>
      <c r="Q2137" s="13" t="str">
        <f>IF(Table1[[#This Row],[stock_quantity]]=0,"NO STOCK",
IF(Table1[[#This Row],[stock_quantity]]&lt;=10,"LOW STOCK",
"IN STOCK"))</f>
        <v>NO STOCK</v>
      </c>
      <c r="R2137" s="1">
        <f t="shared" si="134"/>
        <v>3.7</v>
      </c>
      <c r="S2137">
        <v>3.7</v>
      </c>
      <c r="T2137" t="b">
        <v>0</v>
      </c>
      <c r="U2137" t="str">
        <f t="shared" si="135"/>
        <v>No Return</v>
      </c>
    </row>
    <row r="2138" spans="1:22" hidden="1" x14ac:dyDescent="0.3">
      <c r="A2138" t="s">
        <v>2191</v>
      </c>
      <c r="B2138" t="s">
        <v>42</v>
      </c>
      <c r="C2138" t="s">
        <v>16</v>
      </c>
      <c r="D2138" t="s">
        <v>62</v>
      </c>
      <c r="E2138" t="str">
        <f t="shared" si="132"/>
        <v>XXL</v>
      </c>
      <c r="F2138" t="s">
        <v>58</v>
      </c>
      <c r="G2138" t="s">
        <v>46</v>
      </c>
      <c r="H2138" s="8">
        <v>131.05000000000001</v>
      </c>
      <c r="I2138" s="3">
        <f t="shared" si="133"/>
        <v>0</v>
      </c>
      <c r="J2138" s="4">
        <v>0</v>
      </c>
      <c r="K2138" s="11">
        <f>Table1[[#This Row],[original_price]]* (Table1[[#This Row],[Markdown percentage updated]])</f>
        <v>0</v>
      </c>
      <c r="L213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38" s="6">
        <v>131.05000000000001</v>
      </c>
      <c r="N213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38" s="7">
        <v>45875</v>
      </c>
      <c r="P2138">
        <v>23</v>
      </c>
      <c r="Q2138" s="16" t="str">
        <f>IF(Table1[[#This Row],[stock_quantity]]=0,"NO STOCK",
IF(Table1[[#This Row],[stock_quantity]]&lt;=10,"LOW STOCK",
"IN STOCK"))</f>
        <v>IN STOCK</v>
      </c>
      <c r="R2138" s="1">
        <f t="shared" si="134"/>
        <v>4.9000000000000004</v>
      </c>
      <c r="S2138">
        <v>4.9000000000000004</v>
      </c>
      <c r="T2138" t="b">
        <v>0</v>
      </c>
      <c r="U2138" t="str">
        <f t="shared" si="135"/>
        <v>No Return</v>
      </c>
    </row>
    <row r="2139" spans="1:22" hidden="1" x14ac:dyDescent="0.3">
      <c r="A2139" t="s">
        <v>2192</v>
      </c>
      <c r="B2139" t="s">
        <v>38</v>
      </c>
      <c r="C2139" t="s">
        <v>75</v>
      </c>
      <c r="D2139" t="s">
        <v>62</v>
      </c>
      <c r="E2139" t="str">
        <f t="shared" si="132"/>
        <v>M</v>
      </c>
      <c r="F2139" t="s">
        <v>18</v>
      </c>
      <c r="G2139" t="s">
        <v>25</v>
      </c>
      <c r="H2139" s="8">
        <v>63.5</v>
      </c>
      <c r="I2139" s="3">
        <f t="shared" si="133"/>
        <v>0</v>
      </c>
      <c r="J2139" s="4">
        <v>0</v>
      </c>
      <c r="K2139" s="11">
        <f>Table1[[#This Row],[original_price]]* (Table1[[#This Row],[Markdown percentage updated]])</f>
        <v>0</v>
      </c>
      <c r="L213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39" s="6">
        <v>63.5</v>
      </c>
      <c r="N213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39" s="7">
        <v>45875</v>
      </c>
      <c r="P2139">
        <v>17</v>
      </c>
      <c r="Q2139" s="16" t="str">
        <f>IF(Table1[[#This Row],[stock_quantity]]=0,"NO STOCK",
IF(Table1[[#This Row],[stock_quantity]]&lt;=10,"LOW STOCK",
"IN STOCK"))</f>
        <v>IN STOCK</v>
      </c>
      <c r="R2139" s="1">
        <f t="shared" si="134"/>
        <v>2.6</v>
      </c>
      <c r="S2139">
        <v>2.6</v>
      </c>
      <c r="T2139" t="b">
        <v>0</v>
      </c>
      <c r="U2139" t="str">
        <f t="shared" si="135"/>
        <v>No Return</v>
      </c>
    </row>
    <row r="2140" spans="1:22" hidden="1" x14ac:dyDescent="0.3">
      <c r="A2140" t="s">
        <v>2193</v>
      </c>
      <c r="B2140" t="s">
        <v>21</v>
      </c>
      <c r="C2140" t="s">
        <v>22</v>
      </c>
      <c r="D2140" t="s">
        <v>34</v>
      </c>
      <c r="E2140" t="str">
        <f t="shared" si="132"/>
        <v>L</v>
      </c>
      <c r="F2140" t="s">
        <v>58</v>
      </c>
      <c r="G2140" t="s">
        <v>56</v>
      </c>
      <c r="H2140" s="8">
        <v>75.540000000000006</v>
      </c>
      <c r="I2140" s="3">
        <f t="shared" si="133"/>
        <v>0</v>
      </c>
      <c r="J2140" s="4">
        <v>0</v>
      </c>
      <c r="K2140" s="11">
        <f>Table1[[#This Row],[original_price]]* (Table1[[#This Row],[Markdown percentage updated]])</f>
        <v>0</v>
      </c>
      <c r="L214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40" s="6">
        <v>75.540000000000006</v>
      </c>
      <c r="N214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40" s="7">
        <v>45875</v>
      </c>
      <c r="P2140">
        <v>7</v>
      </c>
      <c r="Q2140" s="17" t="str">
        <f>IF(Table1[[#This Row],[stock_quantity]]=0,"NO STOCK",
IF(Table1[[#This Row],[stock_quantity]]&lt;=10,"LOW STOCK",
"IN STOCK"))</f>
        <v>LOW STOCK</v>
      </c>
      <c r="R2140" s="1">
        <f t="shared" si="134"/>
        <v>3.3</v>
      </c>
      <c r="S2140">
        <v>3.3</v>
      </c>
      <c r="T2140" t="b">
        <v>0</v>
      </c>
      <c r="U2140" t="str">
        <f t="shared" si="135"/>
        <v>No Return</v>
      </c>
    </row>
    <row r="2141" spans="1:22" hidden="1" x14ac:dyDescent="0.3">
      <c r="A2141" t="s">
        <v>2194</v>
      </c>
      <c r="B2141" t="s">
        <v>21</v>
      </c>
      <c r="C2141" t="s">
        <v>43</v>
      </c>
      <c r="D2141" t="s">
        <v>34</v>
      </c>
      <c r="E2141" t="str">
        <f t="shared" si="132"/>
        <v>XXL</v>
      </c>
      <c r="F2141" t="s">
        <v>49</v>
      </c>
      <c r="G2141" t="s">
        <v>56</v>
      </c>
      <c r="H2141" s="8">
        <v>110.77</v>
      </c>
      <c r="I2141" s="3">
        <f t="shared" si="133"/>
        <v>0</v>
      </c>
      <c r="J2141" s="4">
        <v>0</v>
      </c>
      <c r="K2141" s="11">
        <f>Table1[[#This Row],[original_price]]* (Table1[[#This Row],[Markdown percentage updated]])</f>
        <v>0</v>
      </c>
      <c r="L214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41" s="6">
        <v>110.77</v>
      </c>
      <c r="N214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41" s="7">
        <v>45875</v>
      </c>
      <c r="P2141">
        <v>48</v>
      </c>
      <c r="Q2141" s="16" t="str">
        <f>IF(Table1[[#This Row],[stock_quantity]]=0,"NO STOCK",
IF(Table1[[#This Row],[stock_quantity]]&lt;=10,"LOW STOCK",
"IN STOCK"))</f>
        <v>IN STOCK</v>
      </c>
      <c r="R2141" s="1">
        <f t="shared" si="134"/>
        <v>2.6</v>
      </c>
      <c r="S2141">
        <v>2.6</v>
      </c>
      <c r="T2141" t="b">
        <v>0</v>
      </c>
      <c r="U2141" t="str">
        <f t="shared" si="135"/>
        <v>No Return</v>
      </c>
    </row>
    <row r="2142" spans="1:22" hidden="1" x14ac:dyDescent="0.3">
      <c r="A2142" t="s">
        <v>2195</v>
      </c>
      <c r="B2142" t="s">
        <v>30</v>
      </c>
      <c r="C2142" t="s">
        <v>43</v>
      </c>
      <c r="D2142" t="s">
        <v>62</v>
      </c>
      <c r="E2142" t="str">
        <f t="shared" si="132"/>
        <v>L</v>
      </c>
      <c r="F2142" t="s">
        <v>58</v>
      </c>
      <c r="G2142" t="s">
        <v>35</v>
      </c>
      <c r="H2142" s="8">
        <v>190.71</v>
      </c>
      <c r="I2142" s="3">
        <f t="shared" si="133"/>
        <v>6.3E-2</v>
      </c>
      <c r="J2142" s="4">
        <v>6.3</v>
      </c>
      <c r="K2142" s="11">
        <f>Table1[[#This Row],[original_price]]* (Table1[[#This Row],[Markdown percentage updated]])</f>
        <v>12.01473</v>
      </c>
      <c r="L214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42" s="6">
        <v>178.7</v>
      </c>
      <c r="N214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142" s="7">
        <v>45875</v>
      </c>
      <c r="P2142">
        <v>1</v>
      </c>
      <c r="Q2142" s="17" t="str">
        <f>IF(Table1[[#This Row],[stock_quantity]]=0,"NO STOCK",
IF(Table1[[#This Row],[stock_quantity]]&lt;=10,"LOW STOCK",
"IN STOCK"))</f>
        <v>LOW STOCK</v>
      </c>
      <c r="R2142" s="1">
        <f t="shared" si="134"/>
        <v>2</v>
      </c>
      <c r="S2142">
        <v>2</v>
      </c>
      <c r="T2142" t="b">
        <v>0</v>
      </c>
      <c r="U2142" t="str">
        <f t="shared" si="135"/>
        <v>No Return</v>
      </c>
    </row>
    <row r="2143" spans="1:22" hidden="1" x14ac:dyDescent="0.3">
      <c r="A2143" t="s">
        <v>2196</v>
      </c>
      <c r="B2143" t="s">
        <v>21</v>
      </c>
      <c r="C2143" t="s">
        <v>43</v>
      </c>
      <c r="D2143" t="s">
        <v>34</v>
      </c>
      <c r="E2143" t="str">
        <f t="shared" si="132"/>
        <v>OS</v>
      </c>
      <c r="F2143" t="s">
        <v>24</v>
      </c>
      <c r="G2143" t="s">
        <v>35</v>
      </c>
      <c r="H2143" s="8">
        <v>100.56</v>
      </c>
      <c r="I2143" s="3">
        <f t="shared" si="133"/>
        <v>0.17300000000000001</v>
      </c>
      <c r="J2143" s="4">
        <v>17.3</v>
      </c>
      <c r="K2143" s="11">
        <f>Table1[[#This Row],[original_price]]* (Table1[[#This Row],[Markdown percentage updated]])</f>
        <v>17.396880000000003</v>
      </c>
      <c r="L214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43" s="6">
        <v>83.16</v>
      </c>
      <c r="N214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143" s="7">
        <v>45875</v>
      </c>
      <c r="P2143">
        <v>21</v>
      </c>
      <c r="Q2143" s="16" t="str">
        <f>IF(Table1[[#This Row],[stock_quantity]]=0,"NO STOCK",
IF(Table1[[#This Row],[stock_quantity]]&lt;=10,"LOW STOCK",
"IN STOCK"))</f>
        <v>IN STOCK</v>
      </c>
      <c r="R2143" s="1">
        <f t="shared" si="134"/>
        <v>3.6</v>
      </c>
      <c r="S2143">
        <v>3.6</v>
      </c>
      <c r="T2143" t="b">
        <v>0</v>
      </c>
      <c r="U2143" t="str">
        <f t="shared" si="135"/>
        <v>No Return</v>
      </c>
    </row>
    <row r="2144" spans="1:22" hidden="1" x14ac:dyDescent="0.3">
      <c r="A2144" t="s">
        <v>2197</v>
      </c>
      <c r="B2144" t="s">
        <v>15</v>
      </c>
      <c r="C2144" t="s">
        <v>75</v>
      </c>
      <c r="D2144" t="s">
        <v>62</v>
      </c>
      <c r="E2144" t="str">
        <f t="shared" si="132"/>
        <v>XS</v>
      </c>
      <c r="F2144" t="s">
        <v>49</v>
      </c>
      <c r="G2144" t="s">
        <v>25</v>
      </c>
      <c r="H2144" s="8">
        <v>221.59</v>
      </c>
      <c r="I2144" s="3">
        <f t="shared" si="133"/>
        <v>8.5999999999999993E-2</v>
      </c>
      <c r="J2144" s="4">
        <v>8.6</v>
      </c>
      <c r="K2144" s="11">
        <f>Table1[[#This Row],[original_price]]* (Table1[[#This Row],[Markdown percentage updated]])</f>
        <v>19.056739999999998</v>
      </c>
      <c r="L214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44" s="6">
        <v>202.53</v>
      </c>
      <c r="N214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144" s="7">
        <v>45875</v>
      </c>
      <c r="P2144">
        <v>5</v>
      </c>
      <c r="Q2144" s="17" t="str">
        <f>IF(Table1[[#This Row],[stock_quantity]]=0,"NO STOCK",
IF(Table1[[#This Row],[stock_quantity]]&lt;=10,"LOW STOCK",
"IN STOCK"))</f>
        <v>LOW STOCK</v>
      </c>
      <c r="R2144" s="1">
        <f t="shared" si="134"/>
        <v>0</v>
      </c>
      <c r="T2144" t="b">
        <v>0</v>
      </c>
      <c r="U2144" t="str">
        <f t="shared" si="135"/>
        <v>No Return</v>
      </c>
    </row>
    <row r="2145" spans="1:22" hidden="1" x14ac:dyDescent="0.3">
      <c r="A2145" t="s">
        <v>2198</v>
      </c>
      <c r="B2145" t="s">
        <v>38</v>
      </c>
      <c r="C2145" t="s">
        <v>61</v>
      </c>
      <c r="D2145" t="s">
        <v>62</v>
      </c>
      <c r="E2145" t="str">
        <f t="shared" si="132"/>
        <v>OS</v>
      </c>
      <c r="F2145" t="s">
        <v>24</v>
      </c>
      <c r="G2145" t="s">
        <v>56</v>
      </c>
      <c r="H2145" s="8">
        <v>55.21</v>
      </c>
      <c r="I2145" s="3">
        <f t="shared" si="133"/>
        <v>0</v>
      </c>
      <c r="J2145" s="4">
        <v>0</v>
      </c>
      <c r="K2145" s="11">
        <f>Table1[[#This Row],[original_price]]* (Table1[[#This Row],[Markdown percentage updated]])</f>
        <v>0</v>
      </c>
      <c r="L214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45" s="6">
        <v>55.21</v>
      </c>
      <c r="N214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45" s="7">
        <v>45875</v>
      </c>
      <c r="P2145">
        <v>21</v>
      </c>
      <c r="Q2145" s="16" t="str">
        <f>IF(Table1[[#This Row],[stock_quantity]]=0,"NO STOCK",
IF(Table1[[#This Row],[stock_quantity]]&lt;=10,"LOW STOCK",
"IN STOCK"))</f>
        <v>IN STOCK</v>
      </c>
      <c r="R2145" s="1">
        <f t="shared" si="134"/>
        <v>1.8</v>
      </c>
      <c r="S2145">
        <v>1.8</v>
      </c>
      <c r="T2145" t="b">
        <v>1</v>
      </c>
      <c r="U2145" s="13" t="str">
        <f t="shared" si="135"/>
        <v>Wrong Item</v>
      </c>
      <c r="V2145" t="s">
        <v>125</v>
      </c>
    </row>
    <row r="2146" spans="1:22" hidden="1" x14ac:dyDescent="0.3">
      <c r="A2146" t="s">
        <v>2199</v>
      </c>
      <c r="B2146" t="s">
        <v>27</v>
      </c>
      <c r="C2146" t="s">
        <v>22</v>
      </c>
      <c r="D2146" t="s">
        <v>34</v>
      </c>
      <c r="E2146" t="str">
        <f t="shared" si="132"/>
        <v>M</v>
      </c>
      <c r="G2146" t="s">
        <v>28</v>
      </c>
      <c r="H2146" s="8">
        <v>17.87</v>
      </c>
      <c r="I2146" s="3">
        <f t="shared" si="133"/>
        <v>0</v>
      </c>
      <c r="J2146" s="4">
        <v>0</v>
      </c>
      <c r="K2146" s="11">
        <f>Table1[[#This Row],[original_price]]* (Table1[[#This Row],[Markdown percentage updated]])</f>
        <v>0</v>
      </c>
      <c r="L214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46" s="6">
        <v>17.87</v>
      </c>
      <c r="N214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46" s="7">
        <v>45875</v>
      </c>
      <c r="P2146">
        <v>47</v>
      </c>
      <c r="Q2146" s="16" t="str">
        <f>IF(Table1[[#This Row],[stock_quantity]]=0,"NO STOCK",
IF(Table1[[#This Row],[stock_quantity]]&lt;=10,"LOW STOCK",
"IN STOCK"))</f>
        <v>IN STOCK</v>
      </c>
      <c r="R2146" s="1">
        <f t="shared" si="134"/>
        <v>0</v>
      </c>
      <c r="T2146" t="b">
        <v>0</v>
      </c>
      <c r="U2146" t="str">
        <f t="shared" si="135"/>
        <v>No Return</v>
      </c>
    </row>
    <row r="2147" spans="1:22" hidden="1" x14ac:dyDescent="0.3">
      <c r="A2147" t="s">
        <v>2200</v>
      </c>
      <c r="B2147" t="s">
        <v>38</v>
      </c>
      <c r="C2147" t="s">
        <v>22</v>
      </c>
      <c r="D2147" t="s">
        <v>62</v>
      </c>
      <c r="E2147" t="str">
        <f t="shared" si="132"/>
        <v>M</v>
      </c>
      <c r="F2147" t="s">
        <v>55</v>
      </c>
      <c r="G2147" t="s">
        <v>25</v>
      </c>
      <c r="H2147" s="8">
        <v>56.57</v>
      </c>
      <c r="I2147" s="3">
        <f t="shared" si="133"/>
        <v>0</v>
      </c>
      <c r="J2147" s="4">
        <v>0</v>
      </c>
      <c r="K2147" s="11">
        <f>Table1[[#This Row],[original_price]]* (Table1[[#This Row],[Markdown percentage updated]])</f>
        <v>0</v>
      </c>
      <c r="L214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47" s="6">
        <v>56.57</v>
      </c>
      <c r="N214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47" s="7">
        <v>45875</v>
      </c>
      <c r="P2147">
        <v>43</v>
      </c>
      <c r="Q2147" s="16" t="str">
        <f>IF(Table1[[#This Row],[stock_quantity]]=0,"NO STOCK",
IF(Table1[[#This Row],[stock_quantity]]&lt;=10,"LOW STOCK",
"IN STOCK"))</f>
        <v>IN STOCK</v>
      </c>
      <c r="R2147" s="1">
        <f t="shared" si="134"/>
        <v>4.4000000000000004</v>
      </c>
      <c r="S2147">
        <v>4.4000000000000004</v>
      </c>
      <c r="T2147" t="b">
        <v>1</v>
      </c>
      <c r="U2147" s="13" t="str">
        <f t="shared" si="135"/>
        <v>Size Issue</v>
      </c>
      <c r="V2147" t="s">
        <v>73</v>
      </c>
    </row>
    <row r="2148" spans="1:22" hidden="1" x14ac:dyDescent="0.3">
      <c r="A2148" t="s">
        <v>2201</v>
      </c>
      <c r="B2148" t="s">
        <v>27</v>
      </c>
      <c r="C2148" t="s">
        <v>61</v>
      </c>
      <c r="D2148" t="s">
        <v>17</v>
      </c>
      <c r="E2148" t="str">
        <f t="shared" si="132"/>
        <v>OS</v>
      </c>
      <c r="G2148" t="s">
        <v>66</v>
      </c>
      <c r="H2148" s="8">
        <v>47.74</v>
      </c>
      <c r="I2148" s="3">
        <f t="shared" si="133"/>
        <v>0</v>
      </c>
      <c r="J2148" s="4">
        <v>0</v>
      </c>
      <c r="K2148" s="11">
        <f>Table1[[#This Row],[original_price]]* (Table1[[#This Row],[Markdown percentage updated]])</f>
        <v>0</v>
      </c>
      <c r="L214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48" s="6">
        <v>47.74</v>
      </c>
      <c r="N214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48" s="7">
        <v>45651</v>
      </c>
      <c r="P2148">
        <v>17</v>
      </c>
      <c r="Q2148" s="16" t="str">
        <f>IF(Table1[[#This Row],[stock_quantity]]=0,"NO STOCK",
IF(Table1[[#This Row],[stock_quantity]]&lt;=10,"LOW STOCK",
"IN STOCK"))</f>
        <v>IN STOCK</v>
      </c>
      <c r="R2148" s="1">
        <f t="shared" si="134"/>
        <v>2.9</v>
      </c>
      <c r="S2148">
        <v>2.9</v>
      </c>
      <c r="T2148" t="b">
        <v>0</v>
      </c>
      <c r="U2148" t="str">
        <f t="shared" si="135"/>
        <v>No Return</v>
      </c>
    </row>
    <row r="2149" spans="1:22" hidden="1" x14ac:dyDescent="0.3">
      <c r="A2149" t="s">
        <v>2202</v>
      </c>
      <c r="B2149" t="s">
        <v>42</v>
      </c>
      <c r="C2149" t="s">
        <v>32</v>
      </c>
      <c r="D2149" t="s">
        <v>34</v>
      </c>
      <c r="E2149" t="str">
        <f t="shared" si="132"/>
        <v>XL</v>
      </c>
      <c r="F2149" t="s">
        <v>58</v>
      </c>
      <c r="G2149" t="s">
        <v>64</v>
      </c>
      <c r="H2149" s="8">
        <v>152.88</v>
      </c>
      <c r="I2149" s="3">
        <f t="shared" si="133"/>
        <v>8.900000000000001E-2</v>
      </c>
      <c r="J2149" s="4">
        <v>8.9</v>
      </c>
      <c r="K2149" s="11">
        <f>Table1[[#This Row],[original_price]]* (Table1[[#This Row],[Markdown percentage updated]])</f>
        <v>13.60632</v>
      </c>
      <c r="L214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49" s="6">
        <v>139.27000000000001</v>
      </c>
      <c r="N214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149" s="7">
        <v>45875</v>
      </c>
      <c r="P2149">
        <v>19</v>
      </c>
      <c r="Q2149" s="16" t="str">
        <f>IF(Table1[[#This Row],[stock_quantity]]=0,"NO STOCK",
IF(Table1[[#This Row],[stock_quantity]]&lt;=10,"LOW STOCK",
"IN STOCK"))</f>
        <v>IN STOCK</v>
      </c>
      <c r="R2149" s="1">
        <f t="shared" si="134"/>
        <v>2.2000000000000002</v>
      </c>
      <c r="S2149">
        <v>2.2000000000000002</v>
      </c>
      <c r="T2149" t="b">
        <v>0</v>
      </c>
      <c r="U2149" t="str">
        <f t="shared" si="135"/>
        <v>No Return</v>
      </c>
    </row>
    <row r="2150" spans="1:22" hidden="1" x14ac:dyDescent="0.3">
      <c r="A2150" t="s">
        <v>2203</v>
      </c>
      <c r="B2150" t="s">
        <v>15</v>
      </c>
      <c r="C2150" t="s">
        <v>32</v>
      </c>
      <c r="D2150" t="s">
        <v>23</v>
      </c>
      <c r="E2150" t="str">
        <f t="shared" si="132"/>
        <v>S</v>
      </c>
      <c r="F2150" t="s">
        <v>58</v>
      </c>
      <c r="G2150" t="s">
        <v>56</v>
      </c>
      <c r="H2150" s="8">
        <v>199.61</v>
      </c>
      <c r="I2150" s="3">
        <f t="shared" si="133"/>
        <v>0.377</v>
      </c>
      <c r="J2150" s="4">
        <v>37.700000000000003</v>
      </c>
      <c r="K2150" s="11">
        <f>Table1[[#This Row],[original_price]]* (Table1[[#This Row],[Markdown percentage updated]])</f>
        <v>75.252970000000005</v>
      </c>
      <c r="L215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50" s="6">
        <v>124.36</v>
      </c>
      <c r="N215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50" s="7">
        <v>45875</v>
      </c>
      <c r="P2150">
        <v>6</v>
      </c>
      <c r="Q2150" s="17" t="str">
        <f>IF(Table1[[#This Row],[stock_quantity]]=0,"NO STOCK",
IF(Table1[[#This Row],[stock_quantity]]&lt;=10,"LOW STOCK",
"IN STOCK"))</f>
        <v>LOW STOCK</v>
      </c>
      <c r="R2150" s="1">
        <f t="shared" si="134"/>
        <v>0</v>
      </c>
      <c r="T2150" t="b">
        <v>0</v>
      </c>
      <c r="U2150" t="str">
        <f t="shared" si="135"/>
        <v>No Return</v>
      </c>
    </row>
    <row r="2151" spans="1:22" hidden="1" x14ac:dyDescent="0.3">
      <c r="A2151" t="s">
        <v>2204</v>
      </c>
      <c r="B2151" t="s">
        <v>27</v>
      </c>
      <c r="C2151" t="s">
        <v>61</v>
      </c>
      <c r="D2151" t="s">
        <v>62</v>
      </c>
      <c r="E2151" t="str">
        <f t="shared" si="132"/>
        <v>OS</v>
      </c>
      <c r="G2151" t="s">
        <v>40</v>
      </c>
      <c r="H2151" s="8">
        <v>57.25</v>
      </c>
      <c r="I2151" s="3">
        <f t="shared" si="133"/>
        <v>0</v>
      </c>
      <c r="J2151" s="4">
        <v>0</v>
      </c>
      <c r="K2151" s="11">
        <f>Table1[[#This Row],[original_price]]* (Table1[[#This Row],[Markdown percentage updated]])</f>
        <v>0</v>
      </c>
      <c r="L215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51" s="6">
        <v>57.25</v>
      </c>
      <c r="N215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51" s="7">
        <v>45875</v>
      </c>
      <c r="P2151">
        <v>22</v>
      </c>
      <c r="Q2151" s="16" t="str">
        <f>IF(Table1[[#This Row],[stock_quantity]]=0,"NO STOCK",
IF(Table1[[#This Row],[stock_quantity]]&lt;=10,"LOW STOCK",
"IN STOCK"))</f>
        <v>IN STOCK</v>
      </c>
      <c r="R2151" s="1">
        <f t="shared" si="134"/>
        <v>5</v>
      </c>
      <c r="S2151">
        <v>5</v>
      </c>
      <c r="T2151" t="b">
        <v>0</v>
      </c>
      <c r="U2151" t="str">
        <f t="shared" si="135"/>
        <v>No Return</v>
      </c>
    </row>
    <row r="2152" spans="1:22" hidden="1" x14ac:dyDescent="0.3">
      <c r="A2152" t="s">
        <v>2205</v>
      </c>
      <c r="B2152" t="s">
        <v>42</v>
      </c>
      <c r="C2152" t="s">
        <v>48</v>
      </c>
      <c r="D2152" t="s">
        <v>34</v>
      </c>
      <c r="E2152" t="str">
        <f t="shared" si="132"/>
        <v>XL</v>
      </c>
      <c r="F2152" t="s">
        <v>18</v>
      </c>
      <c r="G2152" t="s">
        <v>44</v>
      </c>
      <c r="H2152" s="8">
        <v>134.41</v>
      </c>
      <c r="I2152" s="3">
        <f t="shared" si="133"/>
        <v>0.55299999999999994</v>
      </c>
      <c r="J2152" s="4">
        <v>55.3</v>
      </c>
      <c r="K2152" s="11">
        <f>Table1[[#This Row],[original_price]]* (Table1[[#This Row],[Markdown percentage updated]])</f>
        <v>74.328729999999993</v>
      </c>
      <c r="L215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52" s="6">
        <v>60.08</v>
      </c>
      <c r="N215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52" s="7">
        <v>45875</v>
      </c>
      <c r="P2152">
        <v>12</v>
      </c>
      <c r="Q2152" s="16" t="str">
        <f>IF(Table1[[#This Row],[stock_quantity]]=0,"NO STOCK",
IF(Table1[[#This Row],[stock_quantity]]&lt;=10,"LOW STOCK",
"IN STOCK"))</f>
        <v>IN STOCK</v>
      </c>
      <c r="R2152" s="1">
        <f t="shared" si="134"/>
        <v>3.2</v>
      </c>
      <c r="S2152">
        <v>3.2</v>
      </c>
      <c r="T2152" t="b">
        <v>0</v>
      </c>
      <c r="U2152" t="str">
        <f t="shared" si="135"/>
        <v>No Return</v>
      </c>
    </row>
    <row r="2153" spans="1:22" hidden="1" x14ac:dyDescent="0.3">
      <c r="A2153" t="s">
        <v>2206</v>
      </c>
      <c r="B2153" t="s">
        <v>38</v>
      </c>
      <c r="C2153" t="s">
        <v>53</v>
      </c>
      <c r="D2153" t="s">
        <v>34</v>
      </c>
      <c r="E2153" t="str">
        <f t="shared" si="132"/>
        <v>S</v>
      </c>
      <c r="F2153" t="s">
        <v>39</v>
      </c>
      <c r="G2153" t="s">
        <v>70</v>
      </c>
      <c r="H2153" s="8">
        <v>111.43</v>
      </c>
      <c r="I2153" s="3">
        <f t="shared" si="133"/>
        <v>0.435</v>
      </c>
      <c r="J2153" s="4">
        <v>43.5</v>
      </c>
      <c r="K2153" s="11">
        <f>Table1[[#This Row],[original_price]]* (Table1[[#This Row],[Markdown percentage updated]])</f>
        <v>48.472050000000003</v>
      </c>
      <c r="L215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53" s="6">
        <v>62.96</v>
      </c>
      <c r="N215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53" s="7">
        <v>45875</v>
      </c>
      <c r="P2153">
        <v>22</v>
      </c>
      <c r="Q2153" s="16" t="str">
        <f>IF(Table1[[#This Row],[stock_quantity]]=0,"NO STOCK",
IF(Table1[[#This Row],[stock_quantity]]&lt;=10,"LOW STOCK",
"IN STOCK"))</f>
        <v>IN STOCK</v>
      </c>
      <c r="R2153" s="1">
        <f t="shared" si="134"/>
        <v>4.8</v>
      </c>
      <c r="S2153">
        <v>4.8</v>
      </c>
      <c r="T2153" t="b">
        <v>0</v>
      </c>
      <c r="U2153" t="str">
        <f t="shared" si="135"/>
        <v>No Return</v>
      </c>
    </row>
    <row r="2154" spans="1:22" hidden="1" x14ac:dyDescent="0.3">
      <c r="A2154" t="s">
        <v>2207</v>
      </c>
      <c r="B2154" t="s">
        <v>27</v>
      </c>
      <c r="C2154" t="s">
        <v>22</v>
      </c>
      <c r="D2154" t="s">
        <v>17</v>
      </c>
      <c r="E2154" t="str">
        <f t="shared" si="132"/>
        <v>XL</v>
      </c>
      <c r="G2154" t="s">
        <v>70</v>
      </c>
      <c r="H2154" s="8">
        <v>15.36</v>
      </c>
      <c r="I2154" s="3">
        <f t="shared" si="133"/>
        <v>0.36799999999999999</v>
      </c>
      <c r="J2154" s="4">
        <v>36.799999999999997</v>
      </c>
      <c r="K2154" s="11">
        <f>Table1[[#This Row],[original_price]]* (Table1[[#This Row],[Markdown percentage updated]])</f>
        <v>5.6524799999999997</v>
      </c>
      <c r="L215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54" s="6">
        <v>9.7100000000000009</v>
      </c>
      <c r="N215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154" s="7">
        <v>45776</v>
      </c>
      <c r="P2154">
        <v>46</v>
      </c>
      <c r="Q2154" s="16" t="str">
        <f>IF(Table1[[#This Row],[stock_quantity]]=0,"NO STOCK",
IF(Table1[[#This Row],[stock_quantity]]&lt;=10,"LOW STOCK",
"IN STOCK"))</f>
        <v>IN STOCK</v>
      </c>
      <c r="R2154" s="1">
        <f t="shared" si="134"/>
        <v>2.2999999999999998</v>
      </c>
      <c r="S2154">
        <v>2.2999999999999998</v>
      </c>
      <c r="T2154" t="b">
        <v>0</v>
      </c>
      <c r="U2154" t="str">
        <f t="shared" si="135"/>
        <v>No Return</v>
      </c>
    </row>
    <row r="2155" spans="1:22" hidden="1" x14ac:dyDescent="0.3">
      <c r="A2155" t="s">
        <v>2208</v>
      </c>
      <c r="B2155" t="s">
        <v>21</v>
      </c>
      <c r="C2155" t="s">
        <v>61</v>
      </c>
      <c r="D2155" t="s">
        <v>34</v>
      </c>
      <c r="E2155" t="str">
        <f t="shared" si="132"/>
        <v>M</v>
      </c>
      <c r="F2155" t="s">
        <v>18</v>
      </c>
      <c r="G2155" t="s">
        <v>28</v>
      </c>
      <c r="H2155" s="8">
        <v>100.03</v>
      </c>
      <c r="I2155" s="3">
        <f t="shared" si="133"/>
        <v>0.51800000000000002</v>
      </c>
      <c r="J2155" s="4">
        <v>51.8</v>
      </c>
      <c r="K2155" s="11">
        <f>Table1[[#This Row],[original_price]]* (Table1[[#This Row],[Markdown percentage updated]])</f>
        <v>51.815540000000006</v>
      </c>
      <c r="L215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55" s="6">
        <v>48.21</v>
      </c>
      <c r="N215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55" s="7">
        <v>45875</v>
      </c>
      <c r="P2155">
        <v>43</v>
      </c>
      <c r="Q2155" s="16" t="str">
        <f>IF(Table1[[#This Row],[stock_quantity]]=0,"NO STOCK",
IF(Table1[[#This Row],[stock_quantity]]&lt;=10,"LOW STOCK",
"IN STOCK"))</f>
        <v>IN STOCK</v>
      </c>
      <c r="R2155" s="1">
        <f t="shared" si="134"/>
        <v>5</v>
      </c>
      <c r="S2155">
        <v>5</v>
      </c>
      <c r="T2155" t="b">
        <v>0</v>
      </c>
      <c r="U2155" t="str">
        <f t="shared" si="135"/>
        <v>No Return</v>
      </c>
    </row>
    <row r="2156" spans="1:22" hidden="1" x14ac:dyDescent="0.3">
      <c r="A2156" t="s">
        <v>2209</v>
      </c>
      <c r="B2156" t="s">
        <v>30</v>
      </c>
      <c r="C2156" t="s">
        <v>22</v>
      </c>
      <c r="D2156" t="s">
        <v>62</v>
      </c>
      <c r="E2156" t="str">
        <f t="shared" si="132"/>
        <v>OS</v>
      </c>
      <c r="F2156" t="s">
        <v>39</v>
      </c>
      <c r="G2156" t="s">
        <v>28</v>
      </c>
      <c r="H2156" s="8">
        <v>173.75</v>
      </c>
      <c r="I2156" s="3">
        <f t="shared" si="133"/>
        <v>0.192</v>
      </c>
      <c r="J2156" s="4">
        <v>19.2</v>
      </c>
      <c r="K2156" s="11">
        <f>Table1[[#This Row],[original_price]]* (Table1[[#This Row],[Markdown percentage updated]])</f>
        <v>33.36</v>
      </c>
      <c r="L215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56" s="6">
        <v>140.38999999999999</v>
      </c>
      <c r="N215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56" s="7">
        <v>45875</v>
      </c>
      <c r="P2156">
        <v>38</v>
      </c>
      <c r="Q2156" s="16" t="str">
        <f>IF(Table1[[#This Row],[stock_quantity]]=0,"NO STOCK",
IF(Table1[[#This Row],[stock_quantity]]&lt;=10,"LOW STOCK",
"IN STOCK"))</f>
        <v>IN STOCK</v>
      </c>
      <c r="R2156" s="1">
        <f t="shared" si="134"/>
        <v>0</v>
      </c>
      <c r="T2156" t="b">
        <v>0</v>
      </c>
      <c r="U2156" t="str">
        <f t="shared" si="135"/>
        <v>No Return</v>
      </c>
    </row>
    <row r="2157" spans="1:22" hidden="1" x14ac:dyDescent="0.3">
      <c r="A2157" t="s">
        <v>2210</v>
      </c>
      <c r="B2157" t="s">
        <v>38</v>
      </c>
      <c r="C2157" t="s">
        <v>61</v>
      </c>
      <c r="D2157" t="s">
        <v>23</v>
      </c>
      <c r="E2157" t="str">
        <f t="shared" si="132"/>
        <v>XXL</v>
      </c>
      <c r="F2157" t="s">
        <v>18</v>
      </c>
      <c r="G2157" t="s">
        <v>46</v>
      </c>
      <c r="H2157" s="8">
        <v>37.979999999999997</v>
      </c>
      <c r="I2157" s="3">
        <f t="shared" si="133"/>
        <v>0.152</v>
      </c>
      <c r="J2157" s="4">
        <v>15.2</v>
      </c>
      <c r="K2157" s="11">
        <f>Table1[[#This Row],[original_price]]* (Table1[[#This Row],[Markdown percentage updated]])</f>
        <v>5.7729599999999994</v>
      </c>
      <c r="L215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57" s="6">
        <v>32.21</v>
      </c>
      <c r="N215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157" s="7">
        <v>45875</v>
      </c>
      <c r="P2157">
        <v>25</v>
      </c>
      <c r="Q2157" s="16" t="str">
        <f>IF(Table1[[#This Row],[stock_quantity]]=0,"NO STOCK",
IF(Table1[[#This Row],[stock_quantity]]&lt;=10,"LOW STOCK",
"IN STOCK"))</f>
        <v>IN STOCK</v>
      </c>
      <c r="R2157" s="1">
        <f t="shared" si="134"/>
        <v>3.6</v>
      </c>
      <c r="S2157">
        <v>3.6</v>
      </c>
      <c r="T2157" t="b">
        <v>0</v>
      </c>
      <c r="U2157" t="str">
        <f t="shared" si="135"/>
        <v>No Return</v>
      </c>
    </row>
    <row r="2158" spans="1:22" hidden="1" x14ac:dyDescent="0.3">
      <c r="A2158" t="s">
        <v>2211</v>
      </c>
      <c r="B2158" t="s">
        <v>42</v>
      </c>
      <c r="C2158" t="s">
        <v>75</v>
      </c>
      <c r="D2158" t="s">
        <v>62</v>
      </c>
      <c r="E2158" t="str">
        <f t="shared" si="132"/>
        <v>XXL</v>
      </c>
      <c r="F2158" t="s">
        <v>58</v>
      </c>
      <c r="G2158" t="s">
        <v>28</v>
      </c>
      <c r="H2158" s="8">
        <v>154.11000000000001</v>
      </c>
      <c r="I2158" s="3">
        <f t="shared" si="133"/>
        <v>0</v>
      </c>
      <c r="J2158" s="4">
        <v>0</v>
      </c>
      <c r="K2158" s="11">
        <f>Table1[[#This Row],[original_price]]* (Table1[[#This Row],[Markdown percentage updated]])</f>
        <v>0</v>
      </c>
      <c r="L215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58" s="6">
        <v>154.11000000000001</v>
      </c>
      <c r="N215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58" s="7">
        <v>45875</v>
      </c>
      <c r="P2158">
        <v>50</v>
      </c>
      <c r="Q2158" s="16" t="str">
        <f>IF(Table1[[#This Row],[stock_quantity]]=0,"NO STOCK",
IF(Table1[[#This Row],[stock_quantity]]&lt;=10,"LOW STOCK",
"IN STOCK"))</f>
        <v>IN STOCK</v>
      </c>
      <c r="R2158" s="1">
        <f t="shared" si="134"/>
        <v>3.1</v>
      </c>
      <c r="S2158">
        <v>3.1</v>
      </c>
      <c r="T2158" t="b">
        <v>0</v>
      </c>
      <c r="U2158" t="str">
        <f t="shared" si="135"/>
        <v>No Return</v>
      </c>
    </row>
    <row r="2159" spans="1:22" hidden="1" x14ac:dyDescent="0.3">
      <c r="A2159" t="s">
        <v>2212</v>
      </c>
      <c r="B2159" t="s">
        <v>27</v>
      </c>
      <c r="C2159" t="s">
        <v>53</v>
      </c>
      <c r="D2159" t="s">
        <v>17</v>
      </c>
      <c r="E2159" t="str">
        <f t="shared" si="132"/>
        <v>XXL</v>
      </c>
      <c r="G2159" t="s">
        <v>66</v>
      </c>
      <c r="H2159" s="8">
        <v>69.8</v>
      </c>
      <c r="I2159" s="3">
        <f t="shared" si="133"/>
        <v>0.46899999999999997</v>
      </c>
      <c r="J2159" s="4">
        <v>46.9</v>
      </c>
      <c r="K2159" s="11">
        <f>Table1[[#This Row],[original_price]]* (Table1[[#This Row],[Markdown percentage updated]])</f>
        <v>32.736199999999997</v>
      </c>
      <c r="L215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59" s="6">
        <v>37.06</v>
      </c>
      <c r="N215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59" s="7">
        <v>45586</v>
      </c>
      <c r="P2159">
        <v>26</v>
      </c>
      <c r="Q2159" s="16" t="str">
        <f>IF(Table1[[#This Row],[stock_quantity]]=0,"NO STOCK",
IF(Table1[[#This Row],[stock_quantity]]&lt;=10,"LOW STOCK",
"IN STOCK"))</f>
        <v>IN STOCK</v>
      </c>
      <c r="R2159" s="1">
        <f t="shared" si="134"/>
        <v>3.8</v>
      </c>
      <c r="S2159">
        <v>3.8</v>
      </c>
      <c r="T2159" t="b">
        <v>0</v>
      </c>
      <c r="U2159" t="str">
        <f t="shared" si="135"/>
        <v>No Return</v>
      </c>
    </row>
    <row r="2160" spans="1:22" hidden="1" x14ac:dyDescent="0.3">
      <c r="A2160" t="s">
        <v>2213</v>
      </c>
      <c r="B2160" t="s">
        <v>42</v>
      </c>
      <c r="C2160" t="s">
        <v>61</v>
      </c>
      <c r="D2160" t="s">
        <v>23</v>
      </c>
      <c r="E2160" t="str">
        <f t="shared" si="132"/>
        <v>L</v>
      </c>
      <c r="F2160" t="s">
        <v>49</v>
      </c>
      <c r="G2160" t="s">
        <v>40</v>
      </c>
      <c r="H2160" s="8">
        <v>171.16</v>
      </c>
      <c r="I2160" s="3">
        <f t="shared" si="133"/>
        <v>0</v>
      </c>
      <c r="J2160" s="4">
        <v>0</v>
      </c>
      <c r="K2160" s="11">
        <f>Table1[[#This Row],[original_price]]* (Table1[[#This Row],[Markdown percentage updated]])</f>
        <v>0</v>
      </c>
      <c r="L216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60" s="6">
        <v>171.16</v>
      </c>
      <c r="N216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60" s="7">
        <v>45875</v>
      </c>
      <c r="P2160">
        <v>26</v>
      </c>
      <c r="Q2160" s="16" t="str">
        <f>IF(Table1[[#This Row],[stock_quantity]]=0,"NO STOCK",
IF(Table1[[#This Row],[stock_quantity]]&lt;=10,"LOW STOCK",
"IN STOCK"))</f>
        <v>IN STOCK</v>
      </c>
      <c r="R2160" s="1">
        <f t="shared" si="134"/>
        <v>4.3</v>
      </c>
      <c r="S2160">
        <v>4.3</v>
      </c>
      <c r="T2160" t="b">
        <v>0</v>
      </c>
      <c r="U2160" t="str">
        <f t="shared" si="135"/>
        <v>No Return</v>
      </c>
    </row>
    <row r="2161" spans="1:22" hidden="1" x14ac:dyDescent="0.3">
      <c r="A2161" t="s">
        <v>2214</v>
      </c>
      <c r="B2161" t="s">
        <v>15</v>
      </c>
      <c r="C2161" t="s">
        <v>16</v>
      </c>
      <c r="D2161" t="s">
        <v>62</v>
      </c>
      <c r="E2161" t="str">
        <f t="shared" si="132"/>
        <v>OS</v>
      </c>
      <c r="F2161" t="s">
        <v>49</v>
      </c>
      <c r="G2161" t="s">
        <v>35</v>
      </c>
      <c r="H2161" s="8">
        <v>118.57</v>
      </c>
      <c r="I2161" s="3">
        <f t="shared" si="133"/>
        <v>0</v>
      </c>
      <c r="J2161" s="4">
        <v>0</v>
      </c>
      <c r="K2161" s="11">
        <f>Table1[[#This Row],[original_price]]* (Table1[[#This Row],[Markdown percentage updated]])</f>
        <v>0</v>
      </c>
      <c r="L216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61" s="6">
        <v>118.57</v>
      </c>
      <c r="N216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61" s="7">
        <v>45875</v>
      </c>
      <c r="P2161">
        <v>6</v>
      </c>
      <c r="Q2161" s="17" t="str">
        <f>IF(Table1[[#This Row],[stock_quantity]]=0,"NO STOCK",
IF(Table1[[#This Row],[stock_quantity]]&lt;=10,"LOW STOCK",
"IN STOCK"))</f>
        <v>LOW STOCK</v>
      </c>
      <c r="R2161" s="1">
        <f t="shared" si="134"/>
        <v>1.4</v>
      </c>
      <c r="S2161">
        <v>1.4</v>
      </c>
      <c r="T2161" t="b">
        <v>1</v>
      </c>
      <c r="U2161" s="13" t="str">
        <f t="shared" si="135"/>
        <v>Quality Issue</v>
      </c>
      <c r="V2161" t="s">
        <v>83</v>
      </c>
    </row>
    <row r="2162" spans="1:22" hidden="1" x14ac:dyDescent="0.3">
      <c r="A2162" t="s">
        <v>2215</v>
      </c>
      <c r="B2162" t="s">
        <v>42</v>
      </c>
      <c r="C2162" t="s">
        <v>43</v>
      </c>
      <c r="D2162" t="s">
        <v>23</v>
      </c>
      <c r="E2162" t="str">
        <f t="shared" si="132"/>
        <v>XL</v>
      </c>
      <c r="F2162" t="s">
        <v>49</v>
      </c>
      <c r="G2162" t="s">
        <v>25</v>
      </c>
      <c r="H2162" s="8">
        <v>118.46</v>
      </c>
      <c r="I2162" s="3">
        <f t="shared" si="133"/>
        <v>0</v>
      </c>
      <c r="J2162" s="4">
        <v>0</v>
      </c>
      <c r="K2162" s="11">
        <f>Table1[[#This Row],[original_price]]* (Table1[[#This Row],[Markdown percentage updated]])</f>
        <v>0</v>
      </c>
      <c r="L216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62" s="6">
        <v>118.46</v>
      </c>
      <c r="N216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62" s="7">
        <v>45875</v>
      </c>
      <c r="P2162">
        <v>40</v>
      </c>
      <c r="Q2162" s="16" t="str">
        <f>IF(Table1[[#This Row],[stock_quantity]]=0,"NO STOCK",
IF(Table1[[#This Row],[stock_quantity]]&lt;=10,"LOW STOCK",
"IN STOCK"))</f>
        <v>IN STOCK</v>
      </c>
      <c r="R2162" s="1">
        <f t="shared" si="134"/>
        <v>2.2999999999999998</v>
      </c>
      <c r="S2162">
        <v>2.2999999999999998</v>
      </c>
      <c r="T2162" t="b">
        <v>0</v>
      </c>
      <c r="U2162" t="str">
        <f t="shared" si="135"/>
        <v>No Return</v>
      </c>
    </row>
    <row r="2163" spans="1:22" hidden="1" x14ac:dyDescent="0.3">
      <c r="A2163" t="s">
        <v>2216</v>
      </c>
      <c r="B2163" t="s">
        <v>30</v>
      </c>
      <c r="C2163" t="s">
        <v>16</v>
      </c>
      <c r="D2163" t="s">
        <v>62</v>
      </c>
      <c r="E2163" t="str">
        <f t="shared" si="132"/>
        <v>OS</v>
      </c>
      <c r="F2163" t="s">
        <v>24</v>
      </c>
      <c r="G2163" t="s">
        <v>46</v>
      </c>
      <c r="H2163" s="8">
        <v>122.7</v>
      </c>
      <c r="I2163" s="3">
        <f t="shared" si="133"/>
        <v>0</v>
      </c>
      <c r="J2163" s="4">
        <v>0</v>
      </c>
      <c r="K2163" s="11">
        <f>Table1[[#This Row],[original_price]]* (Table1[[#This Row],[Markdown percentage updated]])</f>
        <v>0</v>
      </c>
      <c r="L216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63" s="6">
        <v>122.7</v>
      </c>
      <c r="N216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63" s="7">
        <v>45875</v>
      </c>
      <c r="P2163">
        <v>9</v>
      </c>
      <c r="Q2163" s="17" t="str">
        <f>IF(Table1[[#This Row],[stock_quantity]]=0,"NO STOCK",
IF(Table1[[#This Row],[stock_quantity]]&lt;=10,"LOW STOCK",
"IN STOCK"))</f>
        <v>LOW STOCK</v>
      </c>
      <c r="R2163" s="1">
        <f t="shared" si="134"/>
        <v>0</v>
      </c>
      <c r="T2163" t="b">
        <v>0</v>
      </c>
      <c r="U2163" t="str">
        <f t="shared" si="135"/>
        <v>No Return</v>
      </c>
    </row>
    <row r="2164" spans="1:22" hidden="1" x14ac:dyDescent="0.3">
      <c r="A2164" t="s">
        <v>2217</v>
      </c>
      <c r="B2164" t="s">
        <v>27</v>
      </c>
      <c r="C2164" t="s">
        <v>61</v>
      </c>
      <c r="D2164" t="s">
        <v>17</v>
      </c>
      <c r="E2164" t="str">
        <f t="shared" si="132"/>
        <v>OS</v>
      </c>
      <c r="G2164" t="s">
        <v>28</v>
      </c>
      <c r="H2164" s="8">
        <v>68.2</v>
      </c>
      <c r="I2164" s="3">
        <f t="shared" si="133"/>
        <v>0</v>
      </c>
      <c r="J2164" s="4">
        <v>0</v>
      </c>
      <c r="K2164" s="11">
        <f>Table1[[#This Row],[original_price]]* (Table1[[#This Row],[Markdown percentage updated]])</f>
        <v>0</v>
      </c>
      <c r="L216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64" s="6">
        <v>68.2</v>
      </c>
      <c r="N216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64" s="7">
        <v>45752</v>
      </c>
      <c r="P2164">
        <v>2</v>
      </c>
      <c r="Q2164" s="17" t="str">
        <f>IF(Table1[[#This Row],[stock_quantity]]=0,"NO STOCK",
IF(Table1[[#This Row],[stock_quantity]]&lt;=10,"LOW STOCK",
"IN STOCK"))</f>
        <v>LOW STOCK</v>
      </c>
      <c r="R2164" s="1">
        <f t="shared" si="134"/>
        <v>3.8</v>
      </c>
      <c r="S2164">
        <v>3.8</v>
      </c>
      <c r="T2164" t="b">
        <v>0</v>
      </c>
      <c r="U2164" t="str">
        <f t="shared" si="135"/>
        <v>No Return</v>
      </c>
    </row>
    <row r="2165" spans="1:22" hidden="1" x14ac:dyDescent="0.3">
      <c r="A2165" t="s">
        <v>2218</v>
      </c>
      <c r="B2165" t="s">
        <v>30</v>
      </c>
      <c r="C2165" t="s">
        <v>48</v>
      </c>
      <c r="D2165" t="s">
        <v>17</v>
      </c>
      <c r="E2165" t="str">
        <f t="shared" si="132"/>
        <v>M</v>
      </c>
      <c r="F2165" t="s">
        <v>18</v>
      </c>
      <c r="G2165" t="s">
        <v>35</v>
      </c>
      <c r="H2165" s="8">
        <v>178.56</v>
      </c>
      <c r="I2165" s="3">
        <f t="shared" si="133"/>
        <v>0</v>
      </c>
      <c r="J2165" s="4">
        <v>0</v>
      </c>
      <c r="K2165" s="11">
        <f>Table1[[#This Row],[original_price]]* (Table1[[#This Row],[Markdown percentage updated]])</f>
        <v>0</v>
      </c>
      <c r="L216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65" s="6">
        <v>178.56</v>
      </c>
      <c r="N216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65" s="7">
        <v>45732</v>
      </c>
      <c r="P2165">
        <v>46</v>
      </c>
      <c r="Q2165" s="16" t="str">
        <f>IF(Table1[[#This Row],[stock_quantity]]=0,"NO STOCK",
IF(Table1[[#This Row],[stock_quantity]]&lt;=10,"LOW STOCK",
"IN STOCK"))</f>
        <v>IN STOCK</v>
      </c>
      <c r="R2165" s="1">
        <f t="shared" si="134"/>
        <v>2.6</v>
      </c>
      <c r="S2165">
        <v>2.6</v>
      </c>
      <c r="T2165" t="b">
        <v>0</v>
      </c>
      <c r="U2165" t="str">
        <f t="shared" si="135"/>
        <v>No Return</v>
      </c>
    </row>
    <row r="2166" spans="1:22" hidden="1" x14ac:dyDescent="0.3">
      <c r="A2166" t="s">
        <v>2219</v>
      </c>
      <c r="B2166" t="s">
        <v>27</v>
      </c>
      <c r="C2166" t="s">
        <v>22</v>
      </c>
      <c r="D2166" t="s">
        <v>62</v>
      </c>
      <c r="E2166" t="str">
        <f t="shared" si="132"/>
        <v>XS</v>
      </c>
      <c r="G2166" t="s">
        <v>46</v>
      </c>
      <c r="H2166" s="8">
        <v>30.46</v>
      </c>
      <c r="I2166" s="3">
        <f t="shared" si="133"/>
        <v>0.314</v>
      </c>
      <c r="J2166" s="4">
        <v>31.4</v>
      </c>
      <c r="K2166" s="11">
        <f>Table1[[#This Row],[original_price]]* (Table1[[#This Row],[Markdown percentage updated]])</f>
        <v>9.5644400000000012</v>
      </c>
      <c r="L216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66" s="6">
        <v>20.9</v>
      </c>
      <c r="N216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Low Loss</v>
      </c>
      <c r="O2166" s="7">
        <v>45875</v>
      </c>
      <c r="P2166">
        <v>40</v>
      </c>
      <c r="Q2166" s="16" t="str">
        <f>IF(Table1[[#This Row],[stock_quantity]]=0,"NO STOCK",
IF(Table1[[#This Row],[stock_quantity]]&lt;=10,"LOW STOCK",
"IN STOCK"))</f>
        <v>IN STOCK</v>
      </c>
      <c r="R2166" s="1">
        <f t="shared" si="134"/>
        <v>2.4</v>
      </c>
      <c r="S2166">
        <v>2.4</v>
      </c>
      <c r="T2166" t="b">
        <v>0</v>
      </c>
      <c r="U2166" t="str">
        <f t="shared" si="135"/>
        <v>No Return</v>
      </c>
    </row>
    <row r="2167" spans="1:22" hidden="1" x14ac:dyDescent="0.3">
      <c r="A2167" t="s">
        <v>2220</v>
      </c>
      <c r="B2167" t="s">
        <v>27</v>
      </c>
      <c r="C2167" t="s">
        <v>32</v>
      </c>
      <c r="D2167" t="s">
        <v>62</v>
      </c>
      <c r="E2167" t="str">
        <f t="shared" si="132"/>
        <v>OS</v>
      </c>
      <c r="G2167" t="s">
        <v>28</v>
      </c>
      <c r="H2167" s="8">
        <v>76.08</v>
      </c>
      <c r="I2167" s="3">
        <f t="shared" si="133"/>
        <v>0</v>
      </c>
      <c r="J2167" s="4">
        <v>0</v>
      </c>
      <c r="K2167" s="11">
        <f>Table1[[#This Row],[original_price]]* (Table1[[#This Row],[Markdown percentage updated]])</f>
        <v>0</v>
      </c>
      <c r="L216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67" s="6">
        <v>76.08</v>
      </c>
      <c r="N216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67" s="7">
        <v>45875</v>
      </c>
      <c r="P2167">
        <v>6</v>
      </c>
      <c r="Q2167" s="17" t="str">
        <f>IF(Table1[[#This Row],[stock_quantity]]=0,"NO STOCK",
IF(Table1[[#This Row],[stock_quantity]]&lt;=10,"LOW STOCK",
"IN STOCK"))</f>
        <v>LOW STOCK</v>
      </c>
      <c r="R2167" s="1">
        <f t="shared" si="134"/>
        <v>4.9000000000000004</v>
      </c>
      <c r="S2167">
        <v>4.9000000000000004</v>
      </c>
      <c r="T2167" t="b">
        <v>0</v>
      </c>
      <c r="U2167" t="str">
        <f t="shared" si="135"/>
        <v>No Return</v>
      </c>
    </row>
    <row r="2168" spans="1:22" hidden="1" x14ac:dyDescent="0.3">
      <c r="A2168" t="s">
        <v>2221</v>
      </c>
      <c r="B2168" t="s">
        <v>30</v>
      </c>
      <c r="C2168" t="s">
        <v>32</v>
      </c>
      <c r="D2168" t="s">
        <v>23</v>
      </c>
      <c r="E2168" t="str">
        <f t="shared" si="132"/>
        <v>OS</v>
      </c>
      <c r="F2168" t="s">
        <v>58</v>
      </c>
      <c r="G2168" t="s">
        <v>70</v>
      </c>
      <c r="H2168" s="8">
        <v>116.15</v>
      </c>
      <c r="I2168" s="3">
        <f t="shared" si="133"/>
        <v>0.16500000000000001</v>
      </c>
      <c r="J2168" s="4">
        <v>16.5</v>
      </c>
      <c r="K2168" s="11">
        <f>Table1[[#This Row],[original_price]]* (Table1[[#This Row],[Markdown percentage updated]])</f>
        <v>19.164750000000002</v>
      </c>
      <c r="L2168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Low Discount</v>
      </c>
      <c r="M2168" s="6">
        <v>96.99</v>
      </c>
      <c r="N2168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Medium Loss</v>
      </c>
      <c r="O2168" s="7">
        <v>45875</v>
      </c>
      <c r="P2168">
        <v>11</v>
      </c>
      <c r="Q2168" s="16" t="str">
        <f>IF(Table1[[#This Row],[stock_quantity]]=0,"NO STOCK",
IF(Table1[[#This Row],[stock_quantity]]&lt;=10,"LOW STOCK",
"IN STOCK"))</f>
        <v>IN STOCK</v>
      </c>
      <c r="R2168" s="1">
        <f t="shared" si="134"/>
        <v>3</v>
      </c>
      <c r="S2168">
        <v>3</v>
      </c>
      <c r="T2168" t="b">
        <v>0</v>
      </c>
      <c r="U2168" t="str">
        <f t="shared" si="135"/>
        <v>No Return</v>
      </c>
    </row>
    <row r="2169" spans="1:22" hidden="1" x14ac:dyDescent="0.3">
      <c r="A2169" t="s">
        <v>2222</v>
      </c>
      <c r="B2169" t="s">
        <v>30</v>
      </c>
      <c r="C2169" t="s">
        <v>48</v>
      </c>
      <c r="D2169" t="s">
        <v>23</v>
      </c>
      <c r="E2169" t="str">
        <f t="shared" si="132"/>
        <v>XL</v>
      </c>
      <c r="F2169" t="s">
        <v>55</v>
      </c>
      <c r="G2169" t="s">
        <v>35</v>
      </c>
      <c r="H2169" s="8">
        <v>98.22</v>
      </c>
      <c r="I2169" s="3">
        <f t="shared" si="133"/>
        <v>0</v>
      </c>
      <c r="J2169" s="4">
        <v>0</v>
      </c>
      <c r="K2169" s="11">
        <f>Table1[[#This Row],[original_price]]* (Table1[[#This Row],[Markdown percentage updated]])</f>
        <v>0</v>
      </c>
      <c r="L2169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69" s="6">
        <v>98.22</v>
      </c>
      <c r="N2169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69" s="7">
        <v>45875</v>
      </c>
      <c r="P2169">
        <v>27</v>
      </c>
      <c r="Q2169" s="16" t="str">
        <f>IF(Table1[[#This Row],[stock_quantity]]=0,"NO STOCK",
IF(Table1[[#This Row],[stock_quantity]]&lt;=10,"LOW STOCK",
"IN STOCK"))</f>
        <v>IN STOCK</v>
      </c>
      <c r="R2169" s="1">
        <f t="shared" si="134"/>
        <v>3.3</v>
      </c>
      <c r="S2169">
        <v>3.3</v>
      </c>
      <c r="T2169" t="b">
        <v>0</v>
      </c>
      <c r="U2169" t="str">
        <f t="shared" si="135"/>
        <v>No Return</v>
      </c>
    </row>
    <row r="2170" spans="1:22" hidden="1" x14ac:dyDescent="0.3">
      <c r="A2170" t="s">
        <v>2223</v>
      </c>
      <c r="B2170" t="s">
        <v>30</v>
      </c>
      <c r="C2170" t="s">
        <v>53</v>
      </c>
      <c r="D2170" t="s">
        <v>23</v>
      </c>
      <c r="E2170" t="str">
        <f t="shared" si="132"/>
        <v>XL</v>
      </c>
      <c r="G2170" t="s">
        <v>56</v>
      </c>
      <c r="H2170" s="8">
        <v>66.58</v>
      </c>
      <c r="I2170" s="3">
        <f t="shared" si="133"/>
        <v>0</v>
      </c>
      <c r="J2170" s="4">
        <v>0</v>
      </c>
      <c r="K2170" s="11">
        <f>Table1[[#This Row],[original_price]]* (Table1[[#This Row],[Markdown percentage updated]])</f>
        <v>0</v>
      </c>
      <c r="L2170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70" s="6">
        <v>66.58</v>
      </c>
      <c r="N2170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70" s="7">
        <v>45875</v>
      </c>
      <c r="P2170">
        <v>45</v>
      </c>
      <c r="Q2170" s="16" t="str">
        <f>IF(Table1[[#This Row],[stock_quantity]]=0,"NO STOCK",
IF(Table1[[#This Row],[stock_quantity]]&lt;=10,"LOW STOCK",
"IN STOCK"))</f>
        <v>IN STOCK</v>
      </c>
      <c r="R2170" s="1">
        <f t="shared" si="134"/>
        <v>3.4</v>
      </c>
      <c r="S2170">
        <v>3.4</v>
      </c>
      <c r="T2170" t="b">
        <v>0</v>
      </c>
      <c r="U2170" t="str">
        <f t="shared" si="135"/>
        <v>No Return</v>
      </c>
    </row>
    <row r="2171" spans="1:22" hidden="1" x14ac:dyDescent="0.3">
      <c r="A2171" t="s">
        <v>2224</v>
      </c>
      <c r="B2171" t="s">
        <v>27</v>
      </c>
      <c r="C2171" t="s">
        <v>22</v>
      </c>
      <c r="D2171" t="s">
        <v>17</v>
      </c>
      <c r="E2171" t="str">
        <f t="shared" si="132"/>
        <v>L</v>
      </c>
      <c r="G2171" t="s">
        <v>56</v>
      </c>
      <c r="H2171" s="8">
        <v>69.22</v>
      </c>
      <c r="I2171" s="3">
        <f t="shared" si="133"/>
        <v>0</v>
      </c>
      <c r="J2171" s="4">
        <v>0</v>
      </c>
      <c r="K2171" s="11">
        <f>Table1[[#This Row],[original_price]]* (Table1[[#This Row],[Markdown percentage updated]])</f>
        <v>0</v>
      </c>
      <c r="L2171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71" s="6">
        <v>69.22</v>
      </c>
      <c r="N2171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71" s="7">
        <v>45540</v>
      </c>
      <c r="P2171">
        <v>42</v>
      </c>
      <c r="Q2171" s="16" t="str">
        <f>IF(Table1[[#This Row],[stock_quantity]]=0,"NO STOCK",
IF(Table1[[#This Row],[stock_quantity]]&lt;=10,"LOW STOCK",
"IN STOCK"))</f>
        <v>IN STOCK</v>
      </c>
      <c r="R2171" s="1">
        <f t="shared" si="134"/>
        <v>3.8</v>
      </c>
      <c r="S2171">
        <v>3.8</v>
      </c>
      <c r="T2171" t="b">
        <v>0</v>
      </c>
      <c r="U2171" t="str">
        <f t="shared" si="135"/>
        <v>No Return</v>
      </c>
    </row>
    <row r="2172" spans="1:22" hidden="1" x14ac:dyDescent="0.3">
      <c r="A2172" t="s">
        <v>2225</v>
      </c>
      <c r="B2172" t="s">
        <v>21</v>
      </c>
      <c r="C2172" t="s">
        <v>22</v>
      </c>
      <c r="D2172" t="s">
        <v>23</v>
      </c>
      <c r="E2172" t="str">
        <f t="shared" si="132"/>
        <v>OS</v>
      </c>
      <c r="F2172" t="s">
        <v>18</v>
      </c>
      <c r="G2172" t="s">
        <v>28</v>
      </c>
      <c r="H2172" s="8">
        <v>85.01</v>
      </c>
      <c r="I2172" s="3">
        <f t="shared" si="133"/>
        <v>0</v>
      </c>
      <c r="J2172" s="4">
        <v>0</v>
      </c>
      <c r="K2172" s="11">
        <f>Table1[[#This Row],[original_price]]* (Table1[[#This Row],[Markdown percentage updated]])</f>
        <v>0</v>
      </c>
      <c r="L2172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72" s="6">
        <v>85.01</v>
      </c>
      <c r="N2172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72" s="7">
        <v>45875</v>
      </c>
      <c r="P2172">
        <v>39</v>
      </c>
      <c r="Q2172" s="16" t="str">
        <f>IF(Table1[[#This Row],[stock_quantity]]=0,"NO STOCK",
IF(Table1[[#This Row],[stock_quantity]]&lt;=10,"LOW STOCK",
"IN STOCK"))</f>
        <v>IN STOCK</v>
      </c>
      <c r="R2172" s="1">
        <f t="shared" si="134"/>
        <v>4.3</v>
      </c>
      <c r="S2172">
        <v>4.3</v>
      </c>
      <c r="T2172" t="b">
        <v>0</v>
      </c>
      <c r="U2172" t="str">
        <f t="shared" si="135"/>
        <v>No Return</v>
      </c>
    </row>
    <row r="2173" spans="1:22" hidden="1" x14ac:dyDescent="0.3">
      <c r="A2173" t="s">
        <v>2226</v>
      </c>
      <c r="B2173" t="s">
        <v>21</v>
      </c>
      <c r="C2173" t="s">
        <v>43</v>
      </c>
      <c r="D2173" t="s">
        <v>62</v>
      </c>
      <c r="E2173" t="str">
        <f t="shared" si="132"/>
        <v>XL</v>
      </c>
      <c r="F2173" t="s">
        <v>18</v>
      </c>
      <c r="G2173" t="s">
        <v>28</v>
      </c>
      <c r="H2173" s="8">
        <v>31.41</v>
      </c>
      <c r="I2173" s="3">
        <f t="shared" si="133"/>
        <v>0</v>
      </c>
      <c r="J2173" s="4">
        <v>0</v>
      </c>
      <c r="K2173" s="11">
        <f>Table1[[#This Row],[original_price]]* (Table1[[#This Row],[Markdown percentage updated]])</f>
        <v>0</v>
      </c>
      <c r="L2173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73" s="6">
        <v>31.41</v>
      </c>
      <c r="N2173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73" s="7">
        <v>45875</v>
      </c>
      <c r="P2173">
        <v>10</v>
      </c>
      <c r="Q2173" s="17" t="str">
        <f>IF(Table1[[#This Row],[stock_quantity]]=0,"NO STOCK",
IF(Table1[[#This Row],[stock_quantity]]&lt;=10,"LOW STOCK",
"IN STOCK"))</f>
        <v>LOW STOCK</v>
      </c>
      <c r="R2173" s="1">
        <f t="shared" si="134"/>
        <v>2.1</v>
      </c>
      <c r="S2173">
        <v>2.1</v>
      </c>
      <c r="T2173" t="b">
        <v>0</v>
      </c>
      <c r="U2173" t="str">
        <f t="shared" si="135"/>
        <v>No Return</v>
      </c>
    </row>
    <row r="2174" spans="1:22" x14ac:dyDescent="0.3">
      <c r="A2174" t="s">
        <v>2227</v>
      </c>
      <c r="B2174" t="s">
        <v>42</v>
      </c>
      <c r="C2174" t="s">
        <v>32</v>
      </c>
      <c r="D2174" t="s">
        <v>23</v>
      </c>
      <c r="E2174" t="str">
        <f t="shared" si="132"/>
        <v>XXL</v>
      </c>
      <c r="F2174" t="s">
        <v>24</v>
      </c>
      <c r="G2174" t="s">
        <v>70</v>
      </c>
      <c r="H2174" s="8">
        <v>50.58</v>
      </c>
      <c r="I2174" s="3">
        <f t="shared" si="133"/>
        <v>0</v>
      </c>
      <c r="J2174" s="4">
        <v>0</v>
      </c>
      <c r="K2174" s="11">
        <f>Table1[[#This Row],[original_price]]* (Table1[[#This Row],[Markdown percentage updated]])</f>
        <v>0</v>
      </c>
      <c r="L2174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74" s="6">
        <v>50.58</v>
      </c>
      <c r="N2174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74" s="7">
        <v>45875</v>
      </c>
      <c r="P2174">
        <v>1</v>
      </c>
      <c r="Q2174" s="17" t="str">
        <f>IF(Table1[[#This Row],[stock_quantity]]=0,"NO STOCK",
IF(Table1[[#This Row],[stock_quantity]]&lt;=10,"LOW STOCK",
"IN STOCK"))</f>
        <v>LOW STOCK</v>
      </c>
      <c r="R2174" s="1">
        <f t="shared" si="134"/>
        <v>3.1</v>
      </c>
      <c r="S2174">
        <v>3.1</v>
      </c>
      <c r="T2174" t="b">
        <v>1</v>
      </c>
      <c r="U2174" s="13" t="str">
        <f t="shared" si="135"/>
        <v>Changed Mind</v>
      </c>
      <c r="V2174" t="s">
        <v>115</v>
      </c>
    </row>
    <row r="2175" spans="1:22" hidden="1" x14ac:dyDescent="0.3">
      <c r="A2175" t="s">
        <v>2228</v>
      </c>
      <c r="B2175" t="s">
        <v>27</v>
      </c>
      <c r="C2175" t="s">
        <v>32</v>
      </c>
      <c r="D2175" t="s">
        <v>23</v>
      </c>
      <c r="E2175" t="str">
        <f t="shared" si="132"/>
        <v>OS</v>
      </c>
      <c r="G2175" t="s">
        <v>56</v>
      </c>
      <c r="H2175" s="8">
        <v>79.37</v>
      </c>
      <c r="I2175" s="3">
        <f t="shared" si="133"/>
        <v>0.54799999999999993</v>
      </c>
      <c r="J2175" s="4">
        <v>54.8</v>
      </c>
      <c r="K2175" s="11">
        <f>Table1[[#This Row],[original_price]]* (Table1[[#This Row],[Markdown percentage updated]])</f>
        <v>43.494759999999999</v>
      </c>
      <c r="L2175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high Discount</v>
      </c>
      <c r="M2175" s="6">
        <v>35.880000000000003</v>
      </c>
      <c r="N2175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High Loss</v>
      </c>
      <c r="O2175" s="7">
        <v>45875</v>
      </c>
      <c r="P2175">
        <v>40</v>
      </c>
      <c r="Q2175" s="16" t="str">
        <f>IF(Table1[[#This Row],[stock_quantity]]=0,"NO STOCK",
IF(Table1[[#This Row],[stock_quantity]]&lt;=10,"LOW STOCK",
"IN STOCK"))</f>
        <v>IN STOCK</v>
      </c>
      <c r="R2175" s="1">
        <f t="shared" si="134"/>
        <v>2.6</v>
      </c>
      <c r="S2175">
        <v>2.6</v>
      </c>
      <c r="T2175" t="b">
        <v>0</v>
      </c>
      <c r="U2175" t="str">
        <f t="shared" si="135"/>
        <v>No Return</v>
      </c>
    </row>
    <row r="2176" spans="1:22" hidden="1" x14ac:dyDescent="0.3">
      <c r="A2176" t="s">
        <v>2229</v>
      </c>
      <c r="B2176" t="s">
        <v>38</v>
      </c>
      <c r="C2176" t="s">
        <v>53</v>
      </c>
      <c r="D2176" t="s">
        <v>62</v>
      </c>
      <c r="E2176" t="str">
        <f t="shared" si="132"/>
        <v>OS</v>
      </c>
      <c r="F2176" t="s">
        <v>18</v>
      </c>
      <c r="G2176" t="s">
        <v>25</v>
      </c>
      <c r="H2176" s="8">
        <v>105.52</v>
      </c>
      <c r="I2176" s="3">
        <f t="shared" si="133"/>
        <v>0</v>
      </c>
      <c r="J2176" s="4">
        <v>0</v>
      </c>
      <c r="K2176" s="11">
        <f>Table1[[#This Row],[original_price]]* (Table1[[#This Row],[Markdown percentage updated]])</f>
        <v>0</v>
      </c>
      <c r="L2176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76" s="6">
        <v>105.52</v>
      </c>
      <c r="N2176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76" s="7">
        <v>45875</v>
      </c>
      <c r="P2176">
        <v>20</v>
      </c>
      <c r="Q2176" s="16" t="str">
        <f>IF(Table1[[#This Row],[stock_quantity]]=0,"NO STOCK",
IF(Table1[[#This Row],[stock_quantity]]&lt;=10,"LOW STOCK",
"IN STOCK"))</f>
        <v>IN STOCK</v>
      </c>
      <c r="R2176" s="1">
        <f t="shared" si="134"/>
        <v>4.9000000000000004</v>
      </c>
      <c r="S2176">
        <v>4.9000000000000004</v>
      </c>
      <c r="T2176" t="b">
        <v>1</v>
      </c>
      <c r="U2176" s="13" t="str">
        <f t="shared" si="135"/>
        <v>Size Issue</v>
      </c>
      <c r="V2176" t="s">
        <v>73</v>
      </c>
    </row>
    <row r="2177" spans="1:21" hidden="1" x14ac:dyDescent="0.3">
      <c r="A2177" t="s">
        <v>2230</v>
      </c>
      <c r="B2177" t="s">
        <v>30</v>
      </c>
      <c r="C2177" t="s">
        <v>53</v>
      </c>
      <c r="D2177" t="s">
        <v>62</v>
      </c>
      <c r="E2177" t="str">
        <f t="shared" si="132"/>
        <v>OS</v>
      </c>
      <c r="F2177" t="s">
        <v>49</v>
      </c>
      <c r="G2177" t="s">
        <v>35</v>
      </c>
      <c r="H2177" s="8">
        <v>154.02000000000001</v>
      </c>
      <c r="I2177" s="3">
        <f t="shared" si="133"/>
        <v>0</v>
      </c>
      <c r="J2177" s="4">
        <v>0</v>
      </c>
      <c r="K2177" s="11">
        <f>Table1[[#This Row],[original_price]]* (Table1[[#This Row],[Markdown percentage updated]])</f>
        <v>0</v>
      </c>
      <c r="L2177" s="4" t="str">
        <f>IF(Table1[[#This Row],[Markdown percentage updated]]=0,"No Discount",
IF(Table1[[#This Row],[Markdown percentage updated]]&lt;=20%,"Low Discount",
IF(Table1[[#This Row],[Markdown percentage updated]]&lt;=30%,"Medium Discount","high Discount")))</f>
        <v>No Discount</v>
      </c>
      <c r="M2177" s="6">
        <v>154.02000000000001</v>
      </c>
      <c r="N2177" s="6" t="str">
        <f>IF(Table1[[#This Row],[original_price]] - Table1[[#This Row],[current_price]] = 0,"No Loss",
IF(Table1[[#This Row],[original_price]]- Table1[[#This Row],[current_price]]&lt;=10,"Low Loss",
IF(Table1[[#This Row],[original_price]] - Table1[[#This Row],[current_price]]&lt;=20,"Medium Loss","High Loss")))</f>
        <v>No Loss</v>
      </c>
      <c r="O2177" s="7">
        <v>45875</v>
      </c>
      <c r="P2177">
        <v>23</v>
      </c>
      <c r="Q2177" s="16" t="str">
        <f>IF(Table1[[#This Row],[stock_quantity]]=0,"NO STOCK",
IF(Table1[[#This Row],[stock_quantity]]&lt;=10,"LOW STOCK",
"IN STOCK"))</f>
        <v>IN STOCK</v>
      </c>
      <c r="R2177" s="1">
        <f t="shared" si="134"/>
        <v>1.3</v>
      </c>
      <c r="S2177">
        <v>1.3</v>
      </c>
      <c r="T2177" t="b">
        <v>0</v>
      </c>
      <c r="U2177" t="str">
        <f t="shared" si="135"/>
        <v>No Return</v>
      </c>
    </row>
  </sheetData>
  <scenarios current="0" show="0">
    <scenario name="Change name" locked="1" count="9" user="Sivani Jayanth" comment="Created by Sivani Jayanth on 2026-05-14">
      <inputCells r="G2" val="white"/>
      <inputCells r="G3" val="white"/>
      <inputCells r="G4" val="pink"/>
      <inputCells r="G5" val="yellow"/>
      <inputCells r="G6" val="yellow"/>
      <inputCells r="G7" val="White"/>
      <inputCells r="G8" val="Gray"/>
      <inputCells r="G9" val="Blue"/>
      <inputCells r="G10" val="Green"/>
    </scenario>
  </scenarios>
  <phoneticPr fontId="18" type="noConversion"/>
  <conditionalFormatting sqref="I1:I1048576">
    <cfRule type="cellIs" dxfId="0" priority="4" operator="greaterThan">
      <formula>0.2995</formula>
    </cfRule>
  </conditionalFormatting>
  <conditionalFormatting sqref="Q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217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91FA-1397-491D-8698-6570C3A10192}">
  <dimension ref="B1:C11"/>
  <sheetViews>
    <sheetView workbookViewId="0">
      <selection activeCell="C13" sqref="C13"/>
    </sheetView>
  </sheetViews>
  <sheetFormatPr defaultRowHeight="14.4" x14ac:dyDescent="0.3"/>
  <cols>
    <col min="2" max="2" width="29.6640625" customWidth="1"/>
    <col min="3" max="3" width="43.33203125" customWidth="1"/>
  </cols>
  <sheetData>
    <row r="1" spans="2:3" x14ac:dyDescent="0.3">
      <c r="B1" s="2" t="s">
        <v>2234</v>
      </c>
      <c r="C1" s="2" t="s">
        <v>2235</v>
      </c>
    </row>
    <row r="2" spans="2:3" x14ac:dyDescent="0.3">
      <c r="B2" t="s">
        <v>2243</v>
      </c>
    </row>
    <row r="3" spans="2:3" x14ac:dyDescent="0.3">
      <c r="B3" t="s">
        <v>2233</v>
      </c>
      <c r="C3" t="s">
        <v>2236</v>
      </c>
    </row>
    <row r="4" spans="2:3" x14ac:dyDescent="0.3">
      <c r="B4" t="s">
        <v>2237</v>
      </c>
      <c r="C4" t="s">
        <v>2238</v>
      </c>
    </row>
    <row r="5" spans="2:3" x14ac:dyDescent="0.3">
      <c r="B5" t="s">
        <v>2240</v>
      </c>
      <c r="C5" t="s">
        <v>2241</v>
      </c>
    </row>
    <row r="6" spans="2:3" x14ac:dyDescent="0.3">
      <c r="B6" t="s">
        <v>2242</v>
      </c>
    </row>
    <row r="7" spans="2:3" x14ac:dyDescent="0.3">
      <c r="B7" t="s">
        <v>2249</v>
      </c>
      <c r="C7" t="s">
        <v>2250</v>
      </c>
    </row>
    <row r="8" spans="2:3" x14ac:dyDescent="0.3">
      <c r="C8" t="s">
        <v>2251</v>
      </c>
    </row>
    <row r="9" spans="2:3" x14ac:dyDescent="0.3">
      <c r="C9" t="s">
        <v>2246</v>
      </c>
    </row>
    <row r="10" spans="2:3" x14ac:dyDescent="0.3">
      <c r="C10" t="s">
        <v>2252</v>
      </c>
    </row>
    <row r="11" spans="2:3" x14ac:dyDescent="0.3">
      <c r="C11" t="s">
        <v>2253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7393-81E3-4D20-9826-5CEBE9614B40}">
  <dimension ref="A3:K10"/>
  <sheetViews>
    <sheetView workbookViewId="0">
      <selection activeCell="G6" sqref="G6"/>
    </sheetView>
  </sheetViews>
  <sheetFormatPr defaultRowHeight="14.4" x14ac:dyDescent="0.3"/>
  <cols>
    <col min="1" max="1" width="12.44140625" bestFit="1" customWidth="1"/>
    <col min="2" max="2" width="18.33203125" bestFit="1" customWidth="1"/>
  </cols>
  <sheetData>
    <row r="3" spans="1:11" x14ac:dyDescent="0.3">
      <c r="A3" s="18" t="s">
        <v>2254</v>
      </c>
      <c r="B3" t="s">
        <v>2256</v>
      </c>
      <c r="F3" s="20" t="s">
        <v>2257</v>
      </c>
      <c r="G3" s="20"/>
      <c r="H3" s="20"/>
      <c r="I3" s="20"/>
      <c r="J3" s="20"/>
      <c r="K3" s="20"/>
    </row>
    <row r="4" spans="1:11" x14ac:dyDescent="0.3">
      <c r="A4" s="19" t="s">
        <v>27</v>
      </c>
      <c r="B4" s="6">
        <v>17393.880000000008</v>
      </c>
    </row>
    <row r="5" spans="1:11" x14ac:dyDescent="0.3">
      <c r="A5" s="19" t="s">
        <v>38</v>
      </c>
      <c r="B5" s="6">
        <v>24079.389999999996</v>
      </c>
    </row>
    <row r="6" spans="1:11" x14ac:dyDescent="0.3">
      <c r="A6" s="19" t="s">
        <v>42</v>
      </c>
      <c r="B6" s="6">
        <v>31028.350000000002</v>
      </c>
    </row>
    <row r="7" spans="1:11" x14ac:dyDescent="0.3">
      <c r="A7" s="19" t="s">
        <v>15</v>
      </c>
      <c r="B7" s="6">
        <v>48672.81</v>
      </c>
    </row>
    <row r="8" spans="1:11" x14ac:dyDescent="0.3">
      <c r="A8" s="19" t="s">
        <v>30</v>
      </c>
      <c r="B8" s="6">
        <v>41152.779999999948</v>
      </c>
    </row>
    <row r="9" spans="1:11" x14ac:dyDescent="0.3">
      <c r="A9" s="19" t="s">
        <v>21</v>
      </c>
      <c r="B9" s="6">
        <v>23719.909999999989</v>
      </c>
    </row>
    <row r="10" spans="1:11" x14ac:dyDescent="0.3">
      <c r="A10" s="19" t="s">
        <v>2255</v>
      </c>
      <c r="B10" s="6">
        <v>186047.11999999994</v>
      </c>
    </row>
  </sheetData>
  <mergeCells count="1">
    <mergeCell ref="F3:K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6F3B-7CBA-4F4E-97F5-51B3FE4FFE78}">
  <dimension ref="A1:J12"/>
  <sheetViews>
    <sheetView workbookViewId="0">
      <selection activeCell="C13" sqref="C13"/>
    </sheetView>
  </sheetViews>
  <sheetFormatPr defaultRowHeight="14.4" x14ac:dyDescent="0.3"/>
  <cols>
    <col min="1" max="1" width="14.5546875" bestFit="1" customWidth="1"/>
    <col min="2" max="2" width="18.33203125" bestFit="1" customWidth="1"/>
    <col min="3" max="5" width="10.109375" bestFit="1" customWidth="1"/>
    <col min="6" max="6" width="11.109375" bestFit="1" customWidth="1"/>
  </cols>
  <sheetData>
    <row r="1" spans="1:10" x14ac:dyDescent="0.3">
      <c r="E1" s="21" t="s">
        <v>2259</v>
      </c>
      <c r="F1" s="21"/>
      <c r="G1" s="21"/>
      <c r="H1" s="21"/>
      <c r="I1" s="21"/>
      <c r="J1" s="21"/>
    </row>
    <row r="3" spans="1:10" x14ac:dyDescent="0.3">
      <c r="A3" s="18" t="s">
        <v>2254</v>
      </c>
      <c r="B3" t="s">
        <v>2256</v>
      </c>
    </row>
    <row r="4" spans="1:10" x14ac:dyDescent="0.3">
      <c r="A4" s="19" t="s">
        <v>53</v>
      </c>
      <c r="B4" s="6">
        <v>21685.289999999994</v>
      </c>
    </row>
    <row r="5" spans="1:10" x14ac:dyDescent="0.3">
      <c r="A5" s="19" t="s">
        <v>32</v>
      </c>
      <c r="B5" s="6">
        <v>25556.000000000018</v>
      </c>
    </row>
    <row r="6" spans="1:10" x14ac:dyDescent="0.3">
      <c r="A6" s="19" t="s">
        <v>75</v>
      </c>
      <c r="B6" s="6">
        <v>20061.699999999997</v>
      </c>
    </row>
    <row r="7" spans="1:10" x14ac:dyDescent="0.3">
      <c r="A7" s="19" t="s">
        <v>61</v>
      </c>
      <c r="B7" s="6">
        <v>18986.280000000006</v>
      </c>
    </row>
    <row r="8" spans="1:10" x14ac:dyDescent="0.3">
      <c r="A8" s="19" t="s">
        <v>48</v>
      </c>
      <c r="B8" s="6">
        <v>24283.710000000003</v>
      </c>
    </row>
    <row r="9" spans="1:10" x14ac:dyDescent="0.3">
      <c r="A9" s="19" t="s">
        <v>43</v>
      </c>
      <c r="B9" s="6">
        <v>25100.039999999994</v>
      </c>
    </row>
    <row r="10" spans="1:10" x14ac:dyDescent="0.3">
      <c r="A10" s="19" t="s">
        <v>22</v>
      </c>
      <c r="B10" s="6">
        <v>23830.509999999995</v>
      </c>
    </row>
    <row r="11" spans="1:10" x14ac:dyDescent="0.3">
      <c r="A11" s="19" t="s">
        <v>16</v>
      </c>
      <c r="B11" s="6">
        <v>26543.589999999997</v>
      </c>
    </row>
    <row r="12" spans="1:10" x14ac:dyDescent="0.3">
      <c r="A12" s="19" t="s">
        <v>2255</v>
      </c>
      <c r="B12" s="6">
        <v>186047.12000000002</v>
      </c>
    </row>
  </sheetData>
  <mergeCells count="1">
    <mergeCell ref="E1:J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603E-EEF2-4B94-B1ED-3F74BAE861C3}">
  <dimension ref="A1:K11"/>
  <sheetViews>
    <sheetView workbookViewId="0">
      <selection activeCell="M4" sqref="M4"/>
    </sheetView>
  </sheetViews>
  <sheetFormatPr defaultRowHeight="14.4" x14ac:dyDescent="0.3"/>
  <cols>
    <col min="1" max="1" width="19.44140625" bestFit="1" customWidth="1"/>
    <col min="2" max="2" width="15.5546875" bestFit="1" customWidth="1"/>
    <col min="3" max="3" width="15" bestFit="1" customWidth="1"/>
    <col min="4" max="4" width="9.21875" bestFit="1" customWidth="1"/>
    <col min="5" max="5" width="4.44140625" bestFit="1" customWidth="1"/>
    <col min="6" max="6" width="5" bestFit="1" customWidth="1"/>
    <col min="7" max="7" width="6.33203125" bestFit="1" customWidth="1"/>
    <col min="8" max="8" width="6.44140625" bestFit="1" customWidth="1"/>
    <col min="9" max="9" width="4.6640625" bestFit="1" customWidth="1"/>
    <col min="10" max="10" width="10.5546875" bestFit="1" customWidth="1"/>
  </cols>
  <sheetData>
    <row r="1" spans="1:11" x14ac:dyDescent="0.3">
      <c r="F1" s="20" t="s">
        <v>2261</v>
      </c>
      <c r="G1" s="20"/>
      <c r="H1" s="20"/>
      <c r="I1" s="20"/>
      <c r="J1" s="20"/>
      <c r="K1" s="20"/>
    </row>
    <row r="3" spans="1:11" x14ac:dyDescent="0.3">
      <c r="A3" s="18" t="s">
        <v>2260</v>
      </c>
      <c r="B3" s="18" t="s">
        <v>2258</v>
      </c>
    </row>
    <row r="4" spans="1:11" x14ac:dyDescent="0.3">
      <c r="A4" s="18" t="s">
        <v>2254</v>
      </c>
      <c r="B4" t="s">
        <v>53</v>
      </c>
      <c r="C4" t="s">
        <v>32</v>
      </c>
      <c r="D4" t="s">
        <v>75</v>
      </c>
      <c r="E4" t="s">
        <v>61</v>
      </c>
      <c r="F4" t="s">
        <v>48</v>
      </c>
      <c r="G4" t="s">
        <v>43</v>
      </c>
      <c r="H4" t="s">
        <v>22</v>
      </c>
      <c r="I4" t="s">
        <v>16</v>
      </c>
      <c r="J4" t="s">
        <v>2255</v>
      </c>
    </row>
    <row r="5" spans="1:11" x14ac:dyDescent="0.3">
      <c r="A5" s="19" t="s">
        <v>115</v>
      </c>
      <c r="B5">
        <v>12</v>
      </c>
      <c r="C5">
        <v>12</v>
      </c>
      <c r="D5">
        <v>6</v>
      </c>
      <c r="E5">
        <v>10</v>
      </c>
      <c r="F5">
        <v>7</v>
      </c>
      <c r="G5">
        <v>6</v>
      </c>
      <c r="H5">
        <v>5</v>
      </c>
      <c r="I5">
        <v>10</v>
      </c>
      <c r="J5">
        <v>68</v>
      </c>
    </row>
    <row r="6" spans="1:11" x14ac:dyDescent="0.3">
      <c r="A6" s="19" t="s">
        <v>36</v>
      </c>
      <c r="B6">
        <v>7</v>
      </c>
      <c r="C6">
        <v>4</v>
      </c>
      <c r="D6">
        <v>4</v>
      </c>
      <c r="E6">
        <v>5</v>
      </c>
      <c r="F6">
        <v>8</v>
      </c>
      <c r="G6">
        <v>5</v>
      </c>
      <c r="H6">
        <v>6</v>
      </c>
      <c r="I6">
        <v>7</v>
      </c>
      <c r="J6">
        <v>46</v>
      </c>
    </row>
    <row r="7" spans="1:11" x14ac:dyDescent="0.3">
      <c r="A7" s="19" t="s">
        <v>78</v>
      </c>
      <c r="B7">
        <v>3</v>
      </c>
      <c r="C7">
        <v>4</v>
      </c>
      <c r="D7">
        <v>3</v>
      </c>
      <c r="E7">
        <v>6</v>
      </c>
      <c r="F7">
        <v>7</v>
      </c>
      <c r="G7">
        <v>6</v>
      </c>
      <c r="H7">
        <v>4</v>
      </c>
      <c r="I7">
        <v>11</v>
      </c>
      <c r="J7">
        <v>44</v>
      </c>
    </row>
    <row r="8" spans="1:11" x14ac:dyDescent="0.3">
      <c r="A8" s="19" t="s">
        <v>83</v>
      </c>
      <c r="B8">
        <v>9</v>
      </c>
      <c r="C8">
        <v>12</v>
      </c>
      <c r="D8">
        <v>6</v>
      </c>
      <c r="E8">
        <v>5</v>
      </c>
      <c r="F8">
        <v>6</v>
      </c>
      <c r="G8">
        <v>3</v>
      </c>
      <c r="H8">
        <v>6</v>
      </c>
      <c r="I8">
        <v>8</v>
      </c>
      <c r="J8">
        <v>55</v>
      </c>
    </row>
    <row r="9" spans="1:11" x14ac:dyDescent="0.3">
      <c r="A9" s="19" t="s">
        <v>73</v>
      </c>
      <c r="B9">
        <v>10</v>
      </c>
      <c r="C9">
        <v>9</v>
      </c>
      <c r="D9">
        <v>6</v>
      </c>
      <c r="E9">
        <v>7</v>
      </c>
      <c r="F9">
        <v>8</v>
      </c>
      <c r="G9">
        <v>6</v>
      </c>
      <c r="H9">
        <v>8</v>
      </c>
      <c r="I9">
        <v>6</v>
      </c>
      <c r="J9">
        <v>60</v>
      </c>
    </row>
    <row r="10" spans="1:11" x14ac:dyDescent="0.3">
      <c r="A10" s="19" t="s">
        <v>125</v>
      </c>
      <c r="B10">
        <v>10</v>
      </c>
      <c r="C10">
        <v>6</v>
      </c>
      <c r="D10">
        <v>9</v>
      </c>
      <c r="E10">
        <v>3</v>
      </c>
      <c r="F10">
        <v>3</v>
      </c>
      <c r="G10">
        <v>6</v>
      </c>
      <c r="H10">
        <v>4</v>
      </c>
      <c r="I10">
        <v>6</v>
      </c>
      <c r="J10">
        <v>47</v>
      </c>
    </row>
    <row r="11" spans="1:11" x14ac:dyDescent="0.3">
      <c r="A11" s="19" t="s">
        <v>2255</v>
      </c>
      <c r="B11">
        <v>51</v>
      </c>
      <c r="C11">
        <v>47</v>
      </c>
      <c r="D11">
        <v>34</v>
      </c>
      <c r="E11">
        <v>36</v>
      </c>
      <c r="F11">
        <v>39</v>
      </c>
      <c r="G11">
        <v>32</v>
      </c>
      <c r="H11">
        <v>33</v>
      </c>
      <c r="I11">
        <v>48</v>
      </c>
      <c r="J11">
        <v>320</v>
      </c>
    </row>
  </sheetData>
  <mergeCells count="1">
    <mergeCell ref="F1:K1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3BE2A1-ED35-4121-B73B-3F5BBCFED7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fashion_boutique_dataset </vt:lpstr>
      <vt:lpstr>Added Columns and discriptions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Sivani Jayanth</cp:lastModifiedBy>
  <dcterms:created xsi:type="dcterms:W3CDTF">2026-05-12T20:16:35Z</dcterms:created>
  <dcterms:modified xsi:type="dcterms:W3CDTF">2026-05-15T21:00:54Z</dcterms:modified>
</cp:coreProperties>
</file>